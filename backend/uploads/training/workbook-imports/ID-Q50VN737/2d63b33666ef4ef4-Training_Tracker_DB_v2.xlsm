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131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11. TRAININGS\2026\"/>
    </mc:Choice>
  </mc:AlternateContent>
  <xr:revisionPtr revIDLastSave="0" documentId="13_ncr:1_{3B52452D-098C-4A76-A687-2ED18F775003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Params" sheetId="1" state="hidden" r:id="rId1"/>
    <sheet name="Overdue" sheetId="8" r:id="rId2"/>
    <sheet name="Sheet1" sheetId="11" state="hidden" r:id="rId3"/>
    <sheet name="Next_Batch" sheetId="6" r:id="rId4"/>
    <sheet name="tblRoleGroups" sheetId="14" r:id="rId5"/>
    <sheet name="tblPersonRoles" sheetId="16" r:id="rId6"/>
    <sheet name="tblCourseMatrix" sheetId="18" r:id="rId7"/>
    <sheet name="Individual_Lookup" sheetId="7" r:id="rId8"/>
    <sheet name="Course_Audit" sheetId="10" state="hidden" r:id="rId9"/>
    <sheet name="Training" sheetId="4" state="hidden" r:id="rId10"/>
    <sheet name="Courses" sheetId="3" state="hidden" r:id="rId11"/>
    <sheet name="People" sheetId="2" state="hidden" r:id="rId12"/>
  </sheets>
  <functionGroups builtInGroupCount="19"/>
  <definedNames>
    <definedName name="_xlpm.actDept" hidden="1" xlm="1">#NAME?</definedName>
    <definedName name="_xlpm.activeMask" hidden="1" xlm="1">#NAME?</definedName>
    <definedName name="_xlpm.activePeople" hidden="1" xlm="1">#NAME?</definedName>
    <definedName name="_xlpm.actName" hidden="1" xlm="1">#NAME?</definedName>
    <definedName name="_xlpm.actPID" hidden="1" xlm="1">#NAME?</definedName>
    <definedName name="_xlpm.actRole" hidden="1" xlm="1">#NAME?</definedName>
    <definedName name="_xlpm.ahead" hidden="1" xlm="1">#NAME?</definedName>
    <definedName name="_xlpm.allName" hidden="1" xlm="1">#NAME?</definedName>
    <definedName name="_xlpm.allPID" hidden="1" xlm="1">#NAME?</definedName>
    <definedName name="_xlpm.appRoles" hidden="1" xlm="1">#NAME?</definedName>
    <definedName name="_xlpm.baseMask" hidden="1" xlm="1">#NAME?</definedName>
    <definedName name="_xlpm.cid" hidden="1" xlm="1">#NAME?</definedName>
    <definedName name="_xlpm.clean" hidden="1" xlm="1">#NAME?</definedName>
    <definedName name="_xlpm.cname" hidden="1" xlm="1">#NAME?</definedName>
    <definedName name="_xlpm.course" hidden="1" xlm="1">#NAME?</definedName>
    <definedName name="_xlpm.courseID" hidden="1" xlm="1">#NAME?</definedName>
    <definedName name="_xlpm.courses" hidden="1" xlm="1">#NAME?</definedName>
    <definedName name="_xlpm.courseStatus" hidden="1" xlm="1">#NAME?</definedName>
    <definedName name="_xlpm.courseX" hidden="1" xlm="1">#NAME?</definedName>
    <definedName name="_xlpm.courseY" hidden="1" xlm="1">#NAME?</definedName>
    <definedName name="_xlpm.cType" hidden="1" xlm="1">#NAME?</definedName>
    <definedName name="_xlpm.d" hidden="1" xlm="1">#NAME?</definedName>
    <definedName name="_xlpm.data" hidden="1" xlm="1">#NAME?</definedName>
    <definedName name="_xlpm.days" hidden="1" xlm="1">#NAME?</definedName>
    <definedName name="_xlpm.daysToDue" hidden="1" xlm="1">#NAME?</definedName>
    <definedName name="_xlpm.depf" hidden="1" xlm="1">#NAME?</definedName>
    <definedName name="_xlpm.dept" hidden="1" xlm="1">#NAME?</definedName>
    <definedName name="_xlpm.dept_all" hidden="1" xlm="1">#NAME?</definedName>
    <definedName name="_xlpm.deptCol" hidden="1" xlm="1">#NAME?</definedName>
    <definedName name="_xlpm.deptF" hidden="1" xlm="1">#NAME?</definedName>
    <definedName name="_xlpm.deptFilter" hidden="1" xlm="1">#NAME?</definedName>
    <definedName name="_xlpm.deptList" hidden="1" xlm="1">#NAME?</definedName>
    <definedName name="_xlpm.deptMask" hidden="1" xlm="1">#NAME?</definedName>
    <definedName name="_xlpm.did" hidden="1" xlm="1">#NAME?</definedName>
    <definedName name="_xlpm.didU" hidden="1" xlm="1">#NAME?</definedName>
    <definedName name="_xlpm.didX" hidden="1" xlm="1">#NAME?</definedName>
    <definedName name="_xlpm.didY" hidden="1" xlm="1">#NAME?</definedName>
    <definedName name="_xlpm.due" hidden="1" xlm="1">#NAME?</definedName>
    <definedName name="_xlpm.dueMask" hidden="1" xlm="1">#NAME?</definedName>
    <definedName name="_xlpm.dX" hidden="1" xlm="1">#NAME?</definedName>
    <definedName name="_xlpm.f" hidden="1" xlm="1">#NAME?</definedName>
    <definedName name="_xlpm.filterDept" hidden="1" xlm="1">#NAME?</definedName>
    <definedName name="_xlpm.filterRole" hidden="1" xlm="1">#NAME?</definedName>
    <definedName name="_xlpm.finalMask" hidden="1" xlm="1">#NAME?</definedName>
    <definedName name="_xlpm.finalOut" hidden="1" xlm="1">#NAME?</definedName>
    <definedName name="_xlpm.firstPos" hidden="1" xlm="1">#NAME?</definedName>
    <definedName name="_xlpm.follow" hidden="1" xlm="1">#NAME?</definedName>
    <definedName name="_xlpm.freq" hidden="1" xlm="1">#NAME?</definedName>
    <definedName name="_xlpm.freqMonths" hidden="1" xlm="1">#NAME?</definedName>
    <definedName name="_xlpm.gapPID" hidden="1" xlm="1">#NAME?</definedName>
    <definedName name="_xlpm.hasAll" hidden="1" xlm="1">#NAME?</definedName>
    <definedName name="_xlpm.hasRecord" hidden="1" xlm="1">#NAME?</definedName>
    <definedName name="_xlpm.hasX" hidden="1" xlm="1">#NAME?</definedName>
    <definedName name="_xlpm.hasY" hidden="1" xlm="1">#NAME?</definedName>
    <definedName name="_xlpm.idMask" hidden="1" xlm="1">#NAME?</definedName>
    <definedName name="_xlpm.ids" hidden="1" xlm="1">#NAME?</definedName>
    <definedName name="_xlpm.isInitial" hidden="1" xlm="1">#NAME?</definedName>
    <definedName name="_xlpm.isRecurringItem" hidden="1" xlm="1">#NAME?</definedName>
    <definedName name="_xlpm.k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last" hidden="1" xlm="1">#NAME?</definedName>
    <definedName name="_xlpm.lastDate" hidden="1" xlm="1">#NAME?</definedName>
    <definedName name="_xlpm.lastdt" hidden="1" xlm="1">#NAME?</definedName>
    <definedName name="_xlpm.lastX" hidden="1" xlm="1">#NAME?</definedName>
    <definedName name="_xlpm.latest" hidden="1" xlm="1">#NAME?</definedName>
    <definedName name="_xlpm.latestX" hidden="1" xlm="1">#NAME?</definedName>
    <definedName name="_xlpm.ld" hidden="1" xlm="1">#NAME?</definedName>
    <definedName name="_xlpm.ldRaw" hidden="1" xlm="1">#NAME?</definedName>
    <definedName name="_xlpm.lic" hidden="1" xlm="1">#NAME?</definedName>
    <definedName name="_xlpm.list" hidden="1" xlm="1">#NAME?</definedName>
    <definedName name="_xlpm.listDept" hidden="1" xlm="1">#NAME?</definedName>
    <definedName name="_xlpm.listName" hidden="1" xlm="1">#NAME?</definedName>
    <definedName name="_xlpm.listPID" hidden="1" xlm="1">#NAME?</definedName>
    <definedName name="_xlpm.listRole" hidden="1" xlm="1">#NAME?</definedName>
    <definedName name="_xlpm.m" hidden="1" xlm="1">#NAME?</definedName>
    <definedName name="_xlpm.mask" hidden="1" xlm="1">#NAME?</definedName>
    <definedName name="_xlpm.maskActive" hidden="1" xlm="1">#NAME?</definedName>
    <definedName name="_xlpm.maskAll" hidden="1" xlm="1">#NAME?</definedName>
    <definedName name="_xlpm.maskDept" hidden="1" xlm="1">#NAME?</definedName>
    <definedName name="_xlpm.maskNotY" hidden="1" xlm="1">#NAME?</definedName>
    <definedName name="_xlpm.maskRole" hidden="1" xlm="1">#NAME?</definedName>
    <definedName name="_xlpm.maskXY" hidden="1" xlm="1">#NAME?</definedName>
    <definedName name="_xlpm.matrixHas" hidden="1" xlm="1">#NAME?</definedName>
    <definedName name="_xlpm.mCourse" hidden="1" xlm="1">#NAME?</definedName>
    <definedName name="_xlpm.mDept" hidden="1" xlm="1">#NAME?</definedName>
    <definedName name="_xlpm.missingRequired" hidden="1" xlm="1">#NAME?</definedName>
    <definedName name="_xlpm.mReq" hidden="1" xlm="1">#NAME?</definedName>
    <definedName name="_xlpm.mReqOK" hidden="1" xlm="1">#NAME?</definedName>
    <definedName name="_xlpm.mRole" hidden="1" xlm="1">#NAME?</definedName>
    <definedName name="_xlpm.mRows" hidden="1" xlm="1">#NAME?</definedName>
    <definedName name="_xlpm.mY" hidden="1" xlm="1">#NAME?</definedName>
    <definedName name="_xlpm.n" hidden="1" xlm="1">#NAME?</definedName>
    <definedName name="_xlpm.names" hidden="1" xlm="1">#NAME?</definedName>
    <definedName name="_xlpm.nd" hidden="1" xlm="1">#NAME?</definedName>
    <definedName name="_xlpm.nd0" hidden="1" xlm="1">#NAME?</definedName>
    <definedName name="_xlpm.ndRaw" hidden="1" xlm="1">#NAME?</definedName>
    <definedName name="_xlpm.nextDue" hidden="1" xlm="1">#NAME?</definedName>
    <definedName name="_xlpm.notDoneMask" hidden="1" xlm="1">#NAME?</definedName>
    <definedName name="_xlpm.out" hidden="1" xlm="1">#NAME?</definedName>
    <definedName name="_xlpm.output" hidden="1" xlm="1">#NAME?</definedName>
    <definedName name="_xlpm.p" hidden="1" xlm="1">#NAME?</definedName>
    <definedName name="_xlpm.pAllID" hidden="1" xlm="1">#NAME?</definedName>
    <definedName name="_xlpm.pAllName" hidden="1" xlm="1">#NAME?</definedName>
    <definedName name="_xlpm.pAllStatus" hidden="1" xlm="1">#NAME?</definedName>
    <definedName name="_xlpm.pDept" hidden="1" xlm="1">#NAME?</definedName>
    <definedName name="_xlpm.peoplePID" hidden="1" xlm="1">#NAME?</definedName>
    <definedName name="_xlpm.personID" hidden="1" xlm="1">#NAME?</definedName>
    <definedName name="_xlpm.personName" hidden="1" xlm="1">#NAME?</definedName>
    <definedName name="_xlpm.pfx" hidden="1" xlm="1">#NAME?</definedName>
    <definedName name="_xlpm.pid" hidden="1" xlm="1">#NAME?</definedName>
    <definedName name="_xlpm.pID_all" hidden="1" xlm="1">#NAME?</definedName>
    <definedName name="_xlpm.pidRaw" hidden="1" xlm="1">#NAME?</definedName>
    <definedName name="_xlpm.pidSorted" hidden="1" xlm="1">#NAME?</definedName>
    <definedName name="_xlpm.pidX" hidden="1" xlm="1">#NAME?</definedName>
    <definedName name="_xlpm.pname" hidden="1" xlm="1">#NAME?</definedName>
    <definedName name="_xlpm.pName_all" hidden="1" xlm="1">#NAME?</definedName>
    <definedName name="_xlpm.pos" hidden="1" xlm="1">#NAME?</definedName>
    <definedName name="_xlpm.posF" hidden="1" xlm="1">#NAME?</definedName>
    <definedName name="_xlpm.posMask" hidden="1" xlm="1">#NAME?</definedName>
    <definedName name="_xlpm.posX" hidden="1" xlm="1">#NAME?</definedName>
    <definedName name="_xlpm.pPos" hidden="1" xlm="1">#NAME?</definedName>
    <definedName name="_xlpm.pri" hidden="1" xlm="1">#NAME?</definedName>
    <definedName name="_xlpm.pStatus" hidden="1" xlm="1">#NAME?</definedName>
    <definedName name="_xlpm.q" hidden="1" xlm="1">#NAME?</definedName>
    <definedName name="_xlpm.qX" hidden="1" xlm="1">#NAME?</definedName>
    <definedName name="_xlpm.qY" hidden="1" xlm="1">#NAME?</definedName>
    <definedName name="_xlpm.rActive" hidden="1" xlm="1">#NAME?</definedName>
    <definedName name="_xlpm.rActiveOK" hidden="1" xlm="1">#NAME?</definedName>
    <definedName name="_xlpm.rec" hidden="1" xlm="1">#NAME?</definedName>
    <definedName name="_xlpm.rn" hidden="1" xlm="1">#NAME?</definedName>
    <definedName name="_xlpm.rng" hidden="1" xlm="1">#NAME?</definedName>
    <definedName name="_xlpm.rnX" hidden="1" xlm="1">#NAME?</definedName>
    <definedName name="_xlpm.role" hidden="1" xlm="1">#NAME?</definedName>
    <definedName name="_xlpm.role_all" hidden="1" xlm="1">#NAME?</definedName>
    <definedName name="_xlpm.roleCol" hidden="1" xlm="1">#NAME?</definedName>
    <definedName name="_xlpm.roleEligible" hidden="1" xlm="1">#NAME?</definedName>
    <definedName name="_xlpm.roleF" hidden="1" xlm="1">#NAME?</definedName>
    <definedName name="_xlpm.roleFilter" hidden="1" xlm="1">#NAME?</definedName>
    <definedName name="_xlpm.roleList" hidden="1" xlm="1">#NAME?</definedName>
    <definedName name="_xlpm.roleMask" hidden="1" xlm="1">#NAME?</definedName>
    <definedName name="_xlpm.rowNum" hidden="1" xlm="1">#NAME?</definedName>
    <definedName name="_xlpm.rowsX" hidden="1" xlm="1">#NAME?</definedName>
    <definedName name="_xlpm.rPID" hidden="1" xlm="1">#NAME?</definedName>
    <definedName name="_xlpm.rRole" hidden="1" xlm="1">#NAME?</definedName>
    <definedName name="_xlpm.sd" hidden="1" xlm="1">#NAME?</definedName>
    <definedName name="_xlpm.sdX" hidden="1" xlm="1">#NAME?</definedName>
    <definedName name="_xlpm.sel" hidden="1" xlm="1">#NAME?</definedName>
    <definedName name="_xlpm.sorted" hidden="1" xlm="1">#NAME?</definedName>
    <definedName name="_xlpm.sortedX" hidden="1" xlm="1">#NAME?</definedName>
    <definedName name="_xlpm.staffStatus" hidden="1" xlm="1">#NAME?</definedName>
    <definedName name="_xlpm.stat" hidden="1" xlm="1">#NAME?</definedName>
    <definedName name="_xlpm.statList" hidden="1" xlm="1">#NAME?</definedName>
    <definedName name="_xlpm.status" hidden="1" xlm="1">#NAME?</definedName>
    <definedName name="_xlpm.status_all" hidden="1" xlm="1">#NAME?</definedName>
    <definedName name="_xlpm.statusF" hidden="1" xlm="1">#NAME?</definedName>
    <definedName name="_xlpm.statusMask" hidden="1" xlm="1">#NAME?</definedName>
    <definedName name="_xlpm.statusTxt" hidden="1" xlm="1">#NAME?</definedName>
    <definedName name="_xlpm.sx" hidden="1" xlm="1">#NAME?</definedName>
    <definedName name="_xlpm.t" hidden="1" xlm="1">#NAME?</definedName>
    <definedName name="_xlpm.tData" hidden="1" xlm="1">#NAME?</definedName>
    <definedName name="_xlpm.trainCourse" hidden="1" xlm="1">#NAME?</definedName>
    <definedName name="_xlpm.trainingStatus" hidden="1" xlm="1">#NAME?</definedName>
    <definedName name="_xlpm.trainPID" hidden="1" xlm="1">#NAME?</definedName>
    <definedName name="_xlpm.tX" hidden="1" xlm="1">#NAME?</definedName>
    <definedName name="_xlpm.u" hidden="1" xlm="1">#NAME?</definedName>
    <definedName name="_xlpm.v" hidden="1" xlm="1">#NAME?</definedName>
    <definedName name="_xlpm.vals" hidden="1" xlm="1">#NAME?</definedName>
    <definedName name="_xlpm.vals2" hidden="1" xlm="1">#NAME?</definedName>
    <definedName name="_xlpm.win" hidden="1" xlm="1">#NAME?</definedName>
    <definedName name="_xlpm.window" hidden="1" xlm="1">#NAME?</definedName>
    <definedName name="_xlpm.x" hidden="1" xlm="1">#NAME?</definedName>
    <definedName name="_xlpm.xDays" hidden="1" xlm="1">#NAME?</definedName>
    <definedName name="_xlpm.xDue" hidden="1" xlm="1">#NAME?</definedName>
    <definedName name="_xlpm.xID" hidden="1" xlm="1">#NAME?</definedName>
    <definedName name="_xlpm.xLast" hidden="1" xlm="1">#NAME?</definedName>
    <definedName name="_xlpm.xPID" hidden="1" xlm="1">#NAME?</definedName>
    <definedName name="_xlpm.xRows" hidden="1" xlm="1">#NAME?</definedName>
    <definedName name="_xlpm.xStatus" hidden="1" xlm="1">#NAME?</definedName>
    <definedName name="_xlpm.y0" hidden="1" xlm="1">#NAME?</definedName>
    <definedName name="_xlpm.yID" hidden="1" xlm="1">#NAME?</definedName>
    <definedName name="ExternalData_1" localSheetId="6" hidden="1">tblCourseMatrix!$A$1:$E$19</definedName>
    <definedName name="ExternalData_1" localSheetId="5" hidden="1">tblPersonRoles!$A$1:$F$140</definedName>
    <definedName name="ExternalData_1" localSheetId="4" hidden="1">tblRoleGroups!$A$1:$B$15</definedName>
    <definedName name="_xlnm.Print_Area" localSheetId="8">Course_Audit!$A$10:$E$38</definedName>
    <definedName name="_xlnm.Print_Area" localSheetId="3">Next_Batch!$A$8:$G$41</definedName>
    <definedName name="_xlnm.Print_Area" localSheetId="1">Overdue!$B$6:$G$35</definedName>
    <definedName name="_xlnm.Print_Titles" localSheetId="7">Individual_Lookup!$6:$11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31" i="4" l="1" a="1"/>
  <c r="G1531" i="4" s="1"/>
  <c r="I1531" i="4" a="1"/>
  <c r="I1531" i="4" s="1"/>
  <c r="G1532" i="4" a="1"/>
  <c r="G1532" i="4" s="1"/>
  <c r="I1532" i="4" s="1" a="1"/>
  <c r="I1532" i="4" s="1"/>
  <c r="H1532" i="4" s="1"/>
  <c r="G1533" i="4" a="1"/>
  <c r="G1533" i="4" s="1"/>
  <c r="I1533" i="4" s="1" a="1"/>
  <c r="I1533" i="4" s="1"/>
  <c r="H1533" i="4" s="1"/>
  <c r="G1534" i="4" a="1"/>
  <c r="G1534" i="4" s="1"/>
  <c r="I1534" i="4" s="1" a="1"/>
  <c r="I1534" i="4" s="1"/>
  <c r="H1534" i="4" s="1"/>
  <c r="G1535" i="4" a="1"/>
  <c r="G1535" i="4" s="1"/>
  <c r="I1535" i="4" s="1" a="1"/>
  <c r="I1535" i="4" s="1"/>
  <c r="H1535" i="4" s="1"/>
  <c r="G1536" i="4" a="1"/>
  <c r="G1536" i="4" s="1"/>
  <c r="I1536" i="4" a="1"/>
  <c r="I1536" i="4" s="1"/>
  <c r="G1537" i="4" a="1"/>
  <c r="G1537" i="4" s="1"/>
  <c r="I1537" i="4" s="1" a="1"/>
  <c r="I1537" i="4" s="1"/>
  <c r="H1537" i="4" s="1"/>
  <c r="E1531" i="4"/>
  <c r="E1532" i="4"/>
  <c r="E1533" i="4"/>
  <c r="E1534" i="4"/>
  <c r="E1535" i="4"/>
  <c r="E1536" i="4"/>
  <c r="E1537" i="4"/>
  <c r="G3" i="4" a="1"/>
  <c r="G3" i="4" s="1"/>
  <c r="I3" i="4" a="1"/>
  <c r="I3" i="4" s="1"/>
  <c r="G4" i="4" a="1"/>
  <c r="G4" i="4" s="1"/>
  <c r="I4" i="4" a="1"/>
  <c r="I4" i="4" s="1"/>
  <c r="G5" i="4" a="1"/>
  <c r="G5" i="4" s="1"/>
  <c r="I5" i="4" a="1"/>
  <c r="I5" i="4" s="1"/>
  <c r="G6" i="4" a="1"/>
  <c r="G6" i="4" s="1"/>
  <c r="I6" i="4" a="1"/>
  <c r="I6" i="4" s="1"/>
  <c r="G7" i="4" a="1"/>
  <c r="G7" i="4" s="1"/>
  <c r="I7" i="4" a="1"/>
  <c r="I7" i="4" s="1"/>
  <c r="G8" i="4" a="1"/>
  <c r="G8" i="4" s="1"/>
  <c r="I8" i="4" a="1"/>
  <c r="I8" i="4" s="1"/>
  <c r="G9" i="4" a="1"/>
  <c r="G9" i="4" s="1"/>
  <c r="I9" i="4" a="1"/>
  <c r="I9" i="4" s="1"/>
  <c r="G10" i="4" a="1"/>
  <c r="G10" i="4" s="1"/>
  <c r="I10" i="4" s="1" a="1"/>
  <c r="I10" i="4" s="1"/>
  <c r="H10" i="4" s="1"/>
  <c r="G11" i="4" a="1"/>
  <c r="G11" i="4" s="1"/>
  <c r="I11" i="4" a="1"/>
  <c r="I11" i="4" s="1"/>
  <c r="G12" i="4" a="1"/>
  <c r="G12" i="4" s="1"/>
  <c r="I12" i="4" a="1"/>
  <c r="I12" i="4" s="1"/>
  <c r="G13" i="4" a="1"/>
  <c r="G13" i="4" s="1"/>
  <c r="I13" i="4" a="1"/>
  <c r="I13" i="4" s="1"/>
  <c r="G14" i="4" a="1"/>
  <c r="G14" i="4" s="1"/>
  <c r="I14" i="4" s="1" a="1"/>
  <c r="I14" i="4" s="1"/>
  <c r="H14" i="4" s="1"/>
  <c r="G15" i="4" a="1"/>
  <c r="G15" i="4" s="1"/>
  <c r="I15" i="4" s="1" a="1"/>
  <c r="I15" i="4" s="1"/>
  <c r="H15" i="4" s="1"/>
  <c r="G16" i="4" a="1"/>
  <c r="G16" i="4" s="1"/>
  <c r="I16" i="4" a="1"/>
  <c r="I16" i="4" s="1"/>
  <c r="G17" i="4" a="1"/>
  <c r="G17" i="4" s="1"/>
  <c r="I17" i="4" a="1"/>
  <c r="I17" i="4" s="1"/>
  <c r="G18" i="4" a="1"/>
  <c r="G18" i="4" s="1"/>
  <c r="I18" i="4" a="1"/>
  <c r="I18" i="4" s="1"/>
  <c r="G19" i="4" a="1"/>
  <c r="G19" i="4" s="1"/>
  <c r="I19" i="4" a="1"/>
  <c r="I19" i="4" s="1"/>
  <c r="G20" i="4" a="1"/>
  <c r="G20" i="4" s="1"/>
  <c r="I20" i="4" a="1"/>
  <c r="I20" i="4" s="1"/>
  <c r="G21" i="4" a="1"/>
  <c r="G21" i="4" s="1"/>
  <c r="I21" i="4" s="1" a="1"/>
  <c r="I21" i="4" s="1"/>
  <c r="H21" i="4" s="1"/>
  <c r="G22" i="4" a="1"/>
  <c r="G22" i="4" s="1"/>
  <c r="I22" i="4" s="1" a="1"/>
  <c r="I22" i="4" s="1"/>
  <c r="H22" i="4" s="1"/>
  <c r="G23" i="4" a="1"/>
  <c r="G23" i="4" s="1"/>
  <c r="I23" i="4" s="1" a="1"/>
  <c r="I23" i="4" s="1"/>
  <c r="H23" i="4" s="1"/>
  <c r="G24" i="4" a="1"/>
  <c r="G24" i="4" s="1"/>
  <c r="I24" i="4" a="1"/>
  <c r="I24" i="4" s="1"/>
  <c r="G25" i="4" a="1"/>
  <c r="G25" i="4" s="1"/>
  <c r="I25" i="4" a="1"/>
  <c r="I25" i="4" s="1"/>
  <c r="G26" i="4" a="1"/>
  <c r="G26" i="4" s="1"/>
  <c r="I26" i="4" a="1"/>
  <c r="I26" i="4" s="1"/>
  <c r="G27" i="4" a="1"/>
  <c r="G27" i="4" s="1"/>
  <c r="I27" i="4" a="1"/>
  <c r="I27" i="4" s="1"/>
  <c r="G28" i="4" a="1"/>
  <c r="G28" i="4" s="1"/>
  <c r="I28" i="4" a="1"/>
  <c r="I28" i="4" s="1"/>
  <c r="G29" i="4" a="1"/>
  <c r="G29" i="4" s="1"/>
  <c r="I29" i="4" s="1" a="1"/>
  <c r="I29" i="4" s="1"/>
  <c r="H29" i="4" s="1"/>
  <c r="G30" i="4" a="1"/>
  <c r="G30" i="4" s="1"/>
  <c r="I30" i="4" s="1" a="1"/>
  <c r="I30" i="4" s="1"/>
  <c r="H30" i="4" s="1"/>
  <c r="G31" i="4" a="1"/>
  <c r="G31" i="4" s="1"/>
  <c r="I31" i="4" s="1" a="1"/>
  <c r="I31" i="4" s="1"/>
  <c r="H31" i="4" s="1"/>
  <c r="G32" i="4" a="1"/>
  <c r="G32" i="4" s="1"/>
  <c r="I32" i="4" a="1"/>
  <c r="I32" i="4" s="1"/>
  <c r="G33" i="4" a="1"/>
  <c r="G33" i="4" s="1"/>
  <c r="I33" i="4" a="1"/>
  <c r="I33" i="4" s="1"/>
  <c r="G34" i="4" a="1"/>
  <c r="G34" i="4" s="1"/>
  <c r="I34" i="4" a="1"/>
  <c r="I34" i="4" s="1"/>
  <c r="G35" i="4" a="1"/>
  <c r="G35" i="4" s="1"/>
  <c r="I35" i="4" a="1"/>
  <c r="I35" i="4" s="1"/>
  <c r="G36" i="4" a="1"/>
  <c r="G36" i="4" s="1"/>
  <c r="I36" i="4" a="1"/>
  <c r="I36" i="4" s="1"/>
  <c r="G37" i="4" a="1"/>
  <c r="G37" i="4" s="1"/>
  <c r="I37" i="4" s="1" a="1"/>
  <c r="I37" i="4" s="1"/>
  <c r="H37" i="4" s="1"/>
  <c r="G38" i="4" a="1"/>
  <c r="G38" i="4" s="1"/>
  <c r="I38" i="4" a="1"/>
  <c r="I38" i="4" s="1"/>
  <c r="G39" i="4" a="1"/>
  <c r="G39" i="4" s="1"/>
  <c r="I39" i="4" a="1"/>
  <c r="I39" i="4" s="1"/>
  <c r="G40" i="4" a="1"/>
  <c r="G40" i="4" s="1"/>
  <c r="I40" i="4" a="1"/>
  <c r="I40" i="4" s="1"/>
  <c r="G41" i="4" a="1"/>
  <c r="G41" i="4" s="1"/>
  <c r="I41" i="4" a="1"/>
  <c r="I41" i="4" s="1"/>
  <c r="G42" i="4" a="1"/>
  <c r="G42" i="4" s="1"/>
  <c r="I42" i="4" s="1" a="1"/>
  <c r="I42" i="4" s="1"/>
  <c r="H42" i="4" s="1"/>
  <c r="G43" i="4" a="1"/>
  <c r="G43" i="4" s="1"/>
  <c r="I43" i="4" a="1"/>
  <c r="I43" i="4" s="1"/>
  <c r="G44" i="4" a="1"/>
  <c r="G44" i="4" s="1"/>
  <c r="I44" i="4" a="1"/>
  <c r="I44" i="4" s="1"/>
  <c r="G45" i="4" a="1"/>
  <c r="G45" i="4" s="1"/>
  <c r="I45" i="4" a="1"/>
  <c r="I45" i="4" s="1"/>
  <c r="G46" i="4" a="1"/>
  <c r="G46" i="4" s="1"/>
  <c r="I46" i="4" s="1" a="1"/>
  <c r="I46" i="4" s="1"/>
  <c r="H46" i="4" s="1"/>
  <c r="G47" i="4" a="1"/>
  <c r="G47" i="4" s="1"/>
  <c r="I47" i="4" a="1"/>
  <c r="I47" i="4" s="1"/>
  <c r="G48" i="4" a="1"/>
  <c r="G48" i="4" s="1"/>
  <c r="I48" i="4" a="1"/>
  <c r="I48" i="4" s="1"/>
  <c r="G49" i="4" a="1"/>
  <c r="G49" i="4" s="1"/>
  <c r="I49" i="4" a="1"/>
  <c r="I49" i="4" s="1"/>
  <c r="G50" i="4" a="1"/>
  <c r="G50" i="4" s="1"/>
  <c r="I50" i="4" a="1"/>
  <c r="I50" i="4" s="1"/>
  <c r="G51" i="4" a="1"/>
  <c r="G51" i="4" s="1"/>
  <c r="I51" i="4" a="1"/>
  <c r="I51" i="4" s="1"/>
  <c r="G52" i="4" a="1"/>
  <c r="G52" i="4" s="1"/>
  <c r="I52" i="4" a="1"/>
  <c r="I52" i="4" s="1"/>
  <c r="G53" i="4" a="1"/>
  <c r="G53" i="4" s="1"/>
  <c r="I53" i="4" a="1"/>
  <c r="I53" i="4" s="1"/>
  <c r="G54" i="4" a="1"/>
  <c r="G54" i="4" s="1"/>
  <c r="I54" i="4" a="1"/>
  <c r="I54" i="4" s="1"/>
  <c r="G55" i="4" a="1"/>
  <c r="G55" i="4" s="1"/>
  <c r="I55" i="4" a="1"/>
  <c r="I55" i="4" s="1"/>
  <c r="G56" i="4" a="1"/>
  <c r="G56" i="4" s="1"/>
  <c r="I56" i="4" a="1"/>
  <c r="I56" i="4" s="1"/>
  <c r="G57" i="4" a="1"/>
  <c r="G57" i="4" s="1"/>
  <c r="I57" i="4" a="1"/>
  <c r="I57" i="4" s="1"/>
  <c r="G58" i="4" a="1"/>
  <c r="G58" i="4" s="1"/>
  <c r="I58" i="4" a="1"/>
  <c r="I58" i="4" s="1"/>
  <c r="G59" i="4" a="1"/>
  <c r="G59" i="4" s="1"/>
  <c r="I59" i="4" a="1"/>
  <c r="I59" i="4" s="1"/>
  <c r="G60" i="4" a="1"/>
  <c r="G60" i="4" s="1"/>
  <c r="I60" i="4" a="1"/>
  <c r="I60" i="4" s="1"/>
  <c r="G61" i="4" a="1"/>
  <c r="G61" i="4" s="1"/>
  <c r="I61" i="4" s="1" a="1"/>
  <c r="I61" i="4" s="1"/>
  <c r="H61" i="4" s="1"/>
  <c r="G62" i="4" a="1"/>
  <c r="G62" i="4" s="1"/>
  <c r="I62" i="4" s="1" a="1"/>
  <c r="I62" i="4" s="1"/>
  <c r="H62" i="4" s="1"/>
  <c r="G63" i="4" a="1"/>
  <c r="G63" i="4" s="1"/>
  <c r="I63" i="4" a="1"/>
  <c r="I63" i="4" s="1"/>
  <c r="G64" i="4" a="1"/>
  <c r="G64" i="4" s="1"/>
  <c r="I64" i="4" s="1" a="1"/>
  <c r="I64" i="4" s="1"/>
  <c r="H64" i="4" s="1"/>
  <c r="G65" i="4" a="1"/>
  <c r="G65" i="4" s="1"/>
  <c r="I65" i="4" s="1" a="1"/>
  <c r="I65" i="4" s="1"/>
  <c r="H65" i="4" s="1"/>
  <c r="G66" i="4" a="1"/>
  <c r="G66" i="4" s="1"/>
  <c r="I66" i="4" s="1" a="1"/>
  <c r="I66" i="4" s="1"/>
  <c r="H66" i="4" s="1"/>
  <c r="G67" i="4" a="1"/>
  <c r="G67" i="4" s="1"/>
  <c r="I67" i="4" s="1" a="1"/>
  <c r="I67" i="4" s="1"/>
  <c r="H67" i="4" s="1"/>
  <c r="G68" i="4" a="1"/>
  <c r="G68" i="4" s="1"/>
  <c r="I68" i="4" a="1"/>
  <c r="I68" i="4" s="1"/>
  <c r="G69" i="4" a="1"/>
  <c r="G69" i="4" s="1"/>
  <c r="I69" i="4" s="1" a="1"/>
  <c r="I69" i="4" s="1"/>
  <c r="H69" i="4" s="1"/>
  <c r="G70" i="4" a="1"/>
  <c r="G70" i="4" s="1"/>
  <c r="I70" i="4" s="1" a="1"/>
  <c r="I70" i="4" s="1"/>
  <c r="H70" i="4" s="1"/>
  <c r="G71" i="4" a="1"/>
  <c r="G71" i="4" s="1"/>
  <c r="I71" i="4" a="1"/>
  <c r="I71" i="4" s="1"/>
  <c r="G72" i="4" a="1"/>
  <c r="G72" i="4" s="1"/>
  <c r="I72" i="4" a="1"/>
  <c r="I72" i="4" s="1"/>
  <c r="G73" i="4" a="1"/>
  <c r="G73" i="4" s="1"/>
  <c r="I73" i="4" a="1"/>
  <c r="I73" i="4" s="1"/>
  <c r="G74" i="4" a="1"/>
  <c r="G74" i="4" s="1"/>
  <c r="I74" i="4" a="1"/>
  <c r="I74" i="4" s="1"/>
  <c r="G75" i="4" a="1"/>
  <c r="G75" i="4" s="1"/>
  <c r="I75" i="4" a="1"/>
  <c r="I75" i="4" s="1"/>
  <c r="G76" i="4" a="1"/>
  <c r="G76" i="4" s="1"/>
  <c r="I76" i="4" a="1"/>
  <c r="I76" i="4" s="1"/>
  <c r="G77" i="4" a="1"/>
  <c r="G77" i="4" s="1"/>
  <c r="I77" i="4" a="1"/>
  <c r="I77" i="4" s="1"/>
  <c r="G78" i="4" a="1"/>
  <c r="G78" i="4" s="1"/>
  <c r="I78" i="4" s="1" a="1"/>
  <c r="I78" i="4" s="1"/>
  <c r="H78" i="4" s="1"/>
  <c r="G79" i="4" a="1"/>
  <c r="G79" i="4" s="1"/>
  <c r="I79" i="4" a="1"/>
  <c r="I79" i="4" s="1"/>
  <c r="G80" i="4" a="1"/>
  <c r="G80" i="4" s="1"/>
  <c r="I80" i="4" a="1"/>
  <c r="I80" i="4" s="1"/>
  <c r="G81" i="4" a="1"/>
  <c r="G81" i="4" s="1"/>
  <c r="I81" i="4" a="1"/>
  <c r="I81" i="4" s="1"/>
  <c r="G82" i="4" a="1"/>
  <c r="G82" i="4" s="1"/>
  <c r="I82" i="4" a="1"/>
  <c r="I82" i="4" s="1"/>
  <c r="G83" i="4" a="1"/>
  <c r="G83" i="4" s="1"/>
  <c r="I83" i="4" s="1" a="1"/>
  <c r="I83" i="4" s="1"/>
  <c r="H83" i="4" s="1"/>
  <c r="G84" i="4" a="1"/>
  <c r="G84" i="4" s="1"/>
  <c r="I84" i="4" s="1" a="1"/>
  <c r="I84" i="4" s="1"/>
  <c r="H84" i="4" s="1"/>
  <c r="G85" i="4" a="1"/>
  <c r="G85" i="4" s="1"/>
  <c r="I85" i="4" s="1" a="1"/>
  <c r="I85" i="4" s="1"/>
  <c r="H85" i="4" s="1"/>
  <c r="G86" i="4" a="1"/>
  <c r="G86" i="4" s="1"/>
  <c r="I86" i="4" s="1" a="1"/>
  <c r="I86" i="4" s="1"/>
  <c r="H86" i="4" s="1"/>
  <c r="G87" i="4" a="1"/>
  <c r="G87" i="4" s="1"/>
  <c r="I87" i="4" s="1" a="1"/>
  <c r="I87" i="4" s="1"/>
  <c r="H87" i="4" s="1"/>
  <c r="G88" i="4" a="1"/>
  <c r="G88" i="4" s="1"/>
  <c r="I88" i="4" s="1" a="1"/>
  <c r="I88" i="4" s="1"/>
  <c r="H88" i="4" s="1"/>
  <c r="G89" i="4" a="1"/>
  <c r="G89" i="4" s="1"/>
  <c r="I89" i="4" a="1"/>
  <c r="I89" i="4" s="1"/>
  <c r="G90" i="4" a="1"/>
  <c r="G90" i="4" s="1"/>
  <c r="I90" i="4" a="1"/>
  <c r="I90" i="4" s="1"/>
  <c r="G91" i="4" a="1"/>
  <c r="G91" i="4" s="1"/>
  <c r="I91" i="4" a="1"/>
  <c r="I91" i="4" s="1"/>
  <c r="G92" i="4" a="1"/>
  <c r="G92" i="4" s="1"/>
  <c r="I92" i="4" s="1" a="1"/>
  <c r="I92" i="4" s="1"/>
  <c r="H92" i="4" s="1"/>
  <c r="G93" i="4" a="1"/>
  <c r="G93" i="4" s="1"/>
  <c r="I93" i="4" a="1"/>
  <c r="I93" i="4" s="1"/>
  <c r="G94" i="4" a="1"/>
  <c r="G94" i="4" s="1"/>
  <c r="I94" i="4" a="1"/>
  <c r="I94" i="4" s="1"/>
  <c r="G95" i="4" a="1"/>
  <c r="G95" i="4" s="1"/>
  <c r="I95" i="4" a="1"/>
  <c r="I95" i="4" s="1"/>
  <c r="G96" i="4" a="1"/>
  <c r="G96" i="4" s="1"/>
  <c r="I96" i="4" a="1"/>
  <c r="I96" i="4" s="1"/>
  <c r="G97" i="4" a="1"/>
  <c r="G97" i="4" s="1"/>
  <c r="I97" i="4" a="1"/>
  <c r="I97" i="4" s="1"/>
  <c r="G98" i="4" a="1"/>
  <c r="G98" i="4" s="1"/>
  <c r="I98" i="4" s="1" a="1"/>
  <c r="I98" i="4" s="1"/>
  <c r="H98" i="4" s="1"/>
  <c r="G99" i="4" a="1"/>
  <c r="G99" i="4" s="1"/>
  <c r="I99" i="4" a="1"/>
  <c r="I99" i="4" s="1"/>
  <c r="G100" i="4" a="1"/>
  <c r="G100" i="4" s="1"/>
  <c r="I100" i="4" a="1"/>
  <c r="I100" i="4" s="1"/>
  <c r="G101" i="4" a="1"/>
  <c r="G101" i="4" s="1"/>
  <c r="I101" i="4" a="1"/>
  <c r="I101" i="4" s="1"/>
  <c r="G102" i="4" a="1"/>
  <c r="G102" i="4" s="1"/>
  <c r="I102" i="4" s="1" a="1"/>
  <c r="I102" i="4" s="1"/>
  <c r="H102" i="4" s="1"/>
  <c r="G103" i="4" a="1"/>
  <c r="G103" i="4" s="1"/>
  <c r="I103" i="4" a="1"/>
  <c r="I103" i="4" s="1"/>
  <c r="G104" i="4" a="1"/>
  <c r="G104" i="4" s="1"/>
  <c r="I104" i="4" a="1"/>
  <c r="I104" i="4" s="1"/>
  <c r="G105" i="4" a="1"/>
  <c r="G105" i="4" s="1"/>
  <c r="I105" i="4" s="1" a="1"/>
  <c r="I105" i="4" s="1"/>
  <c r="H105" i="4" s="1"/>
  <c r="G106" i="4" a="1"/>
  <c r="G106" i="4" s="1"/>
  <c r="I106" i="4" s="1" a="1"/>
  <c r="I106" i="4" s="1"/>
  <c r="H106" i="4" s="1"/>
  <c r="G107" i="4" a="1"/>
  <c r="G107" i="4" s="1"/>
  <c r="I107" i="4" a="1"/>
  <c r="I107" i="4" s="1"/>
  <c r="G108" i="4" a="1"/>
  <c r="G108" i="4" s="1"/>
  <c r="I108" i="4" s="1" a="1"/>
  <c r="I108" i="4" s="1"/>
  <c r="H108" i="4" s="1"/>
  <c r="G109" i="4" a="1"/>
  <c r="G109" i="4" s="1"/>
  <c r="I109" i="4" a="1"/>
  <c r="I109" i="4" s="1"/>
  <c r="G110" i="4" a="1"/>
  <c r="G110" i="4" s="1"/>
  <c r="I110" i="4" a="1"/>
  <c r="I110" i="4" s="1"/>
  <c r="G111" i="4" a="1"/>
  <c r="G111" i="4" s="1"/>
  <c r="I111" i="4" a="1"/>
  <c r="I111" i="4" s="1"/>
  <c r="G112" i="4" a="1"/>
  <c r="G112" i="4" s="1"/>
  <c r="I112" i="4" a="1"/>
  <c r="I112" i="4" s="1"/>
  <c r="G113" i="4" a="1"/>
  <c r="G113" i="4" s="1"/>
  <c r="I113" i="4" s="1" a="1"/>
  <c r="I113" i="4" s="1"/>
  <c r="H113" i="4" s="1"/>
  <c r="G114" i="4" a="1"/>
  <c r="G114" i="4" s="1"/>
  <c r="I114" i="4" s="1" a="1"/>
  <c r="I114" i="4" s="1"/>
  <c r="H114" i="4" s="1"/>
  <c r="G115" i="4" a="1"/>
  <c r="G115" i="4" s="1"/>
  <c r="I115" i="4" a="1"/>
  <c r="I115" i="4" s="1"/>
  <c r="G116" i="4" a="1"/>
  <c r="G116" i="4" s="1"/>
  <c r="I116" i="4" s="1" a="1"/>
  <c r="I116" i="4" s="1"/>
  <c r="H116" i="4" s="1"/>
  <c r="G117" i="4" a="1"/>
  <c r="G117" i="4" s="1"/>
  <c r="I117" i="4" a="1"/>
  <c r="I117" i="4" s="1"/>
  <c r="G118" i="4" a="1"/>
  <c r="G118" i="4" s="1"/>
  <c r="I118" i="4" a="1"/>
  <c r="I118" i="4" s="1"/>
  <c r="G119" i="4" a="1"/>
  <c r="G119" i="4" s="1"/>
  <c r="I119" i="4" s="1" a="1"/>
  <c r="I119" i="4" s="1"/>
  <c r="H119" i="4" s="1"/>
  <c r="G120" i="4" a="1"/>
  <c r="G120" i="4" s="1"/>
  <c r="I120" i="4" a="1"/>
  <c r="I120" i="4" s="1"/>
  <c r="G121" i="4" a="1"/>
  <c r="G121" i="4" s="1"/>
  <c r="I121" i="4" a="1"/>
  <c r="I121" i="4" s="1"/>
  <c r="G122" i="4" a="1"/>
  <c r="G122" i="4" s="1"/>
  <c r="I122" i="4" s="1" a="1"/>
  <c r="I122" i="4" s="1"/>
  <c r="H122" i="4" s="1"/>
  <c r="G123" i="4" a="1"/>
  <c r="G123" i="4" s="1"/>
  <c r="I123" i="4" s="1" a="1"/>
  <c r="I123" i="4" s="1"/>
  <c r="H123" i="4" s="1"/>
  <c r="G124" i="4" a="1"/>
  <c r="G124" i="4" s="1"/>
  <c r="I124" i="4" a="1"/>
  <c r="I124" i="4" s="1"/>
  <c r="G125" i="4" a="1"/>
  <c r="G125" i="4" s="1"/>
  <c r="I125" i="4" a="1"/>
  <c r="I125" i="4" s="1"/>
  <c r="G126" i="4" a="1"/>
  <c r="G126" i="4" s="1"/>
  <c r="I126" i="4" s="1" a="1"/>
  <c r="I126" i="4" s="1"/>
  <c r="H126" i="4" s="1"/>
  <c r="G127" i="4" a="1"/>
  <c r="G127" i="4" s="1"/>
  <c r="I127" i="4" s="1" a="1"/>
  <c r="I127" i="4" s="1"/>
  <c r="H127" i="4" s="1"/>
  <c r="G128" i="4" a="1"/>
  <c r="G128" i="4" s="1"/>
  <c r="I128" i="4" s="1" a="1"/>
  <c r="I128" i="4" s="1"/>
  <c r="H128" i="4" s="1"/>
  <c r="G129" i="4" a="1"/>
  <c r="G129" i="4" s="1"/>
  <c r="I129" i="4" a="1"/>
  <c r="I129" i="4" s="1"/>
  <c r="G130" i="4" a="1"/>
  <c r="G130" i="4" s="1"/>
  <c r="I130" i="4" s="1" a="1"/>
  <c r="I130" i="4" s="1"/>
  <c r="H130" i="4" s="1"/>
  <c r="G131" i="4" a="1"/>
  <c r="G131" i="4" s="1"/>
  <c r="I131" i="4" s="1" a="1"/>
  <c r="I131" i="4" s="1"/>
  <c r="H131" i="4" s="1"/>
  <c r="G132" i="4" a="1"/>
  <c r="G132" i="4" s="1"/>
  <c r="I132" i="4" a="1"/>
  <c r="I132" i="4" s="1"/>
  <c r="G133" i="4" a="1"/>
  <c r="G133" i="4" s="1"/>
  <c r="I133" i="4" a="1"/>
  <c r="I133" i="4" s="1"/>
  <c r="G134" i="4" a="1"/>
  <c r="G134" i="4" s="1"/>
  <c r="I134" i="4" a="1"/>
  <c r="I134" i="4" s="1"/>
  <c r="G135" i="4" a="1"/>
  <c r="G135" i="4" s="1"/>
  <c r="I135" i="4" a="1"/>
  <c r="I135" i="4" s="1"/>
  <c r="G136" i="4" a="1"/>
  <c r="G136" i="4" s="1"/>
  <c r="I136" i="4" a="1"/>
  <c r="I136" i="4" s="1"/>
  <c r="G137" i="4" a="1"/>
  <c r="G137" i="4" s="1"/>
  <c r="I137" i="4" a="1"/>
  <c r="I137" i="4" s="1"/>
  <c r="G138" i="4" a="1"/>
  <c r="G138" i="4" s="1"/>
  <c r="I138" i="4" s="1" a="1"/>
  <c r="I138" i="4" s="1"/>
  <c r="H138" i="4" s="1"/>
  <c r="G139" i="4" a="1"/>
  <c r="G139" i="4" s="1"/>
  <c r="I139" i="4" a="1"/>
  <c r="I139" i="4" s="1"/>
  <c r="G140" i="4" a="1"/>
  <c r="G140" i="4" s="1"/>
  <c r="I140" i="4" a="1"/>
  <c r="I140" i="4" s="1"/>
  <c r="G141" i="4" a="1"/>
  <c r="G141" i="4" s="1"/>
  <c r="I141" i="4" a="1"/>
  <c r="I141" i="4" s="1"/>
  <c r="G142" i="4" a="1"/>
  <c r="G142" i="4" s="1"/>
  <c r="I142" i="4" s="1" a="1"/>
  <c r="I142" i="4" s="1"/>
  <c r="H142" i="4" s="1"/>
  <c r="G143" i="4" a="1"/>
  <c r="G143" i="4" s="1"/>
  <c r="I143" i="4" s="1" a="1"/>
  <c r="I143" i="4" s="1"/>
  <c r="H143" i="4" s="1"/>
  <c r="G144" i="4" a="1"/>
  <c r="G144" i="4" s="1"/>
  <c r="I144" i="4" a="1"/>
  <c r="I144" i="4" s="1"/>
  <c r="G145" i="4" a="1"/>
  <c r="G145" i="4" s="1"/>
  <c r="I145" i="4" a="1"/>
  <c r="I145" i="4" s="1"/>
  <c r="G146" i="4" a="1"/>
  <c r="G146" i="4" s="1"/>
  <c r="I146" i="4" a="1"/>
  <c r="I146" i="4" s="1"/>
  <c r="G147" i="4" a="1"/>
  <c r="G147" i="4" s="1"/>
  <c r="I147" i="4" a="1"/>
  <c r="I147" i="4" s="1"/>
  <c r="G148" i="4" a="1"/>
  <c r="G148" i="4" s="1"/>
  <c r="I148" i="4" a="1"/>
  <c r="I148" i="4" s="1"/>
  <c r="G149" i="4" a="1"/>
  <c r="G149" i="4" s="1"/>
  <c r="I149" i="4" a="1"/>
  <c r="I149" i="4" s="1"/>
  <c r="G150" i="4" a="1"/>
  <c r="G150" i="4" s="1"/>
  <c r="I150" i="4" a="1"/>
  <c r="I150" i="4" s="1"/>
  <c r="G151" i="4" a="1"/>
  <c r="G151" i="4" s="1"/>
  <c r="I151" i="4" a="1"/>
  <c r="I151" i="4" s="1"/>
  <c r="G152" i="4" a="1"/>
  <c r="G152" i="4" s="1"/>
  <c r="I152" i="4" a="1"/>
  <c r="I152" i="4" s="1"/>
  <c r="G153" i="4" a="1"/>
  <c r="G153" i="4" s="1"/>
  <c r="I153" i="4" a="1"/>
  <c r="I153" i="4" s="1"/>
  <c r="G154" i="4" a="1"/>
  <c r="G154" i="4" s="1"/>
  <c r="I154" i="4" a="1"/>
  <c r="I154" i="4" s="1"/>
  <c r="G155" i="4" a="1"/>
  <c r="G155" i="4" s="1"/>
  <c r="I155" i="4" s="1" a="1"/>
  <c r="I155" i="4" s="1"/>
  <c r="H155" i="4" s="1"/>
  <c r="G156" i="4" a="1"/>
  <c r="G156" i="4" s="1"/>
  <c r="I156" i="4" a="1"/>
  <c r="I156" i="4" s="1"/>
  <c r="G157" i="4" a="1"/>
  <c r="G157" i="4" s="1"/>
  <c r="I157" i="4" a="1"/>
  <c r="I157" i="4" s="1"/>
  <c r="G158" i="4" a="1"/>
  <c r="G158" i="4" s="1"/>
  <c r="I158" i="4" s="1" a="1"/>
  <c r="I158" i="4" s="1"/>
  <c r="H158" i="4" s="1"/>
  <c r="G159" i="4" a="1"/>
  <c r="G159" i="4" s="1"/>
  <c r="I159" i="4" a="1"/>
  <c r="I159" i="4" s="1"/>
  <c r="G160" i="4" a="1"/>
  <c r="G160" i="4" s="1"/>
  <c r="I160" i="4" a="1"/>
  <c r="I160" i="4" s="1"/>
  <c r="G161" i="4" a="1"/>
  <c r="G161" i="4" s="1"/>
  <c r="I161" i="4" a="1"/>
  <c r="I161" i="4" s="1"/>
  <c r="G162" i="4" a="1"/>
  <c r="G162" i="4" s="1"/>
  <c r="I162" i="4" s="1" a="1"/>
  <c r="I162" i="4" s="1"/>
  <c r="H162" i="4" s="1"/>
  <c r="G163" i="4" a="1"/>
  <c r="G163" i="4" s="1"/>
  <c r="I163" i="4" a="1"/>
  <c r="I163" i="4" s="1"/>
  <c r="G164" i="4" a="1"/>
  <c r="G164" i="4" s="1"/>
  <c r="I164" i="4" s="1" a="1"/>
  <c r="I164" i="4" s="1"/>
  <c r="H164" i="4" s="1"/>
  <c r="G165" i="4" a="1"/>
  <c r="G165" i="4" s="1"/>
  <c r="I165" i="4" a="1"/>
  <c r="I165" i="4" s="1"/>
  <c r="G166" i="4" a="1"/>
  <c r="G166" i="4" s="1"/>
  <c r="I166" i="4" s="1" a="1"/>
  <c r="I166" i="4" s="1"/>
  <c r="H166" i="4" s="1"/>
  <c r="G167" i="4" a="1"/>
  <c r="G167" i="4" s="1"/>
  <c r="I167" i="4" a="1"/>
  <c r="I167" i="4" s="1"/>
  <c r="G168" i="4" a="1"/>
  <c r="G168" i="4" s="1"/>
  <c r="I168" i="4" a="1"/>
  <c r="I168" i="4" s="1"/>
  <c r="G169" i="4" a="1"/>
  <c r="G169" i="4" s="1"/>
  <c r="I169" i="4" a="1"/>
  <c r="I169" i="4" s="1"/>
  <c r="G170" i="4" a="1"/>
  <c r="G170" i="4" s="1"/>
  <c r="I170" i="4" s="1" a="1"/>
  <c r="I170" i="4" s="1"/>
  <c r="H170" i="4" s="1"/>
  <c r="G171" i="4" a="1"/>
  <c r="G171" i="4" s="1"/>
  <c r="I171" i="4" a="1"/>
  <c r="I171" i="4" s="1"/>
  <c r="G172" i="4" a="1"/>
  <c r="G172" i="4" s="1"/>
  <c r="I172" i="4" a="1"/>
  <c r="I172" i="4" s="1"/>
  <c r="G173" i="4" a="1"/>
  <c r="G173" i="4" s="1"/>
  <c r="I173" i="4" a="1"/>
  <c r="I173" i="4" s="1"/>
  <c r="G174" i="4" a="1"/>
  <c r="G174" i="4" s="1"/>
  <c r="I174" i="4" s="1" a="1"/>
  <c r="I174" i="4" s="1"/>
  <c r="H174" i="4" s="1"/>
  <c r="G175" i="4" a="1"/>
  <c r="G175" i="4" s="1"/>
  <c r="I175" i="4" a="1"/>
  <c r="I175" i="4" s="1"/>
  <c r="G176" i="4" a="1"/>
  <c r="G176" i="4" s="1"/>
  <c r="I176" i="4" s="1" a="1"/>
  <c r="I176" i="4" s="1"/>
  <c r="H176" i="4" s="1"/>
  <c r="G177" i="4" a="1"/>
  <c r="G177" i="4" s="1"/>
  <c r="I177" i="4" a="1"/>
  <c r="I177" i="4" s="1"/>
  <c r="G178" i="4" a="1"/>
  <c r="G178" i="4" s="1"/>
  <c r="I178" i="4" a="1"/>
  <c r="I178" i="4" s="1"/>
  <c r="G179" i="4" a="1"/>
  <c r="G179" i="4" s="1"/>
  <c r="I179" i="4" s="1" a="1"/>
  <c r="I179" i="4" s="1"/>
  <c r="H179" i="4" s="1"/>
  <c r="G180" i="4" a="1"/>
  <c r="G180" i="4" s="1"/>
  <c r="I180" i="4" a="1"/>
  <c r="I180" i="4" s="1"/>
  <c r="G181" i="4" a="1"/>
  <c r="G181" i="4" s="1"/>
  <c r="I181" i="4" a="1"/>
  <c r="I181" i="4" s="1"/>
  <c r="G182" i="4" a="1"/>
  <c r="G182" i="4" s="1"/>
  <c r="I182" i="4" a="1"/>
  <c r="I182" i="4" s="1"/>
  <c r="G183" i="4" a="1"/>
  <c r="G183" i="4" s="1"/>
  <c r="I183" i="4" s="1" a="1"/>
  <c r="I183" i="4" s="1"/>
  <c r="H183" i="4" s="1"/>
  <c r="G184" i="4" a="1"/>
  <c r="G184" i="4" s="1"/>
  <c r="I184" i="4" a="1"/>
  <c r="I184" i="4" s="1"/>
  <c r="G185" i="4" a="1"/>
  <c r="G185" i="4" s="1"/>
  <c r="I185" i="4" s="1" a="1"/>
  <c r="I185" i="4" s="1"/>
  <c r="H185" i="4" s="1"/>
  <c r="G186" i="4" a="1"/>
  <c r="G186" i="4" s="1"/>
  <c r="I186" i="4" s="1" a="1"/>
  <c r="I186" i="4" s="1"/>
  <c r="H186" i="4" s="1"/>
  <c r="G187" i="4" a="1"/>
  <c r="G187" i="4" s="1"/>
  <c r="I187" i="4" s="1" a="1"/>
  <c r="I187" i="4" s="1"/>
  <c r="H187" i="4" s="1"/>
  <c r="G188" i="4" a="1"/>
  <c r="G188" i="4" s="1"/>
  <c r="I188" i="4" a="1"/>
  <c r="I188" i="4" s="1"/>
  <c r="G189" i="4" a="1"/>
  <c r="G189" i="4" s="1"/>
  <c r="I189" i="4" a="1"/>
  <c r="I189" i="4" s="1"/>
  <c r="G190" i="4" a="1"/>
  <c r="G190" i="4" s="1"/>
  <c r="I190" i="4" s="1" a="1"/>
  <c r="I190" i="4" s="1"/>
  <c r="H190" i="4" s="1"/>
  <c r="G191" i="4" a="1"/>
  <c r="G191" i="4" s="1"/>
  <c r="I191" i="4" a="1"/>
  <c r="I191" i="4" s="1"/>
  <c r="G192" i="4" a="1"/>
  <c r="G192" i="4" s="1"/>
  <c r="I192" i="4" s="1" a="1"/>
  <c r="I192" i="4" s="1"/>
  <c r="H192" i="4" s="1"/>
  <c r="G193" i="4" a="1"/>
  <c r="G193" i="4" s="1"/>
  <c r="I193" i="4" a="1"/>
  <c r="I193" i="4" s="1"/>
  <c r="G194" i="4" a="1"/>
  <c r="G194" i="4" s="1"/>
  <c r="I194" i="4" a="1"/>
  <c r="I194" i="4" s="1"/>
  <c r="G195" i="4" a="1"/>
  <c r="G195" i="4" s="1"/>
  <c r="I195" i="4" s="1" a="1"/>
  <c r="I195" i="4" s="1"/>
  <c r="H195" i="4" s="1"/>
  <c r="G196" i="4" a="1"/>
  <c r="G196" i="4" s="1"/>
  <c r="I196" i="4" s="1" a="1"/>
  <c r="I196" i="4" s="1"/>
  <c r="H196" i="4" s="1"/>
  <c r="G197" i="4" a="1"/>
  <c r="G197" i="4" s="1"/>
  <c r="I197" i="4" a="1"/>
  <c r="I197" i="4" s="1"/>
  <c r="G198" i="4" a="1"/>
  <c r="G198" i="4" s="1"/>
  <c r="I198" i="4" s="1" a="1"/>
  <c r="I198" i="4" s="1"/>
  <c r="H198" i="4" s="1"/>
  <c r="G199" i="4" a="1"/>
  <c r="G199" i="4" s="1"/>
  <c r="I199" i="4" a="1"/>
  <c r="I199" i="4" s="1"/>
  <c r="G200" i="4" a="1"/>
  <c r="G200" i="4" s="1"/>
  <c r="I200" i="4" a="1"/>
  <c r="I200" i="4" s="1"/>
  <c r="G201" i="4" a="1"/>
  <c r="G201" i="4" s="1"/>
  <c r="I201" i="4" a="1"/>
  <c r="I201" i="4" s="1"/>
  <c r="G202" i="4" a="1"/>
  <c r="G202" i="4" s="1"/>
  <c r="I202" i="4" a="1"/>
  <c r="I202" i="4" s="1"/>
  <c r="G203" i="4" a="1"/>
  <c r="G203" i="4" s="1"/>
  <c r="I203" i="4" a="1"/>
  <c r="I203" i="4" s="1"/>
  <c r="G204" i="4" a="1"/>
  <c r="G204" i="4" s="1"/>
  <c r="I204" i="4" s="1" a="1"/>
  <c r="I204" i="4" s="1"/>
  <c r="H204" i="4" s="1"/>
  <c r="G205" i="4" a="1"/>
  <c r="G205" i="4" s="1"/>
  <c r="I205" i="4" a="1"/>
  <c r="I205" i="4" s="1"/>
  <c r="G206" i="4" a="1"/>
  <c r="G206" i="4" s="1"/>
  <c r="I206" i="4" s="1" a="1"/>
  <c r="I206" i="4" s="1"/>
  <c r="H206" i="4" s="1"/>
  <c r="G207" i="4" a="1"/>
  <c r="G207" i="4" s="1"/>
  <c r="I207" i="4" a="1"/>
  <c r="I207" i="4" s="1"/>
  <c r="G208" i="4" a="1"/>
  <c r="G208" i="4" s="1"/>
  <c r="I208" i="4" a="1"/>
  <c r="I208" i="4" s="1"/>
  <c r="G209" i="4" a="1"/>
  <c r="G209" i="4" s="1"/>
  <c r="I209" i="4" a="1"/>
  <c r="I209" i="4" s="1"/>
  <c r="G210" i="4" a="1"/>
  <c r="G210" i="4" s="1"/>
  <c r="I210" i="4" s="1" a="1"/>
  <c r="I210" i="4" s="1"/>
  <c r="H210" i="4" s="1"/>
  <c r="G211" i="4" a="1"/>
  <c r="G211" i="4" s="1"/>
  <c r="I211" i="4" a="1"/>
  <c r="I211" i="4" s="1"/>
  <c r="G212" i="4" a="1"/>
  <c r="G212" i="4" s="1"/>
  <c r="I212" i="4" s="1" a="1"/>
  <c r="I212" i="4" s="1"/>
  <c r="H212" i="4" s="1"/>
  <c r="G213" i="4" a="1"/>
  <c r="G213" i="4" s="1"/>
  <c r="I213" i="4" a="1"/>
  <c r="I213" i="4" s="1"/>
  <c r="G214" i="4" a="1"/>
  <c r="G214" i="4" s="1"/>
  <c r="I214" i="4" a="1"/>
  <c r="I214" i="4" s="1"/>
  <c r="G215" i="4" a="1"/>
  <c r="G215" i="4" s="1"/>
  <c r="I215" i="4" a="1"/>
  <c r="I215" i="4" s="1"/>
  <c r="G216" i="4" a="1"/>
  <c r="G216" i="4" s="1"/>
  <c r="I216" i="4" a="1"/>
  <c r="I216" i="4" s="1"/>
  <c r="G217" i="4" a="1"/>
  <c r="G217" i="4" s="1"/>
  <c r="I217" i="4" a="1"/>
  <c r="I217" i="4" s="1"/>
  <c r="G218" i="4" a="1"/>
  <c r="G218" i="4" s="1"/>
  <c r="I218" i="4" a="1"/>
  <c r="I218" i="4" s="1"/>
  <c r="G219" i="4" a="1"/>
  <c r="G219" i="4" s="1"/>
  <c r="I219" i="4" a="1"/>
  <c r="I219" i="4" s="1"/>
  <c r="G220" i="4" a="1"/>
  <c r="G220" i="4" s="1"/>
  <c r="I220" i="4" a="1"/>
  <c r="I220" i="4" s="1"/>
  <c r="G221" i="4" a="1"/>
  <c r="G221" i="4" s="1"/>
  <c r="I221" i="4" s="1" a="1"/>
  <c r="I221" i="4" s="1"/>
  <c r="H221" i="4" s="1"/>
  <c r="G222" i="4" a="1"/>
  <c r="G222" i="4" s="1"/>
  <c r="I222" i="4" a="1"/>
  <c r="I222" i="4" s="1"/>
  <c r="G223" i="4" a="1"/>
  <c r="G223" i="4" s="1"/>
  <c r="I223" i="4" a="1"/>
  <c r="I223" i="4" s="1"/>
  <c r="G224" i="4" a="1"/>
  <c r="G224" i="4" s="1"/>
  <c r="I224" i="4" s="1" a="1"/>
  <c r="I224" i="4" s="1"/>
  <c r="H224" i="4" s="1"/>
  <c r="G225" i="4" a="1"/>
  <c r="G225" i="4" s="1"/>
  <c r="I225" i="4" a="1"/>
  <c r="I225" i="4" s="1"/>
  <c r="G226" i="4" a="1"/>
  <c r="G226" i="4" s="1"/>
  <c r="I226" i="4" s="1" a="1"/>
  <c r="I226" i="4" s="1"/>
  <c r="H226" i="4" s="1"/>
  <c r="G227" i="4" a="1"/>
  <c r="G227" i="4" s="1"/>
  <c r="I227" i="4" a="1"/>
  <c r="I227" i="4" s="1"/>
  <c r="G228" i="4" a="1"/>
  <c r="G228" i="4" s="1"/>
  <c r="I228" i="4" a="1"/>
  <c r="I228" i="4" s="1"/>
  <c r="G229" i="4" a="1"/>
  <c r="G229" i="4" s="1"/>
  <c r="I229" i="4" a="1"/>
  <c r="I229" i="4" s="1"/>
  <c r="G230" i="4" a="1"/>
  <c r="G230" i="4" s="1"/>
  <c r="I230" i="4" s="1" a="1"/>
  <c r="I230" i="4" s="1"/>
  <c r="H230" i="4" s="1"/>
  <c r="G231" i="4" a="1"/>
  <c r="G231" i="4" s="1"/>
  <c r="I231" i="4" a="1"/>
  <c r="I231" i="4" s="1"/>
  <c r="G232" i="4" a="1"/>
  <c r="G232" i="4" s="1"/>
  <c r="I232" i="4" a="1"/>
  <c r="I232" i="4" s="1"/>
  <c r="G233" i="4" a="1"/>
  <c r="G233" i="4" s="1"/>
  <c r="I233" i="4" a="1"/>
  <c r="I233" i="4" s="1"/>
  <c r="G234" i="4" a="1"/>
  <c r="G234" i="4" s="1"/>
  <c r="I234" i="4" a="1"/>
  <c r="I234" i="4" s="1"/>
  <c r="G235" i="4" a="1"/>
  <c r="G235" i="4" s="1"/>
  <c r="I235" i="4" s="1" a="1"/>
  <c r="I235" i="4" s="1"/>
  <c r="H235" i="4" s="1"/>
  <c r="G236" i="4" a="1"/>
  <c r="G236" i="4" s="1"/>
  <c r="I236" i="4" a="1"/>
  <c r="I236" i="4" s="1"/>
  <c r="G237" i="4" a="1"/>
  <c r="G237" i="4" s="1"/>
  <c r="I237" i="4" a="1"/>
  <c r="I237" i="4" s="1"/>
  <c r="G238" i="4" a="1"/>
  <c r="G238" i="4" s="1"/>
  <c r="I238" i="4" a="1"/>
  <c r="I238" i="4" s="1"/>
  <c r="G239" i="4" a="1"/>
  <c r="G239" i="4" s="1"/>
  <c r="I239" i="4" a="1"/>
  <c r="I239" i="4" s="1"/>
  <c r="G240" i="4" a="1"/>
  <c r="G240" i="4" s="1"/>
  <c r="I240" i="4" s="1" a="1"/>
  <c r="I240" i="4" s="1"/>
  <c r="H240" i="4" s="1"/>
  <c r="G241" i="4" a="1"/>
  <c r="G241" i="4" s="1"/>
  <c r="I241" i="4" a="1"/>
  <c r="I241" i="4" s="1"/>
  <c r="G242" i="4" a="1"/>
  <c r="G242" i="4" s="1"/>
  <c r="I242" i="4" a="1"/>
  <c r="I242" i="4" s="1"/>
  <c r="G243" i="4" a="1"/>
  <c r="G243" i="4" s="1"/>
  <c r="I243" i="4" a="1"/>
  <c r="I243" i="4" s="1"/>
  <c r="G244" i="4" a="1"/>
  <c r="G244" i="4" s="1"/>
  <c r="I244" i="4" a="1"/>
  <c r="I244" i="4" s="1"/>
  <c r="G245" i="4" a="1"/>
  <c r="G245" i="4" s="1"/>
  <c r="I245" i="4" s="1" a="1"/>
  <c r="I245" i="4" s="1"/>
  <c r="H245" i="4" s="1"/>
  <c r="G246" i="4" a="1"/>
  <c r="G246" i="4" s="1"/>
  <c r="I246" i="4" s="1" a="1"/>
  <c r="I246" i="4" s="1"/>
  <c r="H246" i="4" s="1"/>
  <c r="G247" i="4" a="1"/>
  <c r="G247" i="4" s="1"/>
  <c r="I247" i="4" a="1"/>
  <c r="I247" i="4" s="1"/>
  <c r="G248" i="4" a="1"/>
  <c r="G248" i="4" s="1"/>
  <c r="I248" i="4" a="1"/>
  <c r="I248" i="4" s="1"/>
  <c r="G249" i="4" a="1"/>
  <c r="G249" i="4" s="1"/>
  <c r="I249" i="4" s="1" a="1"/>
  <c r="I249" i="4" s="1"/>
  <c r="H249" i="4" s="1"/>
  <c r="G250" i="4" a="1"/>
  <c r="G250" i="4" s="1"/>
  <c r="I250" i="4" a="1"/>
  <c r="I250" i="4" s="1"/>
  <c r="G251" i="4" a="1"/>
  <c r="G251" i="4" s="1"/>
  <c r="I251" i="4" s="1" a="1"/>
  <c r="I251" i="4" s="1"/>
  <c r="H251" i="4" s="1"/>
  <c r="G252" i="4" a="1"/>
  <c r="G252" i="4" s="1"/>
  <c r="I252" i="4" a="1"/>
  <c r="I252" i="4" s="1"/>
  <c r="G253" i="4" a="1"/>
  <c r="G253" i="4" s="1"/>
  <c r="I253" i="4" a="1"/>
  <c r="I253" i="4" s="1"/>
  <c r="G254" i="4" a="1"/>
  <c r="G254" i="4" s="1"/>
  <c r="I254" i="4" a="1"/>
  <c r="I254" i="4" s="1"/>
  <c r="G255" i="4" a="1"/>
  <c r="G255" i="4" s="1"/>
  <c r="I255" i="4" s="1" a="1"/>
  <c r="I255" i="4" s="1"/>
  <c r="H255" i="4" s="1"/>
  <c r="G256" i="4" a="1"/>
  <c r="G256" i="4" s="1"/>
  <c r="I256" i="4" s="1" a="1"/>
  <c r="I256" i="4" s="1"/>
  <c r="H256" i="4" s="1"/>
  <c r="G257" i="4" a="1"/>
  <c r="G257" i="4" s="1"/>
  <c r="I257" i="4" a="1"/>
  <c r="I257" i="4" s="1"/>
  <c r="G258" i="4" a="1"/>
  <c r="G258" i="4" s="1"/>
  <c r="I258" i="4" a="1"/>
  <c r="I258" i="4" s="1"/>
  <c r="G259" i="4" a="1"/>
  <c r="G259" i="4" s="1"/>
  <c r="I259" i="4" s="1" a="1"/>
  <c r="I259" i="4" s="1"/>
  <c r="H259" i="4" s="1"/>
  <c r="G260" i="4" a="1"/>
  <c r="G260" i="4" s="1"/>
  <c r="I260" i="4" a="1"/>
  <c r="I260" i="4" s="1"/>
  <c r="G261" i="4" a="1"/>
  <c r="G261" i="4" s="1"/>
  <c r="I261" i="4" s="1" a="1"/>
  <c r="I261" i="4" s="1"/>
  <c r="H261" i="4" s="1"/>
  <c r="G262" i="4" a="1"/>
  <c r="G262" i="4" s="1"/>
  <c r="I262" i="4" a="1"/>
  <c r="I262" i="4" s="1"/>
  <c r="G263" i="4" a="1"/>
  <c r="G263" i="4" s="1"/>
  <c r="I263" i="4" a="1"/>
  <c r="I263" i="4" s="1"/>
  <c r="G264" i="4" a="1"/>
  <c r="G264" i="4" s="1"/>
  <c r="I264" i="4" s="1" a="1"/>
  <c r="I264" i="4" s="1"/>
  <c r="H264" i="4" s="1"/>
  <c r="G265" i="4" a="1"/>
  <c r="G265" i="4" s="1"/>
  <c r="I265" i="4" s="1" a="1"/>
  <c r="I265" i="4" s="1"/>
  <c r="H265" i="4" s="1"/>
  <c r="G266" i="4" a="1"/>
  <c r="G266" i="4" s="1"/>
  <c r="I266" i="4" a="1"/>
  <c r="I266" i="4" s="1"/>
  <c r="G267" i="4" a="1"/>
  <c r="G267" i="4" s="1"/>
  <c r="I267" i="4" s="1" a="1"/>
  <c r="I267" i="4" s="1"/>
  <c r="H267" i="4" s="1"/>
  <c r="G268" i="4" a="1"/>
  <c r="G268" i="4" s="1"/>
  <c r="I268" i="4" s="1" a="1"/>
  <c r="I268" i="4" s="1"/>
  <c r="H268" i="4" s="1"/>
  <c r="G269" i="4" a="1"/>
  <c r="G269" i="4" s="1"/>
  <c r="I269" i="4" a="1"/>
  <c r="I269" i="4" s="1"/>
  <c r="G270" i="4" a="1"/>
  <c r="G270" i="4" s="1"/>
  <c r="I270" i="4" a="1"/>
  <c r="I270" i="4" s="1"/>
  <c r="G271" i="4" a="1"/>
  <c r="G271" i="4" s="1"/>
  <c r="I271" i="4" a="1"/>
  <c r="I271" i="4" s="1"/>
  <c r="G272" i="4" a="1"/>
  <c r="G272" i="4" s="1"/>
  <c r="I272" i="4" a="1"/>
  <c r="I272" i="4" s="1"/>
  <c r="G273" i="4" a="1"/>
  <c r="G273" i="4" s="1"/>
  <c r="I273" i="4" a="1"/>
  <c r="I273" i="4" s="1"/>
  <c r="G274" i="4" a="1"/>
  <c r="G274" i="4" s="1"/>
  <c r="I274" i="4" s="1" a="1"/>
  <c r="I274" i="4" s="1"/>
  <c r="H274" i="4" s="1"/>
  <c r="G275" i="4" a="1"/>
  <c r="G275" i="4" s="1"/>
  <c r="I275" i="4" s="1" a="1"/>
  <c r="I275" i="4" s="1"/>
  <c r="H275" i="4" s="1"/>
  <c r="G276" i="4" a="1"/>
  <c r="G276" i="4" s="1"/>
  <c r="I276" i="4" a="1"/>
  <c r="I276" i="4" s="1"/>
  <c r="G277" i="4" a="1"/>
  <c r="G277" i="4" s="1"/>
  <c r="I277" i="4" a="1"/>
  <c r="I277" i="4" s="1"/>
  <c r="G278" i="4" a="1"/>
  <c r="G278" i="4" s="1"/>
  <c r="I278" i="4" s="1" a="1"/>
  <c r="I278" i="4" s="1"/>
  <c r="H278" i="4" s="1"/>
  <c r="G279" i="4" a="1"/>
  <c r="G279" i="4" s="1"/>
  <c r="I279" i="4" a="1"/>
  <c r="I279" i="4" s="1"/>
  <c r="G280" i="4" a="1"/>
  <c r="G280" i="4" s="1"/>
  <c r="I280" i="4" a="1"/>
  <c r="I280" i="4" s="1"/>
  <c r="G281" i="4" a="1"/>
  <c r="G281" i="4" s="1"/>
  <c r="I281" i="4" a="1"/>
  <c r="I281" i="4" s="1"/>
  <c r="G282" i="4" a="1"/>
  <c r="G282" i="4" s="1"/>
  <c r="I282" i="4" s="1" a="1"/>
  <c r="I282" i="4" s="1"/>
  <c r="H282" i="4" s="1"/>
  <c r="G283" i="4" a="1"/>
  <c r="G283" i="4" s="1"/>
  <c r="I283" i="4" a="1"/>
  <c r="I283" i="4" s="1"/>
  <c r="G284" i="4" a="1"/>
  <c r="G284" i="4" s="1"/>
  <c r="I284" i="4" a="1"/>
  <c r="I284" i="4" s="1"/>
  <c r="G285" i="4" a="1"/>
  <c r="G285" i="4" s="1"/>
  <c r="I285" i="4" a="1"/>
  <c r="I285" i="4" s="1"/>
  <c r="G286" i="4" a="1"/>
  <c r="G286" i="4" s="1"/>
  <c r="I286" i="4" a="1"/>
  <c r="I286" i="4" s="1"/>
  <c r="G287" i="4" a="1"/>
  <c r="G287" i="4" s="1"/>
  <c r="I287" i="4" s="1" a="1"/>
  <c r="I287" i="4" s="1"/>
  <c r="H287" i="4" s="1"/>
  <c r="G288" i="4" a="1"/>
  <c r="G288" i="4" s="1"/>
  <c r="I288" i="4" s="1" a="1"/>
  <c r="I288" i="4" s="1"/>
  <c r="H288" i="4" s="1"/>
  <c r="G289" i="4" a="1"/>
  <c r="G289" i="4" s="1"/>
  <c r="I289" i="4" s="1" a="1"/>
  <c r="I289" i="4" s="1"/>
  <c r="H289" i="4" s="1"/>
  <c r="G290" i="4" a="1"/>
  <c r="G290" i="4" s="1"/>
  <c r="I290" i="4" a="1"/>
  <c r="I290" i="4" s="1"/>
  <c r="G291" i="4" a="1"/>
  <c r="G291" i="4" s="1"/>
  <c r="I291" i="4" a="1"/>
  <c r="I291" i="4" s="1"/>
  <c r="G292" i="4" a="1"/>
  <c r="G292" i="4" s="1"/>
  <c r="I292" i="4" s="1" a="1"/>
  <c r="I292" i="4" s="1"/>
  <c r="H292" i="4" s="1"/>
  <c r="G293" i="4" a="1"/>
  <c r="G293" i="4" s="1"/>
  <c r="I293" i="4" s="1" a="1"/>
  <c r="I293" i="4" s="1"/>
  <c r="H293" i="4" s="1"/>
  <c r="G294" i="4" a="1"/>
  <c r="G294" i="4" s="1"/>
  <c r="I294" i="4" s="1" a="1"/>
  <c r="I294" i="4" s="1"/>
  <c r="H294" i="4" s="1"/>
  <c r="G295" i="4" a="1"/>
  <c r="G295" i="4" s="1"/>
  <c r="I295" i="4" a="1"/>
  <c r="I295" i="4" s="1"/>
  <c r="G296" i="4" a="1"/>
  <c r="G296" i="4" s="1"/>
  <c r="I296" i="4" a="1"/>
  <c r="I296" i="4" s="1"/>
  <c r="G297" i="4" a="1"/>
  <c r="G297" i="4" s="1"/>
  <c r="I297" i="4" s="1" a="1"/>
  <c r="I297" i="4" s="1"/>
  <c r="H297" i="4" s="1"/>
  <c r="G298" i="4" a="1"/>
  <c r="G298" i="4" s="1"/>
  <c r="I298" i="4" a="1"/>
  <c r="I298" i="4" s="1"/>
  <c r="G299" i="4" a="1"/>
  <c r="G299" i="4" s="1"/>
  <c r="I299" i="4" s="1" a="1"/>
  <c r="I299" i="4" s="1"/>
  <c r="H299" i="4" s="1"/>
  <c r="G300" i="4" a="1"/>
  <c r="G300" i="4" s="1"/>
  <c r="I300" i="4" a="1"/>
  <c r="I300" i="4" s="1"/>
  <c r="G301" i="4" a="1"/>
  <c r="G301" i="4" s="1"/>
  <c r="I301" i="4" s="1" a="1"/>
  <c r="I301" i="4" s="1"/>
  <c r="H301" i="4" s="1"/>
  <c r="G302" i="4" a="1"/>
  <c r="G302" i="4" s="1"/>
  <c r="I302" i="4" s="1" a="1"/>
  <c r="I302" i="4" s="1"/>
  <c r="H302" i="4" s="1"/>
  <c r="G303" i="4" a="1"/>
  <c r="G303" i="4" s="1"/>
  <c r="I303" i="4" s="1" a="1"/>
  <c r="I303" i="4" s="1"/>
  <c r="H303" i="4" s="1"/>
  <c r="G304" i="4" a="1"/>
  <c r="G304" i="4" s="1"/>
  <c r="I304" i="4" a="1"/>
  <c r="I304" i="4" s="1"/>
  <c r="G305" i="4" a="1"/>
  <c r="G305" i="4" s="1"/>
  <c r="I305" i="4" a="1"/>
  <c r="I305" i="4" s="1"/>
  <c r="G306" i="4" a="1"/>
  <c r="G306" i="4" s="1"/>
  <c r="I306" i="4" a="1"/>
  <c r="I306" i="4" s="1"/>
  <c r="G307" i="4" a="1"/>
  <c r="G307" i="4" s="1"/>
  <c r="I307" i="4" a="1"/>
  <c r="I307" i="4" s="1"/>
  <c r="G308" i="4" a="1"/>
  <c r="G308" i="4" s="1"/>
  <c r="I308" i="4" a="1"/>
  <c r="I308" i="4" s="1"/>
  <c r="G309" i="4" a="1"/>
  <c r="G309" i="4" s="1"/>
  <c r="I309" i="4" a="1"/>
  <c r="I309" i="4" s="1"/>
  <c r="G310" i="4" a="1"/>
  <c r="G310" i="4" s="1"/>
  <c r="I310" i="4" a="1"/>
  <c r="I310" i="4" s="1"/>
  <c r="G311" i="4" a="1"/>
  <c r="G311" i="4" s="1"/>
  <c r="I311" i="4" a="1"/>
  <c r="I311" i="4" s="1"/>
  <c r="G312" i="4" a="1"/>
  <c r="G312" i="4" s="1"/>
  <c r="I312" i="4" a="1"/>
  <c r="I312" i="4" s="1"/>
  <c r="G313" i="4" a="1"/>
  <c r="G313" i="4" s="1"/>
  <c r="I313" i="4" a="1"/>
  <c r="I313" i="4" s="1"/>
  <c r="G314" i="4" a="1"/>
  <c r="G314" i="4" s="1"/>
  <c r="I314" i="4" a="1"/>
  <c r="I314" i="4" s="1"/>
  <c r="G315" i="4" a="1"/>
  <c r="G315" i="4" s="1"/>
  <c r="I315" i="4" a="1"/>
  <c r="I315" i="4" s="1"/>
  <c r="G316" i="4" a="1"/>
  <c r="G316" i="4" s="1"/>
  <c r="I316" i="4" s="1" a="1"/>
  <c r="I316" i="4" s="1"/>
  <c r="H316" i="4" s="1"/>
  <c r="G317" i="4" a="1"/>
  <c r="G317" i="4" s="1"/>
  <c r="I317" i="4" a="1"/>
  <c r="I317" i="4" s="1"/>
  <c r="G318" i="4" a="1"/>
  <c r="G318" i="4" s="1"/>
  <c r="I318" i="4" a="1"/>
  <c r="I318" i="4" s="1"/>
  <c r="G319" i="4" a="1"/>
  <c r="G319" i="4" s="1"/>
  <c r="I319" i="4" a="1"/>
  <c r="I319" i="4" s="1"/>
  <c r="G320" i="4" a="1"/>
  <c r="G320" i="4" s="1"/>
  <c r="I320" i="4" a="1"/>
  <c r="I320" i="4" s="1"/>
  <c r="G321" i="4" a="1"/>
  <c r="G321" i="4" s="1"/>
  <c r="I321" i="4" a="1"/>
  <c r="I321" i="4" s="1"/>
  <c r="G322" i="4" a="1"/>
  <c r="G322" i="4" s="1"/>
  <c r="I322" i="4" a="1"/>
  <c r="I322" i="4" s="1"/>
  <c r="G323" i="4" a="1"/>
  <c r="G323" i="4" s="1"/>
  <c r="I323" i="4" a="1"/>
  <c r="I323" i="4" s="1"/>
  <c r="G324" i="4" a="1"/>
  <c r="G324" i="4" s="1"/>
  <c r="I324" i="4" a="1"/>
  <c r="I324" i="4" s="1"/>
  <c r="G325" i="4" a="1"/>
  <c r="G325" i="4" s="1"/>
  <c r="I325" i="4" s="1" a="1"/>
  <c r="I325" i="4" s="1"/>
  <c r="H325" i="4" s="1"/>
  <c r="G326" i="4" a="1"/>
  <c r="G326" i="4" s="1"/>
  <c r="I326" i="4" a="1"/>
  <c r="I326" i="4" s="1"/>
  <c r="G327" i="4" a="1"/>
  <c r="G327" i="4" s="1"/>
  <c r="I327" i="4" a="1"/>
  <c r="I327" i="4" s="1"/>
  <c r="G328" i="4" a="1"/>
  <c r="G328" i="4" s="1"/>
  <c r="I328" i="4" a="1"/>
  <c r="I328" i="4" s="1"/>
  <c r="G329" i="4" a="1"/>
  <c r="G329" i="4" s="1"/>
  <c r="I329" i="4" a="1"/>
  <c r="I329" i="4" s="1"/>
  <c r="G330" i="4" a="1"/>
  <c r="G330" i="4" s="1"/>
  <c r="I330" i="4" a="1"/>
  <c r="I330" i="4" s="1"/>
  <c r="G331" i="4" a="1"/>
  <c r="G331" i="4" s="1"/>
  <c r="I331" i="4" a="1"/>
  <c r="I331" i="4" s="1"/>
  <c r="G332" i="4" a="1"/>
  <c r="G332" i="4" s="1"/>
  <c r="I332" i="4" a="1"/>
  <c r="I332" i="4" s="1"/>
  <c r="G333" i="4" a="1"/>
  <c r="G333" i="4" s="1"/>
  <c r="I333" i="4" a="1"/>
  <c r="I333" i="4" s="1"/>
  <c r="G334" i="4" a="1"/>
  <c r="G334" i="4" s="1"/>
  <c r="I334" i="4" a="1"/>
  <c r="I334" i="4" s="1"/>
  <c r="G335" i="4" a="1"/>
  <c r="G335" i="4" s="1"/>
  <c r="I335" i="4" s="1" a="1"/>
  <c r="I335" i="4" s="1"/>
  <c r="H335" i="4" s="1"/>
  <c r="G336" i="4" a="1"/>
  <c r="G336" i="4" s="1"/>
  <c r="I336" i="4" a="1"/>
  <c r="I336" i="4" s="1"/>
  <c r="G337" i="4" a="1"/>
  <c r="G337" i="4" s="1"/>
  <c r="I337" i="4" a="1"/>
  <c r="I337" i="4" s="1"/>
  <c r="G338" i="4" a="1"/>
  <c r="G338" i="4" s="1"/>
  <c r="I338" i="4" s="1" a="1"/>
  <c r="I338" i="4" s="1"/>
  <c r="H338" i="4" s="1"/>
  <c r="G339" i="4" a="1"/>
  <c r="G339" i="4" s="1"/>
  <c r="I339" i="4" s="1" a="1"/>
  <c r="I339" i="4" s="1"/>
  <c r="H339" i="4" s="1"/>
  <c r="G340" i="4" a="1"/>
  <c r="G340" i="4" s="1"/>
  <c r="I340" i="4" s="1" a="1"/>
  <c r="I340" i="4" s="1"/>
  <c r="H340" i="4" s="1"/>
  <c r="G341" i="4" a="1"/>
  <c r="G341" i="4" s="1"/>
  <c r="I341" i="4" a="1"/>
  <c r="I341" i="4" s="1"/>
  <c r="G342" i="4" a="1"/>
  <c r="G342" i="4" s="1"/>
  <c r="I342" i="4" a="1"/>
  <c r="I342" i="4" s="1"/>
  <c r="G343" i="4" a="1"/>
  <c r="G343" i="4" s="1"/>
  <c r="I343" i="4" a="1"/>
  <c r="I343" i="4" s="1"/>
  <c r="G344" i="4" a="1"/>
  <c r="G344" i="4" s="1"/>
  <c r="I344" i="4" s="1" a="1"/>
  <c r="I344" i="4" s="1"/>
  <c r="H344" i="4" s="1"/>
  <c r="G345" i="4" a="1"/>
  <c r="G345" i="4" s="1"/>
  <c r="I345" i="4" s="1" a="1"/>
  <c r="I345" i="4" s="1"/>
  <c r="H345" i="4" s="1"/>
  <c r="G346" i="4" a="1"/>
  <c r="G346" i="4" s="1"/>
  <c r="I346" i="4" a="1"/>
  <c r="I346" i="4" s="1"/>
  <c r="G347" i="4" a="1"/>
  <c r="G347" i="4" s="1"/>
  <c r="I347" i="4" s="1" a="1"/>
  <c r="I347" i="4" s="1"/>
  <c r="H347" i="4" s="1"/>
  <c r="G348" i="4" a="1"/>
  <c r="G348" i="4" s="1"/>
  <c r="I348" i="4" s="1" a="1"/>
  <c r="I348" i="4" s="1"/>
  <c r="H348" i="4" s="1"/>
  <c r="G349" i="4" a="1"/>
  <c r="G349" i="4" s="1"/>
  <c r="I349" i="4" a="1"/>
  <c r="I349" i="4" s="1"/>
  <c r="G350" i="4" a="1"/>
  <c r="G350" i="4" s="1"/>
  <c r="I350" i="4" a="1"/>
  <c r="I350" i="4" s="1"/>
  <c r="G351" i="4" a="1"/>
  <c r="G351" i="4" s="1"/>
  <c r="I351" i="4" s="1" a="1"/>
  <c r="I351" i="4" s="1"/>
  <c r="H351" i="4" s="1"/>
  <c r="G352" i="4" a="1"/>
  <c r="G352" i="4" s="1"/>
  <c r="I352" i="4" a="1"/>
  <c r="I352" i="4" s="1"/>
  <c r="G353" i="4" a="1"/>
  <c r="G353" i="4" s="1"/>
  <c r="I353" i="4" a="1"/>
  <c r="I353" i="4" s="1"/>
  <c r="G354" i="4" a="1"/>
  <c r="G354" i="4" s="1"/>
  <c r="I354" i="4" s="1" a="1"/>
  <c r="I354" i="4" s="1"/>
  <c r="H354" i="4" s="1"/>
  <c r="G355" i="4" a="1"/>
  <c r="G355" i="4" s="1"/>
  <c r="I355" i="4" a="1"/>
  <c r="I355" i="4" s="1"/>
  <c r="G356" i="4" a="1"/>
  <c r="G356" i="4" s="1"/>
  <c r="I356" i="4" a="1"/>
  <c r="I356" i="4" s="1"/>
  <c r="G357" i="4" a="1"/>
  <c r="G357" i="4" s="1"/>
  <c r="I357" i="4" a="1"/>
  <c r="I357" i="4" s="1"/>
  <c r="G358" i="4" a="1"/>
  <c r="G358" i="4" s="1"/>
  <c r="I358" i="4" s="1" a="1"/>
  <c r="I358" i="4" s="1"/>
  <c r="H358" i="4" s="1"/>
  <c r="G359" i="4" a="1"/>
  <c r="G359" i="4" s="1"/>
  <c r="I359" i="4" a="1"/>
  <c r="I359" i="4" s="1"/>
  <c r="G360" i="4" a="1"/>
  <c r="G360" i="4" s="1"/>
  <c r="I360" i="4" s="1" a="1"/>
  <c r="I360" i="4" s="1"/>
  <c r="H360" i="4" s="1"/>
  <c r="G361" i="4" a="1"/>
  <c r="G361" i="4" s="1"/>
  <c r="I361" i="4" a="1"/>
  <c r="I361" i="4" s="1"/>
  <c r="G362" i="4" a="1"/>
  <c r="G362" i="4" s="1"/>
  <c r="I362" i="4" a="1"/>
  <c r="I362" i="4" s="1"/>
  <c r="G363" i="4" a="1"/>
  <c r="G363" i="4" s="1"/>
  <c r="I363" i="4" a="1"/>
  <c r="I363" i="4" s="1"/>
  <c r="G364" i="4" a="1"/>
  <c r="G364" i="4" s="1"/>
  <c r="I364" i="4" a="1"/>
  <c r="I364" i="4" s="1"/>
  <c r="G365" i="4" a="1"/>
  <c r="G365" i="4" s="1"/>
  <c r="I365" i="4" a="1"/>
  <c r="I365" i="4" s="1"/>
  <c r="G366" i="4" a="1"/>
  <c r="G366" i="4" s="1"/>
  <c r="I366" i="4" a="1"/>
  <c r="I366" i="4" s="1"/>
  <c r="G367" i="4" a="1"/>
  <c r="G367" i="4" s="1"/>
  <c r="I367" i="4" a="1"/>
  <c r="I367" i="4" s="1"/>
  <c r="G368" i="4" a="1"/>
  <c r="G368" i="4" s="1"/>
  <c r="I368" i="4" a="1"/>
  <c r="I368" i="4" s="1"/>
  <c r="G369" i="4" a="1"/>
  <c r="G369" i="4" s="1"/>
  <c r="I369" i="4" a="1"/>
  <c r="I369" i="4" s="1"/>
  <c r="G370" i="4" a="1"/>
  <c r="G370" i="4" s="1"/>
  <c r="I370" i="4" a="1"/>
  <c r="I370" i="4" s="1"/>
  <c r="G371" i="4" a="1"/>
  <c r="G371" i="4" s="1"/>
  <c r="I371" i="4" s="1" a="1"/>
  <c r="I371" i="4" s="1"/>
  <c r="H371" i="4" s="1"/>
  <c r="G372" i="4" a="1"/>
  <c r="G372" i="4" s="1"/>
  <c r="I372" i="4" s="1" a="1"/>
  <c r="I372" i="4" s="1"/>
  <c r="H372" i="4" s="1"/>
  <c r="G373" i="4" a="1"/>
  <c r="G373" i="4" s="1"/>
  <c r="I373" i="4" a="1"/>
  <c r="I373" i="4" s="1"/>
  <c r="G374" i="4" a="1"/>
  <c r="G374" i="4" s="1"/>
  <c r="I374" i="4" s="1" a="1"/>
  <c r="I374" i="4" s="1"/>
  <c r="H374" i="4" s="1"/>
  <c r="G375" i="4" a="1"/>
  <c r="G375" i="4" s="1"/>
  <c r="I375" i="4" a="1"/>
  <c r="I375" i="4" s="1"/>
  <c r="G376" i="4" a="1"/>
  <c r="G376" i="4" s="1"/>
  <c r="I376" i="4" a="1"/>
  <c r="I376" i="4" s="1"/>
  <c r="G377" i="4" a="1"/>
  <c r="G377" i="4" s="1"/>
  <c r="I377" i="4" s="1" a="1"/>
  <c r="I377" i="4" s="1"/>
  <c r="H377" i="4" s="1"/>
  <c r="G378" i="4" a="1"/>
  <c r="G378" i="4" s="1"/>
  <c r="I378" i="4" a="1"/>
  <c r="I378" i="4" s="1"/>
  <c r="G379" i="4" a="1"/>
  <c r="G379" i="4" s="1"/>
  <c r="I379" i="4" s="1" a="1"/>
  <c r="I379" i="4" s="1"/>
  <c r="H379" i="4" s="1"/>
  <c r="G380" i="4" a="1"/>
  <c r="G380" i="4" s="1"/>
  <c r="I380" i="4" a="1"/>
  <c r="I380" i="4" s="1"/>
  <c r="G381" i="4" a="1"/>
  <c r="G381" i="4" s="1"/>
  <c r="I381" i="4" a="1"/>
  <c r="I381" i="4" s="1"/>
  <c r="G382" i="4" a="1"/>
  <c r="G382" i="4" s="1"/>
  <c r="I382" i="4" s="1" a="1"/>
  <c r="I382" i="4" s="1"/>
  <c r="H382" i="4" s="1"/>
  <c r="G383" i="4" a="1"/>
  <c r="G383" i="4" s="1"/>
  <c r="I383" i="4" a="1"/>
  <c r="I383" i="4" s="1"/>
  <c r="G384" i="4" a="1"/>
  <c r="G384" i="4" s="1"/>
  <c r="I384" i="4" s="1" a="1"/>
  <c r="I384" i="4" s="1"/>
  <c r="H384" i="4" s="1"/>
  <c r="G385" i="4" a="1"/>
  <c r="G385" i="4" s="1"/>
  <c r="I385" i="4" s="1" a="1"/>
  <c r="I385" i="4" s="1"/>
  <c r="H385" i="4" s="1"/>
  <c r="G386" i="4" a="1"/>
  <c r="G386" i="4" s="1"/>
  <c r="I386" i="4" a="1"/>
  <c r="I386" i="4" s="1"/>
  <c r="G387" i="4" a="1"/>
  <c r="G387" i="4" s="1"/>
  <c r="I387" i="4" s="1" a="1"/>
  <c r="I387" i="4" s="1"/>
  <c r="H387" i="4" s="1"/>
  <c r="G388" i="4" a="1"/>
  <c r="G388" i="4" s="1"/>
  <c r="I388" i="4" a="1"/>
  <c r="I388" i="4" s="1"/>
  <c r="G389" i="4" a="1"/>
  <c r="G389" i="4" s="1"/>
  <c r="I389" i="4" s="1" a="1"/>
  <c r="I389" i="4" s="1"/>
  <c r="H389" i="4" s="1"/>
  <c r="G390" i="4" a="1"/>
  <c r="G390" i="4" s="1"/>
  <c r="I390" i="4" a="1"/>
  <c r="I390" i="4" s="1"/>
  <c r="G391" i="4" a="1"/>
  <c r="G391" i="4" s="1"/>
  <c r="I391" i="4" a="1"/>
  <c r="I391" i="4" s="1"/>
  <c r="G392" i="4" a="1"/>
  <c r="G392" i="4" s="1"/>
  <c r="I392" i="4" a="1"/>
  <c r="I392" i="4" s="1"/>
  <c r="G393" i="4" a="1"/>
  <c r="G393" i="4" s="1"/>
  <c r="I393" i="4" a="1"/>
  <c r="I393" i="4" s="1"/>
  <c r="G394" i="4" a="1"/>
  <c r="G394" i="4" s="1"/>
  <c r="I394" i="4" s="1" a="1"/>
  <c r="I394" i="4" s="1"/>
  <c r="H394" i="4" s="1"/>
  <c r="G395" i="4" a="1"/>
  <c r="G395" i="4" s="1"/>
  <c r="I395" i="4" a="1"/>
  <c r="I395" i="4" s="1"/>
  <c r="G396" i="4" a="1"/>
  <c r="G396" i="4" s="1"/>
  <c r="I396" i="4" a="1"/>
  <c r="I396" i="4" s="1"/>
  <c r="G397" i="4" a="1"/>
  <c r="G397" i="4" s="1"/>
  <c r="I397" i="4" a="1"/>
  <c r="I397" i="4" s="1"/>
  <c r="G398" i="4" a="1"/>
  <c r="G398" i="4" s="1"/>
  <c r="I398" i="4" s="1" a="1"/>
  <c r="I398" i="4" s="1"/>
  <c r="H398" i="4" s="1"/>
  <c r="G399" i="4" a="1"/>
  <c r="G399" i="4" s="1"/>
  <c r="I399" i="4" a="1"/>
  <c r="I399" i="4" s="1"/>
  <c r="G400" i="4" a="1"/>
  <c r="G400" i="4" s="1"/>
  <c r="I400" i="4" a="1"/>
  <c r="I400" i="4" s="1"/>
  <c r="G401" i="4" a="1"/>
  <c r="G401" i="4" s="1"/>
  <c r="I401" i="4" s="1" a="1"/>
  <c r="I401" i="4" s="1"/>
  <c r="H401" i="4" s="1"/>
  <c r="G402" i="4" a="1"/>
  <c r="G402" i="4" s="1"/>
  <c r="I402" i="4" s="1" a="1"/>
  <c r="I402" i="4" s="1"/>
  <c r="H402" i="4" s="1"/>
  <c r="G403" i="4" a="1"/>
  <c r="G403" i="4" s="1"/>
  <c r="I403" i="4" a="1"/>
  <c r="I403" i="4" s="1"/>
  <c r="G404" i="4" a="1"/>
  <c r="G404" i="4" s="1"/>
  <c r="I404" i="4" a="1"/>
  <c r="I404" i="4" s="1"/>
  <c r="G405" i="4" a="1"/>
  <c r="G405" i="4" s="1"/>
  <c r="I405" i="4" a="1"/>
  <c r="I405" i="4" s="1"/>
  <c r="G406" i="4" a="1"/>
  <c r="G406" i="4" s="1"/>
  <c r="I406" i="4" a="1"/>
  <c r="I406" i="4" s="1"/>
  <c r="G407" i="4" a="1"/>
  <c r="G407" i="4" s="1"/>
  <c r="I407" i="4" s="1" a="1"/>
  <c r="I407" i="4" s="1"/>
  <c r="H407" i="4" s="1"/>
  <c r="G408" i="4" a="1"/>
  <c r="G408" i="4" s="1"/>
  <c r="I408" i="4" a="1"/>
  <c r="I408" i="4" s="1"/>
  <c r="G409" i="4" a="1"/>
  <c r="G409" i="4" s="1"/>
  <c r="I409" i="4" a="1"/>
  <c r="I409" i="4" s="1"/>
  <c r="G410" i="4" a="1"/>
  <c r="G410" i="4" s="1"/>
  <c r="I410" i="4" s="1" a="1"/>
  <c r="I410" i="4" s="1"/>
  <c r="H410" i="4" s="1"/>
  <c r="G411" i="4" a="1"/>
  <c r="G411" i="4" s="1"/>
  <c r="I411" i="4" a="1"/>
  <c r="I411" i="4" s="1"/>
  <c r="G412" i="4" a="1"/>
  <c r="G412" i="4" s="1"/>
  <c r="I412" i="4" a="1"/>
  <c r="I412" i="4" s="1"/>
  <c r="G413" i="4" a="1"/>
  <c r="G413" i="4" s="1"/>
  <c r="I413" i="4" a="1"/>
  <c r="I413" i="4" s="1"/>
  <c r="G414" i="4" a="1"/>
  <c r="G414" i="4" s="1"/>
  <c r="I414" i="4" s="1" a="1"/>
  <c r="I414" i="4" s="1"/>
  <c r="H414" i="4" s="1"/>
  <c r="G415" i="4" a="1"/>
  <c r="G415" i="4" s="1"/>
  <c r="I415" i="4" a="1"/>
  <c r="I415" i="4" s="1"/>
  <c r="G416" i="4" a="1"/>
  <c r="G416" i="4" s="1"/>
  <c r="I416" i="4" a="1"/>
  <c r="I416" i="4" s="1"/>
  <c r="G417" i="4" a="1"/>
  <c r="G417" i="4" s="1"/>
  <c r="I417" i="4" a="1"/>
  <c r="I417" i="4" s="1"/>
  <c r="G418" i="4" a="1"/>
  <c r="G418" i="4" s="1"/>
  <c r="I418" i="4" a="1"/>
  <c r="I418" i="4" s="1"/>
  <c r="G419" i="4" a="1"/>
  <c r="G419" i="4" s="1"/>
  <c r="I419" i="4" a="1"/>
  <c r="I419" i="4" s="1"/>
  <c r="G420" i="4" a="1"/>
  <c r="G420" i="4" s="1"/>
  <c r="I420" i="4" a="1"/>
  <c r="I420" i="4" s="1"/>
  <c r="G421" i="4" a="1"/>
  <c r="G421" i="4" s="1"/>
  <c r="I421" i="4" a="1"/>
  <c r="I421" i="4" s="1"/>
  <c r="G422" i="4" a="1"/>
  <c r="G422" i="4" s="1"/>
  <c r="I422" i="4" s="1" a="1"/>
  <c r="I422" i="4" s="1"/>
  <c r="H422" i="4" s="1"/>
  <c r="G423" i="4" a="1"/>
  <c r="G423" i="4" s="1"/>
  <c r="I423" i="4" s="1" a="1"/>
  <c r="I423" i="4" s="1"/>
  <c r="H423" i="4" s="1"/>
  <c r="G424" i="4" a="1"/>
  <c r="G424" i="4" s="1"/>
  <c r="I424" i="4" s="1" a="1"/>
  <c r="I424" i="4" s="1"/>
  <c r="H424" i="4" s="1"/>
  <c r="G425" i="4" a="1"/>
  <c r="G425" i="4" s="1"/>
  <c r="I425" i="4" a="1"/>
  <c r="I425" i="4" s="1"/>
  <c r="G426" i="4" a="1"/>
  <c r="G426" i="4" s="1"/>
  <c r="I426" i="4" s="1" a="1"/>
  <c r="I426" i="4" s="1"/>
  <c r="H426" i="4" s="1"/>
  <c r="G427" i="4" a="1"/>
  <c r="G427" i="4" s="1"/>
  <c r="I427" i="4" a="1"/>
  <c r="I427" i="4" s="1"/>
  <c r="G428" i="4" a="1"/>
  <c r="G428" i="4" s="1"/>
  <c r="I428" i="4" a="1"/>
  <c r="I428" i="4" s="1"/>
  <c r="G429" i="4" a="1"/>
  <c r="G429" i="4" s="1"/>
  <c r="I429" i="4" a="1"/>
  <c r="I429" i="4" s="1"/>
  <c r="G430" i="4" a="1"/>
  <c r="G430" i="4" s="1"/>
  <c r="I430" i="4" s="1" a="1"/>
  <c r="I430" i="4" s="1"/>
  <c r="H430" i="4" s="1"/>
  <c r="G431" i="4" a="1"/>
  <c r="G431" i="4" s="1"/>
  <c r="I431" i="4" a="1"/>
  <c r="I431" i="4" s="1"/>
  <c r="G432" i="4" a="1"/>
  <c r="G432" i="4" s="1"/>
  <c r="I432" i="4" s="1" a="1"/>
  <c r="I432" i="4" s="1"/>
  <c r="H432" i="4" s="1"/>
  <c r="G433" i="4" a="1"/>
  <c r="G433" i="4" s="1"/>
  <c r="I433" i="4" a="1"/>
  <c r="I433" i="4" s="1"/>
  <c r="G434" i="4" a="1"/>
  <c r="G434" i="4" s="1"/>
  <c r="I434" i="4" s="1" a="1"/>
  <c r="I434" i="4" s="1"/>
  <c r="H434" i="4" s="1"/>
  <c r="G435" i="4" a="1"/>
  <c r="G435" i="4" s="1"/>
  <c r="I435" i="4" s="1" a="1"/>
  <c r="I435" i="4" s="1"/>
  <c r="H435" i="4" s="1"/>
  <c r="G436" i="4" a="1"/>
  <c r="G436" i="4" s="1"/>
  <c r="I436" i="4" a="1"/>
  <c r="I436" i="4" s="1"/>
  <c r="G437" i="4" a="1"/>
  <c r="G437" i="4" s="1"/>
  <c r="I437" i="4" s="1" a="1"/>
  <c r="I437" i="4" s="1"/>
  <c r="H437" i="4" s="1"/>
  <c r="G438" i="4" a="1"/>
  <c r="G438" i="4" s="1"/>
  <c r="I438" i="4" a="1"/>
  <c r="I438" i="4" s="1"/>
  <c r="G439" i="4" a="1"/>
  <c r="G439" i="4" s="1"/>
  <c r="I439" i="4" a="1"/>
  <c r="I439" i="4" s="1"/>
  <c r="G440" i="4" a="1"/>
  <c r="G440" i="4" s="1"/>
  <c r="I440" i="4" a="1"/>
  <c r="I440" i="4" s="1"/>
  <c r="G441" i="4" a="1"/>
  <c r="G441" i="4" s="1"/>
  <c r="I441" i="4" s="1" a="1"/>
  <c r="I441" i="4" s="1"/>
  <c r="H441" i="4" s="1"/>
  <c r="G442" i="4" a="1"/>
  <c r="G442" i="4" s="1"/>
  <c r="I442" i="4" a="1"/>
  <c r="I442" i="4" s="1"/>
  <c r="G443" i="4" a="1"/>
  <c r="G443" i="4" s="1"/>
  <c r="I443" i="4" s="1" a="1"/>
  <c r="I443" i="4" s="1"/>
  <c r="H443" i="4" s="1"/>
  <c r="G444" i="4" a="1"/>
  <c r="G444" i="4" s="1"/>
  <c r="I444" i="4" s="1" a="1"/>
  <c r="I444" i="4" s="1"/>
  <c r="H444" i="4" s="1"/>
  <c r="G445" i="4" a="1"/>
  <c r="G445" i="4" s="1"/>
  <c r="I445" i="4" a="1"/>
  <c r="I445" i="4" s="1"/>
  <c r="G446" i="4" a="1"/>
  <c r="G446" i="4" s="1"/>
  <c r="I446" i="4" s="1" a="1"/>
  <c r="I446" i="4" s="1"/>
  <c r="H446" i="4" s="1"/>
  <c r="G447" i="4" a="1"/>
  <c r="G447" i="4" s="1"/>
  <c r="I447" i="4" a="1"/>
  <c r="I447" i="4" s="1"/>
  <c r="G448" i="4" a="1"/>
  <c r="G448" i="4" s="1"/>
  <c r="I448" i="4" a="1"/>
  <c r="I448" i="4" s="1"/>
  <c r="G449" i="4" a="1"/>
  <c r="G449" i="4" s="1"/>
  <c r="I449" i="4" a="1"/>
  <c r="I449" i="4" s="1"/>
  <c r="G450" i="4" a="1"/>
  <c r="G450" i="4" s="1"/>
  <c r="I450" i="4" a="1"/>
  <c r="I450" i="4" s="1"/>
  <c r="G451" i="4" a="1"/>
  <c r="G451" i="4" s="1"/>
  <c r="I451" i="4" s="1" a="1"/>
  <c r="I451" i="4" s="1"/>
  <c r="H451" i="4" s="1"/>
  <c r="G452" i="4" a="1"/>
  <c r="G452" i="4" s="1"/>
  <c r="I452" i="4" a="1"/>
  <c r="I452" i="4" s="1"/>
  <c r="G453" i="4" a="1"/>
  <c r="G453" i="4" s="1"/>
  <c r="I453" i="4" a="1"/>
  <c r="I453" i="4" s="1"/>
  <c r="G454" i="4" a="1"/>
  <c r="G454" i="4" s="1"/>
  <c r="I454" i="4" s="1" a="1"/>
  <c r="I454" i="4" s="1"/>
  <c r="H454" i="4" s="1"/>
  <c r="G455" i="4" a="1"/>
  <c r="G455" i="4" s="1"/>
  <c r="I455" i="4" a="1"/>
  <c r="I455" i="4" s="1"/>
  <c r="G456" i="4" a="1"/>
  <c r="G456" i="4" s="1"/>
  <c r="I456" i="4" s="1" a="1"/>
  <c r="I456" i="4" s="1"/>
  <c r="H456" i="4" s="1"/>
  <c r="G457" i="4" a="1"/>
  <c r="G457" i="4" s="1"/>
  <c r="I457" i="4" a="1"/>
  <c r="I457" i="4" s="1"/>
  <c r="G458" i="4" a="1"/>
  <c r="G458" i="4" s="1"/>
  <c r="I458" i="4" s="1" a="1"/>
  <c r="I458" i="4" s="1"/>
  <c r="H458" i="4" s="1"/>
  <c r="G459" i="4" a="1"/>
  <c r="G459" i="4" s="1"/>
  <c r="I459" i="4" a="1"/>
  <c r="I459" i="4" s="1"/>
  <c r="G460" i="4" a="1"/>
  <c r="G460" i="4" s="1"/>
  <c r="I460" i="4" a="1"/>
  <c r="I460" i="4" s="1"/>
  <c r="G461" i="4" a="1"/>
  <c r="G461" i="4" s="1"/>
  <c r="I461" i="4" s="1" a="1"/>
  <c r="I461" i="4" s="1"/>
  <c r="H461" i="4" s="1"/>
  <c r="G462" i="4" a="1"/>
  <c r="G462" i="4" s="1"/>
  <c r="I462" i="4" s="1" a="1"/>
  <c r="I462" i="4" s="1"/>
  <c r="H462" i="4" s="1"/>
  <c r="G463" i="4" a="1"/>
  <c r="G463" i="4" s="1"/>
  <c r="I463" i="4" s="1" a="1"/>
  <c r="I463" i="4" s="1"/>
  <c r="H463" i="4" s="1"/>
  <c r="G464" i="4" a="1"/>
  <c r="G464" i="4" s="1"/>
  <c r="I464" i="4" s="1" a="1"/>
  <c r="I464" i="4" s="1"/>
  <c r="H464" i="4" s="1"/>
  <c r="G465" i="4" a="1"/>
  <c r="G465" i="4" s="1"/>
  <c r="I465" i="4" a="1"/>
  <c r="I465" i="4" s="1"/>
  <c r="G466" i="4" a="1"/>
  <c r="G466" i="4" s="1"/>
  <c r="I466" i="4" a="1"/>
  <c r="I466" i="4" s="1"/>
  <c r="G467" i="4" a="1"/>
  <c r="G467" i="4" s="1"/>
  <c r="I467" i="4" s="1" a="1"/>
  <c r="I467" i="4" s="1"/>
  <c r="H467" i="4" s="1"/>
  <c r="G468" i="4" a="1"/>
  <c r="G468" i="4" s="1"/>
  <c r="I468" i="4" s="1" a="1"/>
  <c r="I468" i="4" s="1"/>
  <c r="H468" i="4" s="1"/>
  <c r="G469" i="4" a="1"/>
  <c r="G469" i="4" s="1"/>
  <c r="I469" i="4" s="1" a="1"/>
  <c r="I469" i="4" s="1"/>
  <c r="H469" i="4" s="1"/>
  <c r="G470" i="4" a="1"/>
  <c r="G470" i="4" s="1"/>
  <c r="I470" i="4" a="1"/>
  <c r="I470" i="4" s="1"/>
  <c r="G471" i="4" a="1"/>
  <c r="G471" i="4" s="1"/>
  <c r="I471" i="4" a="1"/>
  <c r="I471" i="4" s="1"/>
  <c r="G472" i="4" a="1"/>
  <c r="G472" i="4" s="1"/>
  <c r="I472" i="4" a="1"/>
  <c r="I472" i="4" s="1"/>
  <c r="G473" i="4" a="1"/>
  <c r="G473" i="4" s="1"/>
  <c r="I473" i="4" s="1" a="1"/>
  <c r="I473" i="4" s="1"/>
  <c r="H473" i="4" s="1"/>
  <c r="G474" i="4" a="1"/>
  <c r="G474" i="4" s="1"/>
  <c r="I474" i="4" a="1"/>
  <c r="I474" i="4" s="1"/>
  <c r="G475" i="4" a="1"/>
  <c r="G475" i="4" s="1"/>
  <c r="I475" i="4" s="1" a="1"/>
  <c r="I475" i="4" s="1"/>
  <c r="H475" i="4" s="1"/>
  <c r="G476" i="4" a="1"/>
  <c r="G476" i="4" s="1"/>
  <c r="I476" i="4" a="1"/>
  <c r="I476" i="4" s="1"/>
  <c r="G477" i="4" a="1"/>
  <c r="G477" i="4" s="1"/>
  <c r="I477" i="4" s="1" a="1"/>
  <c r="I477" i="4" s="1"/>
  <c r="H477" i="4" s="1"/>
  <c r="G478" i="4" a="1"/>
  <c r="G478" i="4" s="1"/>
  <c r="I478" i="4" a="1"/>
  <c r="I478" i="4" s="1"/>
  <c r="G479" i="4" a="1"/>
  <c r="G479" i="4" s="1"/>
  <c r="I479" i="4" a="1"/>
  <c r="I479" i="4" s="1"/>
  <c r="G480" i="4" a="1"/>
  <c r="G480" i="4" s="1"/>
  <c r="I480" i="4" a="1"/>
  <c r="I480" i="4" s="1"/>
  <c r="G481" i="4" a="1"/>
  <c r="G481" i="4" s="1"/>
  <c r="I481" i="4" a="1"/>
  <c r="I481" i="4" s="1"/>
  <c r="G482" i="4" a="1"/>
  <c r="G482" i="4" s="1"/>
  <c r="I482" i="4" a="1"/>
  <c r="I482" i="4" s="1"/>
  <c r="G483" i="4" a="1"/>
  <c r="G483" i="4" s="1"/>
  <c r="I483" i="4" a="1"/>
  <c r="I483" i="4" s="1"/>
  <c r="G484" i="4" a="1"/>
  <c r="G484" i="4" s="1"/>
  <c r="I484" i="4" s="1" a="1"/>
  <c r="I484" i="4" s="1"/>
  <c r="H484" i="4" s="1"/>
  <c r="G485" i="4" a="1"/>
  <c r="G485" i="4" s="1"/>
  <c r="I485" i="4" a="1"/>
  <c r="I485" i="4" s="1"/>
  <c r="G486" i="4" a="1"/>
  <c r="G486" i="4" s="1"/>
  <c r="I486" i="4" a="1"/>
  <c r="I486" i="4" s="1"/>
  <c r="G487" i="4" a="1"/>
  <c r="G487" i="4" s="1"/>
  <c r="I487" i="4" a="1"/>
  <c r="I487" i="4" s="1"/>
  <c r="G488" i="4" a="1"/>
  <c r="G488" i="4" s="1"/>
  <c r="I488" i="4" a="1"/>
  <c r="I488" i="4" s="1"/>
  <c r="G489" i="4" a="1"/>
  <c r="G489" i="4" s="1"/>
  <c r="I489" i="4" s="1" a="1"/>
  <c r="I489" i="4" s="1"/>
  <c r="H489" i="4" s="1"/>
  <c r="G490" i="4" a="1"/>
  <c r="G490" i="4" s="1"/>
  <c r="I490" i="4" a="1"/>
  <c r="I490" i="4" s="1"/>
  <c r="G491" i="4" a="1"/>
  <c r="G491" i="4" s="1"/>
  <c r="I491" i="4" s="1" a="1"/>
  <c r="I491" i="4" s="1"/>
  <c r="H491" i="4" s="1"/>
  <c r="G492" i="4" a="1"/>
  <c r="G492" i="4" s="1"/>
  <c r="I492" i="4" a="1"/>
  <c r="I492" i="4" s="1"/>
  <c r="G493" i="4" a="1"/>
  <c r="G493" i="4" s="1"/>
  <c r="I493" i="4" a="1"/>
  <c r="I493" i="4" s="1"/>
  <c r="G494" i="4" a="1"/>
  <c r="G494" i="4" s="1"/>
  <c r="I494" i="4" a="1"/>
  <c r="I494" i="4" s="1"/>
  <c r="G495" i="4" a="1"/>
  <c r="G495" i="4" s="1"/>
  <c r="I495" i="4" s="1" a="1"/>
  <c r="I495" i="4" s="1"/>
  <c r="H495" i="4" s="1"/>
  <c r="G496" i="4" a="1"/>
  <c r="G496" i="4" s="1"/>
  <c r="I496" i="4" a="1"/>
  <c r="I496" i="4" s="1"/>
  <c r="G497" i="4" a="1"/>
  <c r="G497" i="4" s="1"/>
  <c r="I497" i="4" a="1"/>
  <c r="I497" i="4" s="1"/>
  <c r="G498" i="4" a="1"/>
  <c r="G498" i="4" s="1"/>
  <c r="I498" i="4" s="1" a="1"/>
  <c r="I498" i="4" s="1"/>
  <c r="H498" i="4" s="1"/>
  <c r="G499" i="4" a="1"/>
  <c r="G499" i="4" s="1"/>
  <c r="I499" i="4" a="1"/>
  <c r="I499" i="4" s="1"/>
  <c r="G500" i="4" a="1"/>
  <c r="G500" i="4" s="1"/>
  <c r="I500" i="4" a="1"/>
  <c r="I500" i="4" s="1"/>
  <c r="G501" i="4" a="1"/>
  <c r="G501" i="4" s="1"/>
  <c r="I501" i="4" a="1"/>
  <c r="I501" i="4" s="1"/>
  <c r="G502" i="4" a="1"/>
  <c r="G502" i="4" s="1"/>
  <c r="I502" i="4" a="1"/>
  <c r="I502" i="4" s="1"/>
  <c r="G503" i="4" a="1"/>
  <c r="G503" i="4" s="1"/>
  <c r="I503" i="4" s="1" a="1"/>
  <c r="I503" i="4" s="1"/>
  <c r="H503" i="4" s="1"/>
  <c r="G504" i="4" a="1"/>
  <c r="G504" i="4" s="1"/>
  <c r="I504" i="4" s="1" a="1"/>
  <c r="I504" i="4" s="1"/>
  <c r="H504" i="4" s="1"/>
  <c r="G505" i="4" a="1"/>
  <c r="G505" i="4" s="1"/>
  <c r="I505" i="4" s="1" a="1"/>
  <c r="I505" i="4" s="1"/>
  <c r="H505" i="4" s="1"/>
  <c r="G506" i="4" a="1"/>
  <c r="G506" i="4" s="1"/>
  <c r="I506" i="4" a="1"/>
  <c r="I506" i="4" s="1"/>
  <c r="G507" i="4" a="1"/>
  <c r="G507" i="4" s="1"/>
  <c r="I507" i="4" s="1" a="1"/>
  <c r="I507" i="4" s="1"/>
  <c r="H507" i="4" s="1"/>
  <c r="G508" i="4" a="1"/>
  <c r="G508" i="4" s="1"/>
  <c r="I508" i="4" a="1"/>
  <c r="I508" i="4" s="1"/>
  <c r="G509" i="4" a="1"/>
  <c r="G509" i="4" s="1"/>
  <c r="I509" i="4" a="1"/>
  <c r="I509" i="4" s="1"/>
  <c r="G510" i="4" a="1"/>
  <c r="G510" i="4" s="1"/>
  <c r="I510" i="4" s="1" a="1"/>
  <c r="I510" i="4" s="1"/>
  <c r="H510" i="4" s="1"/>
  <c r="G511" i="4" a="1"/>
  <c r="G511" i="4" s="1"/>
  <c r="I511" i="4" a="1"/>
  <c r="I511" i="4" s="1"/>
  <c r="G512" i="4" a="1"/>
  <c r="G512" i="4" s="1"/>
  <c r="I512" i="4" s="1" a="1"/>
  <c r="I512" i="4" s="1"/>
  <c r="H512" i="4" s="1"/>
  <c r="G513" i="4" a="1"/>
  <c r="G513" i="4" s="1"/>
  <c r="I513" i="4" a="1"/>
  <c r="I513" i="4" s="1"/>
  <c r="G514" i="4" a="1"/>
  <c r="G514" i="4" s="1"/>
  <c r="I514" i="4" a="1"/>
  <c r="I514" i="4" s="1"/>
  <c r="G515" i="4" a="1"/>
  <c r="G515" i="4" s="1"/>
  <c r="I515" i="4" a="1"/>
  <c r="I515" i="4" s="1"/>
  <c r="G516" i="4" a="1"/>
  <c r="G516" i="4" s="1"/>
  <c r="I516" i="4" a="1"/>
  <c r="I516" i="4" s="1"/>
  <c r="G517" i="4" a="1"/>
  <c r="G517" i="4" s="1"/>
  <c r="I517" i="4" s="1" a="1"/>
  <c r="I517" i="4" s="1"/>
  <c r="H517" i="4" s="1"/>
  <c r="G518" i="4" a="1"/>
  <c r="G518" i="4" s="1"/>
  <c r="I518" i="4" a="1"/>
  <c r="I518" i="4" s="1"/>
  <c r="G519" i="4" a="1"/>
  <c r="G519" i="4" s="1"/>
  <c r="I519" i="4" a="1"/>
  <c r="I519" i="4" s="1"/>
  <c r="G520" i="4" a="1"/>
  <c r="G520" i="4" s="1"/>
  <c r="I520" i="4" a="1"/>
  <c r="I520" i="4" s="1"/>
  <c r="G521" i="4" a="1"/>
  <c r="G521" i="4" s="1"/>
  <c r="I521" i="4" a="1"/>
  <c r="I521" i="4" s="1"/>
  <c r="G522" i="4" a="1"/>
  <c r="G522" i="4" s="1"/>
  <c r="I522" i="4" a="1"/>
  <c r="I522" i="4" s="1"/>
  <c r="G523" i="4" a="1"/>
  <c r="G523" i="4" s="1"/>
  <c r="I523" i="4" s="1" a="1"/>
  <c r="I523" i="4" s="1"/>
  <c r="H523" i="4" s="1"/>
  <c r="G524" i="4" a="1"/>
  <c r="G524" i="4" s="1"/>
  <c r="I524" i="4" a="1"/>
  <c r="I524" i="4" s="1"/>
  <c r="G525" i="4" a="1"/>
  <c r="G525" i="4" s="1"/>
  <c r="I525" i="4" s="1" a="1"/>
  <c r="I525" i="4" s="1"/>
  <c r="H525" i="4" s="1"/>
  <c r="G526" i="4" a="1"/>
  <c r="G526" i="4" s="1"/>
  <c r="I526" i="4" s="1" a="1"/>
  <c r="I526" i="4" s="1"/>
  <c r="H526" i="4" s="1"/>
  <c r="G527" i="4" a="1"/>
  <c r="G527" i="4" s="1"/>
  <c r="I527" i="4" a="1"/>
  <c r="I527" i="4" s="1"/>
  <c r="G528" i="4" a="1"/>
  <c r="G528" i="4" s="1"/>
  <c r="I528" i="4" a="1"/>
  <c r="I528" i="4" s="1"/>
  <c r="G529" i="4" a="1"/>
  <c r="G529" i="4" s="1"/>
  <c r="I529" i="4" a="1"/>
  <c r="I529" i="4" s="1"/>
  <c r="G530" i="4" a="1"/>
  <c r="G530" i="4" s="1"/>
  <c r="I530" i="4" a="1"/>
  <c r="I530" i="4" s="1"/>
  <c r="G531" i="4" a="1"/>
  <c r="G531" i="4" s="1"/>
  <c r="I531" i="4" a="1"/>
  <c r="I531" i="4" s="1"/>
  <c r="G532" i="4" a="1"/>
  <c r="G532" i="4" s="1"/>
  <c r="I532" i="4" s="1" a="1"/>
  <c r="I532" i="4" s="1"/>
  <c r="H532" i="4" s="1"/>
  <c r="G533" i="4" a="1"/>
  <c r="G533" i="4" s="1"/>
  <c r="I533" i="4" a="1"/>
  <c r="I533" i="4" s="1"/>
  <c r="G534" i="4" a="1"/>
  <c r="G534" i="4" s="1"/>
  <c r="I534" i="4" a="1"/>
  <c r="I534" i="4" s="1"/>
  <c r="G535" i="4" a="1"/>
  <c r="G535" i="4" s="1"/>
  <c r="I535" i="4" a="1"/>
  <c r="I535" i="4" s="1"/>
  <c r="G536" i="4" a="1"/>
  <c r="G536" i="4" s="1"/>
  <c r="I536" i="4" a="1"/>
  <c r="I536" i="4" s="1"/>
  <c r="G537" i="4" a="1"/>
  <c r="G537" i="4" s="1"/>
  <c r="I537" i="4" s="1" a="1"/>
  <c r="I537" i="4" s="1"/>
  <c r="H537" i="4" s="1"/>
  <c r="G538" i="4" a="1"/>
  <c r="G538" i="4" s="1"/>
  <c r="I538" i="4" a="1"/>
  <c r="I538" i="4" s="1"/>
  <c r="G539" i="4" a="1"/>
  <c r="G539" i="4" s="1"/>
  <c r="I539" i="4" s="1" a="1"/>
  <c r="I539" i="4" s="1"/>
  <c r="H539" i="4" s="1"/>
  <c r="G540" i="4" a="1"/>
  <c r="G540" i="4" s="1"/>
  <c r="I540" i="4" s="1" a="1"/>
  <c r="I540" i="4" s="1"/>
  <c r="H540" i="4" s="1"/>
  <c r="G541" i="4" a="1"/>
  <c r="G541" i="4" s="1"/>
  <c r="I541" i="4" a="1"/>
  <c r="I541" i="4" s="1"/>
  <c r="G542" i="4" a="1"/>
  <c r="G542" i="4" s="1"/>
  <c r="I542" i="4" a="1"/>
  <c r="I542" i="4" s="1"/>
  <c r="G543" i="4" a="1"/>
  <c r="G543" i="4" s="1"/>
  <c r="I543" i="4" a="1"/>
  <c r="I543" i="4" s="1"/>
  <c r="G544" i="4" a="1"/>
  <c r="G544" i="4" s="1"/>
  <c r="I544" i="4" a="1"/>
  <c r="I544" i="4" s="1"/>
  <c r="G545" i="4" a="1"/>
  <c r="G545" i="4" s="1"/>
  <c r="I545" i="4" a="1"/>
  <c r="I545" i="4" s="1"/>
  <c r="G546" i="4" a="1"/>
  <c r="G546" i="4" s="1"/>
  <c r="I546" i="4" a="1"/>
  <c r="I546" i="4" s="1"/>
  <c r="G547" i="4" a="1"/>
  <c r="G547" i="4" s="1"/>
  <c r="I547" i="4" a="1"/>
  <c r="I547" i="4" s="1"/>
  <c r="G548" i="4" a="1"/>
  <c r="G548" i="4" s="1"/>
  <c r="I548" i="4" a="1"/>
  <c r="I548" i="4" s="1"/>
  <c r="G549" i="4" a="1"/>
  <c r="G549" i="4" s="1"/>
  <c r="I549" i="4" a="1"/>
  <c r="I549" i="4" s="1"/>
  <c r="G550" i="4" a="1"/>
  <c r="G550" i="4" s="1"/>
  <c r="I550" i="4" s="1" a="1"/>
  <c r="I550" i="4" s="1"/>
  <c r="H550" i="4" s="1"/>
  <c r="G551" i="4" a="1"/>
  <c r="G551" i="4" s="1"/>
  <c r="I551" i="4" a="1"/>
  <c r="I551" i="4" s="1"/>
  <c r="G552" i="4" a="1"/>
  <c r="G552" i="4" s="1"/>
  <c r="I552" i="4" a="1"/>
  <c r="I552" i="4" s="1"/>
  <c r="G553" i="4" a="1"/>
  <c r="G553" i="4" s="1"/>
  <c r="I553" i="4" a="1"/>
  <c r="I553" i="4" s="1"/>
  <c r="G554" i="4" a="1"/>
  <c r="G554" i="4" s="1"/>
  <c r="I554" i="4" a="1"/>
  <c r="I554" i="4" s="1"/>
  <c r="G555" i="4" a="1"/>
  <c r="G555" i="4" s="1"/>
  <c r="I555" i="4" a="1"/>
  <c r="I555" i="4" s="1"/>
  <c r="G556" i="4" a="1"/>
  <c r="G556" i="4" s="1"/>
  <c r="I556" i="4" a="1"/>
  <c r="I556" i="4" s="1"/>
  <c r="G557" i="4" a="1"/>
  <c r="G557" i="4" s="1"/>
  <c r="I557" i="4" s="1" a="1"/>
  <c r="I557" i="4" s="1"/>
  <c r="H557" i="4" s="1"/>
  <c r="G558" i="4" a="1"/>
  <c r="G558" i="4" s="1"/>
  <c r="I558" i="4" s="1" a="1"/>
  <c r="I558" i="4" s="1"/>
  <c r="H558" i="4" s="1"/>
  <c r="G559" i="4" a="1"/>
  <c r="G559" i="4" s="1"/>
  <c r="I559" i="4" s="1" a="1"/>
  <c r="I559" i="4" s="1"/>
  <c r="H559" i="4" s="1"/>
  <c r="G560" i="4" a="1"/>
  <c r="G560" i="4" s="1"/>
  <c r="I560" i="4" a="1"/>
  <c r="I560" i="4" s="1"/>
  <c r="G561" i="4" a="1"/>
  <c r="G561" i="4" s="1"/>
  <c r="I561" i="4" a="1"/>
  <c r="I561" i="4" s="1"/>
  <c r="G562" i="4" a="1"/>
  <c r="G562" i="4" s="1"/>
  <c r="I562" i="4" a="1"/>
  <c r="I562" i="4" s="1"/>
  <c r="G563" i="4" a="1"/>
  <c r="G563" i="4" s="1"/>
  <c r="I563" i="4" a="1"/>
  <c r="I563" i="4" s="1"/>
  <c r="G564" i="4" a="1"/>
  <c r="G564" i="4" s="1"/>
  <c r="I564" i="4" a="1"/>
  <c r="I564" i="4" s="1"/>
  <c r="G565" i="4" a="1"/>
  <c r="G565" i="4" s="1"/>
  <c r="I565" i="4" a="1"/>
  <c r="I565" i="4" s="1"/>
  <c r="G566" i="4" a="1"/>
  <c r="G566" i="4" s="1"/>
  <c r="I566" i="4" s="1" a="1"/>
  <c r="I566" i="4" s="1"/>
  <c r="H566" i="4" s="1"/>
  <c r="G567" i="4" a="1"/>
  <c r="G567" i="4" s="1"/>
  <c r="I567" i="4" a="1"/>
  <c r="I567" i="4" s="1"/>
  <c r="G568" i="4" a="1"/>
  <c r="G568" i="4" s="1"/>
  <c r="I568" i="4" s="1" a="1"/>
  <c r="I568" i="4" s="1"/>
  <c r="H568" i="4" s="1"/>
  <c r="G569" i="4" a="1"/>
  <c r="G569" i="4" s="1"/>
  <c r="I569" i="4" a="1"/>
  <c r="I569" i="4" s="1"/>
  <c r="G570" i="4" a="1"/>
  <c r="G570" i="4" s="1"/>
  <c r="I570" i="4" a="1"/>
  <c r="I570" i="4" s="1"/>
  <c r="G571" i="4" a="1"/>
  <c r="G571" i="4" s="1"/>
  <c r="I571" i="4" a="1"/>
  <c r="I571" i="4" s="1"/>
  <c r="G572" i="4" a="1"/>
  <c r="G572" i="4" s="1"/>
  <c r="I572" i="4" a="1"/>
  <c r="I572" i="4" s="1"/>
  <c r="G573" i="4" a="1"/>
  <c r="G573" i="4" s="1"/>
  <c r="I573" i="4" a="1"/>
  <c r="I573" i="4" s="1"/>
  <c r="G574" i="4" a="1"/>
  <c r="G574" i="4" s="1"/>
  <c r="I574" i="4" a="1"/>
  <c r="I574" i="4" s="1"/>
  <c r="G575" i="4" a="1"/>
  <c r="G575" i="4" s="1"/>
  <c r="I575" i="4" s="1" a="1"/>
  <c r="I575" i="4" s="1"/>
  <c r="H575" i="4" s="1"/>
  <c r="G576" i="4" a="1"/>
  <c r="G576" i="4" s="1"/>
  <c r="I576" i="4" a="1"/>
  <c r="I576" i="4" s="1"/>
  <c r="G577" i="4" a="1"/>
  <c r="G577" i="4" s="1"/>
  <c r="I577" i="4" a="1"/>
  <c r="I577" i="4" s="1"/>
  <c r="G578" i="4" a="1"/>
  <c r="G578" i="4" s="1"/>
  <c r="I578" i="4" a="1"/>
  <c r="I578" i="4" s="1"/>
  <c r="G579" i="4" a="1"/>
  <c r="G579" i="4" s="1"/>
  <c r="I579" i="4" a="1"/>
  <c r="I579" i="4" s="1"/>
  <c r="G580" i="4" a="1"/>
  <c r="G580" i="4" s="1"/>
  <c r="I580" i="4" s="1" a="1"/>
  <c r="I580" i="4" s="1"/>
  <c r="H580" i="4" s="1"/>
  <c r="G581" i="4" a="1"/>
  <c r="G581" i="4" s="1"/>
  <c r="I581" i="4" a="1"/>
  <c r="I581" i="4" s="1"/>
  <c r="G582" i="4" a="1"/>
  <c r="G582" i="4" s="1"/>
  <c r="I582" i="4" a="1"/>
  <c r="I582" i="4" s="1"/>
  <c r="G583" i="4" a="1"/>
  <c r="G583" i="4" s="1"/>
  <c r="I583" i="4" a="1"/>
  <c r="I583" i="4" s="1"/>
  <c r="G584" i="4" a="1"/>
  <c r="G584" i="4" s="1"/>
  <c r="I584" i="4" a="1"/>
  <c r="I584" i="4" s="1"/>
  <c r="G585" i="4" a="1"/>
  <c r="G585" i="4" s="1"/>
  <c r="I585" i="4" a="1"/>
  <c r="I585" i="4" s="1"/>
  <c r="G586" i="4" a="1"/>
  <c r="G586" i="4" s="1"/>
  <c r="I586" i="4" a="1"/>
  <c r="I586" i="4" s="1"/>
  <c r="G587" i="4" a="1"/>
  <c r="G587" i="4" s="1"/>
  <c r="I587" i="4" a="1"/>
  <c r="I587" i="4" s="1"/>
  <c r="G588" i="4" a="1"/>
  <c r="G588" i="4" s="1"/>
  <c r="I588" i="4" a="1"/>
  <c r="I588" i="4" s="1"/>
  <c r="G589" i="4" a="1"/>
  <c r="G589" i="4" s="1"/>
  <c r="I589" i="4" a="1"/>
  <c r="I589" i="4" s="1"/>
  <c r="G590" i="4" a="1"/>
  <c r="G590" i="4" s="1"/>
  <c r="I590" i="4" a="1"/>
  <c r="I590" i="4" s="1"/>
  <c r="G591" i="4" a="1"/>
  <c r="G591" i="4" s="1"/>
  <c r="I591" i="4" s="1" a="1"/>
  <c r="I591" i="4" s="1"/>
  <c r="H591" i="4" s="1"/>
  <c r="G592" i="4" a="1"/>
  <c r="G592" i="4" s="1"/>
  <c r="I592" i="4" a="1"/>
  <c r="I592" i="4" s="1"/>
  <c r="G593" i="4" a="1"/>
  <c r="G593" i="4" s="1"/>
  <c r="I593" i="4" s="1" a="1"/>
  <c r="I593" i="4" s="1"/>
  <c r="H593" i="4" s="1"/>
  <c r="G594" i="4" a="1"/>
  <c r="G594" i="4" s="1"/>
  <c r="I594" i="4" a="1"/>
  <c r="I594" i="4" s="1"/>
  <c r="G595" i="4" a="1"/>
  <c r="G595" i="4" s="1"/>
  <c r="I595" i="4" a="1"/>
  <c r="I595" i="4" s="1"/>
  <c r="G596" i="4" a="1"/>
  <c r="G596" i="4" s="1"/>
  <c r="I596" i="4" a="1"/>
  <c r="I596" i="4" s="1"/>
  <c r="G597" i="4" a="1"/>
  <c r="G597" i="4" s="1"/>
  <c r="I597" i="4" a="1"/>
  <c r="I597" i="4" s="1"/>
  <c r="G598" i="4" a="1"/>
  <c r="G598" i="4" s="1"/>
  <c r="I598" i="4" a="1"/>
  <c r="I598" i="4" s="1"/>
  <c r="G599" i="4" a="1"/>
  <c r="G599" i="4" s="1"/>
  <c r="I599" i="4" a="1"/>
  <c r="I599" i="4" s="1"/>
  <c r="G600" i="4" a="1"/>
  <c r="G600" i="4" s="1"/>
  <c r="I600" i="4" a="1"/>
  <c r="I600" i="4" s="1"/>
  <c r="G601" i="4" a="1"/>
  <c r="G601" i="4" s="1"/>
  <c r="I601" i="4" a="1"/>
  <c r="I601" i="4" s="1"/>
  <c r="G602" i="4" a="1"/>
  <c r="G602" i="4" s="1"/>
  <c r="I602" i="4" s="1" a="1"/>
  <c r="I602" i="4" s="1"/>
  <c r="H602" i="4" s="1"/>
  <c r="G603" i="4" a="1"/>
  <c r="G603" i="4" s="1"/>
  <c r="I603" i="4" s="1" a="1"/>
  <c r="I603" i="4" s="1"/>
  <c r="H603" i="4" s="1"/>
  <c r="G604" i="4" a="1"/>
  <c r="G604" i="4" s="1"/>
  <c r="I604" i="4" s="1" a="1"/>
  <c r="I604" i="4" s="1"/>
  <c r="H604" i="4" s="1"/>
  <c r="G605" i="4" a="1"/>
  <c r="G605" i="4" s="1"/>
  <c r="I605" i="4" s="1" a="1"/>
  <c r="I605" i="4" s="1"/>
  <c r="H605" i="4" s="1"/>
  <c r="G606" i="4" a="1"/>
  <c r="G606" i="4" s="1"/>
  <c r="I606" i="4" s="1" a="1"/>
  <c r="I606" i="4" s="1"/>
  <c r="H606" i="4" s="1"/>
  <c r="G607" i="4" a="1"/>
  <c r="G607" i="4" s="1"/>
  <c r="I607" i="4" a="1"/>
  <c r="I607" i="4" s="1"/>
  <c r="G608" i="4" a="1"/>
  <c r="G608" i="4" s="1"/>
  <c r="I608" i="4" a="1"/>
  <c r="I608" i="4" s="1"/>
  <c r="G609" i="4" a="1"/>
  <c r="G609" i="4" s="1"/>
  <c r="I609" i="4" a="1"/>
  <c r="I609" i="4" s="1"/>
  <c r="G610" i="4" a="1"/>
  <c r="G610" i="4" s="1"/>
  <c r="I610" i="4" s="1" a="1"/>
  <c r="I610" i="4" s="1"/>
  <c r="H610" i="4" s="1"/>
  <c r="G611" i="4" a="1"/>
  <c r="G611" i="4" s="1"/>
  <c r="I611" i="4" a="1"/>
  <c r="I611" i="4" s="1"/>
  <c r="G612" i="4" a="1"/>
  <c r="G612" i="4" s="1"/>
  <c r="I612" i="4" a="1"/>
  <c r="I612" i="4" s="1"/>
  <c r="G613" i="4" a="1"/>
  <c r="G613" i="4" s="1"/>
  <c r="I613" i="4" s="1" a="1"/>
  <c r="I613" i="4" s="1"/>
  <c r="H613" i="4" s="1"/>
  <c r="G614" i="4" a="1"/>
  <c r="G614" i="4" s="1"/>
  <c r="I614" i="4" a="1"/>
  <c r="I614" i="4" s="1"/>
  <c r="G615" i="4" a="1"/>
  <c r="G615" i="4" s="1"/>
  <c r="I615" i="4" a="1"/>
  <c r="I615" i="4" s="1"/>
  <c r="G616" i="4" a="1"/>
  <c r="G616" i="4" s="1"/>
  <c r="I616" i="4" s="1" a="1"/>
  <c r="I616" i="4" s="1"/>
  <c r="H616" i="4" s="1"/>
  <c r="G617" i="4" a="1"/>
  <c r="G617" i="4" s="1"/>
  <c r="I617" i="4" a="1"/>
  <c r="I617" i="4" s="1"/>
  <c r="G618" i="4" a="1"/>
  <c r="G618" i="4" s="1"/>
  <c r="I618" i="4" s="1" a="1"/>
  <c r="I618" i="4" s="1"/>
  <c r="H618" i="4" s="1"/>
  <c r="G619" i="4" a="1"/>
  <c r="G619" i="4" s="1"/>
  <c r="I619" i="4" a="1"/>
  <c r="I619" i="4" s="1"/>
  <c r="G620" i="4" a="1"/>
  <c r="G620" i="4" s="1"/>
  <c r="I620" i="4" s="1" a="1"/>
  <c r="I620" i="4" s="1"/>
  <c r="H620" i="4" s="1"/>
  <c r="G621" i="4" a="1"/>
  <c r="G621" i="4" s="1"/>
  <c r="I621" i="4" a="1"/>
  <c r="I621" i="4" s="1"/>
  <c r="G622" i="4" a="1"/>
  <c r="G622" i="4" s="1"/>
  <c r="I622" i="4" s="1" a="1"/>
  <c r="I622" i="4" s="1"/>
  <c r="H622" i="4" s="1"/>
  <c r="G623" i="4" a="1"/>
  <c r="G623" i="4" s="1"/>
  <c r="I623" i="4" a="1"/>
  <c r="I623" i="4" s="1"/>
  <c r="G624" i="4" a="1"/>
  <c r="G624" i="4" s="1"/>
  <c r="I624" i="4" s="1" a="1"/>
  <c r="I624" i="4" s="1"/>
  <c r="H624" i="4" s="1"/>
  <c r="G625" i="4" a="1"/>
  <c r="G625" i="4" s="1"/>
  <c r="I625" i="4" a="1"/>
  <c r="I625" i="4" s="1"/>
  <c r="G626" i="4" a="1"/>
  <c r="G626" i="4" s="1"/>
  <c r="I626" i="4" s="1" a="1"/>
  <c r="I626" i="4" s="1"/>
  <c r="H626" i="4" s="1"/>
  <c r="G627" i="4" a="1"/>
  <c r="G627" i="4" s="1"/>
  <c r="I627" i="4" a="1"/>
  <c r="I627" i="4" s="1"/>
  <c r="G628" i="4" a="1"/>
  <c r="G628" i="4" s="1"/>
  <c r="I628" i="4" s="1" a="1"/>
  <c r="I628" i="4" s="1"/>
  <c r="H628" i="4" s="1"/>
  <c r="G629" i="4" a="1"/>
  <c r="G629" i="4" s="1"/>
  <c r="I629" i="4" a="1"/>
  <c r="I629" i="4" s="1"/>
  <c r="G630" i="4" a="1"/>
  <c r="G630" i="4" s="1"/>
  <c r="I630" i="4" s="1" a="1"/>
  <c r="I630" i="4" s="1"/>
  <c r="H630" i="4" s="1"/>
  <c r="G631" i="4" a="1"/>
  <c r="G631" i="4" s="1"/>
  <c r="I631" i="4" a="1"/>
  <c r="I631" i="4" s="1"/>
  <c r="G632" i="4" a="1"/>
  <c r="G632" i="4" s="1"/>
  <c r="I632" i="4" s="1" a="1"/>
  <c r="I632" i="4" s="1"/>
  <c r="H632" i="4" s="1"/>
  <c r="G633" i="4" a="1"/>
  <c r="G633" i="4" s="1"/>
  <c r="I633" i="4" a="1"/>
  <c r="I633" i="4" s="1"/>
  <c r="G634" i="4" a="1"/>
  <c r="G634" i="4" s="1"/>
  <c r="I634" i="4" s="1" a="1"/>
  <c r="I634" i="4" s="1"/>
  <c r="H634" i="4" s="1"/>
  <c r="G635" i="4" a="1"/>
  <c r="G635" i="4" s="1"/>
  <c r="I635" i="4" a="1"/>
  <c r="I635" i="4" s="1"/>
  <c r="G636" i="4" a="1"/>
  <c r="G636" i="4" s="1"/>
  <c r="I636" i="4" s="1" a="1"/>
  <c r="I636" i="4" s="1"/>
  <c r="H636" i="4" s="1"/>
  <c r="G637" i="4" a="1"/>
  <c r="G637" i="4" s="1"/>
  <c r="I637" i="4" s="1" a="1"/>
  <c r="I637" i="4" s="1"/>
  <c r="H637" i="4" s="1"/>
  <c r="G638" i="4" a="1"/>
  <c r="G638" i="4" s="1"/>
  <c r="I638" i="4" a="1"/>
  <c r="I638" i="4" s="1"/>
  <c r="G639" i="4" a="1"/>
  <c r="G639" i="4" s="1"/>
  <c r="I639" i="4" s="1" a="1"/>
  <c r="I639" i="4" s="1"/>
  <c r="H639" i="4" s="1"/>
  <c r="G640" i="4" a="1"/>
  <c r="G640" i="4" s="1"/>
  <c r="I640" i="4" s="1" a="1"/>
  <c r="I640" i="4" s="1"/>
  <c r="H640" i="4" s="1"/>
  <c r="G641" i="4" a="1"/>
  <c r="G641" i="4" s="1"/>
  <c r="I641" i="4" s="1" a="1"/>
  <c r="I641" i="4" s="1"/>
  <c r="H641" i="4" s="1"/>
  <c r="G642" i="4" a="1"/>
  <c r="G642" i="4" s="1"/>
  <c r="I642" i="4" a="1"/>
  <c r="I642" i="4" s="1"/>
  <c r="G643" i="4" a="1"/>
  <c r="G643" i="4" s="1"/>
  <c r="I643" i="4" a="1"/>
  <c r="I643" i="4" s="1"/>
  <c r="G644" i="4" a="1"/>
  <c r="G644" i="4" s="1"/>
  <c r="I644" i="4" a="1"/>
  <c r="I644" i="4" s="1"/>
  <c r="G645" i="4" a="1"/>
  <c r="G645" i="4" s="1"/>
  <c r="I645" i="4" a="1"/>
  <c r="I645" i="4" s="1"/>
  <c r="G646" i="4" a="1"/>
  <c r="G646" i="4" s="1"/>
  <c r="I646" i="4" s="1" a="1"/>
  <c r="I646" i="4" s="1"/>
  <c r="H646" i="4" s="1"/>
  <c r="G647" i="4" a="1"/>
  <c r="G647" i="4" s="1"/>
  <c r="I647" i="4" a="1"/>
  <c r="I647" i="4" s="1"/>
  <c r="G648" i="4" a="1"/>
  <c r="G648" i="4" s="1"/>
  <c r="I648" i="4" s="1" a="1"/>
  <c r="I648" i="4" s="1"/>
  <c r="H648" i="4" s="1"/>
  <c r="G649" i="4" a="1"/>
  <c r="G649" i="4" s="1"/>
  <c r="I649" i="4" a="1"/>
  <c r="I649" i="4" s="1"/>
  <c r="G650" i="4" a="1"/>
  <c r="G650" i="4" s="1"/>
  <c r="I650" i="4" s="1" a="1"/>
  <c r="I650" i="4" s="1"/>
  <c r="H650" i="4" s="1"/>
  <c r="G651" i="4" a="1"/>
  <c r="G651" i="4" s="1"/>
  <c r="I651" i="4" s="1" a="1"/>
  <c r="I651" i="4" s="1"/>
  <c r="H651" i="4" s="1"/>
  <c r="G652" i="4" a="1"/>
  <c r="G652" i="4" s="1"/>
  <c r="I652" i="4" a="1"/>
  <c r="I652" i="4" s="1"/>
  <c r="G653" i="4" a="1"/>
  <c r="G653" i="4" s="1"/>
  <c r="I653" i="4" s="1" a="1"/>
  <c r="I653" i="4" s="1"/>
  <c r="H653" i="4" s="1"/>
  <c r="G654" i="4" a="1"/>
  <c r="G654" i="4" s="1"/>
  <c r="I654" i="4" s="1" a="1"/>
  <c r="I654" i="4" s="1"/>
  <c r="H654" i="4" s="1"/>
  <c r="G655" i="4" a="1"/>
  <c r="G655" i="4" s="1"/>
  <c r="I655" i="4" a="1"/>
  <c r="I655" i="4" s="1"/>
  <c r="G656" i="4" a="1"/>
  <c r="G656" i="4" s="1"/>
  <c r="I656" i="4" s="1" a="1"/>
  <c r="I656" i="4" s="1"/>
  <c r="H656" i="4" s="1"/>
  <c r="G657" i="4" a="1"/>
  <c r="G657" i="4" s="1"/>
  <c r="I657" i="4" a="1"/>
  <c r="I657" i="4" s="1"/>
  <c r="G658" i="4" a="1"/>
  <c r="G658" i="4" s="1"/>
  <c r="I658" i="4" a="1"/>
  <c r="I658" i="4" s="1"/>
  <c r="G659" i="4" a="1"/>
  <c r="G659" i="4" s="1"/>
  <c r="I659" i="4" s="1" a="1"/>
  <c r="I659" i="4" s="1"/>
  <c r="H659" i="4" s="1"/>
  <c r="G660" i="4" a="1"/>
  <c r="G660" i="4" s="1"/>
  <c r="I660" i="4" a="1"/>
  <c r="I660" i="4" s="1"/>
  <c r="G661" i="4" a="1"/>
  <c r="G661" i="4" s="1"/>
  <c r="I661" i="4" s="1" a="1"/>
  <c r="I661" i="4" s="1"/>
  <c r="H661" i="4" s="1"/>
  <c r="G662" i="4" a="1"/>
  <c r="G662" i="4" s="1"/>
  <c r="I662" i="4" a="1"/>
  <c r="I662" i="4" s="1"/>
  <c r="G663" i="4" a="1"/>
  <c r="G663" i="4" s="1"/>
  <c r="I663" i="4" a="1"/>
  <c r="I663" i="4" s="1"/>
  <c r="G664" i="4" a="1"/>
  <c r="G664" i="4" s="1"/>
  <c r="I664" i="4" a="1"/>
  <c r="I664" i="4" s="1"/>
  <c r="G665" i="4" a="1"/>
  <c r="G665" i="4" s="1"/>
  <c r="I665" i="4" a="1"/>
  <c r="I665" i="4" s="1"/>
  <c r="G666" i="4" a="1"/>
  <c r="G666" i="4" s="1"/>
  <c r="I666" i="4" a="1"/>
  <c r="I666" i="4" s="1"/>
  <c r="G667" i="4" a="1"/>
  <c r="G667" i="4" s="1"/>
  <c r="I667" i="4" a="1"/>
  <c r="I667" i="4" s="1"/>
  <c r="G668" i="4" a="1"/>
  <c r="G668" i="4" s="1"/>
  <c r="I668" i="4" a="1"/>
  <c r="I668" i="4" s="1"/>
  <c r="G669" i="4" a="1"/>
  <c r="G669" i="4" s="1"/>
  <c r="I669" i="4" a="1"/>
  <c r="I669" i="4" s="1"/>
  <c r="G670" i="4" a="1"/>
  <c r="G670" i="4" s="1"/>
  <c r="I670" i="4" a="1"/>
  <c r="I670" i="4" s="1"/>
  <c r="G671" i="4" a="1"/>
  <c r="G671" i="4" s="1"/>
  <c r="I671" i="4" a="1"/>
  <c r="I671" i="4" s="1"/>
  <c r="G672" i="4" a="1"/>
  <c r="G672" i="4" s="1"/>
  <c r="I672" i="4" a="1"/>
  <c r="I672" i="4" s="1"/>
  <c r="G673" i="4" a="1"/>
  <c r="G673" i="4" s="1"/>
  <c r="I673" i="4" a="1"/>
  <c r="I673" i="4" s="1"/>
  <c r="G674" i="4" a="1"/>
  <c r="G674" i="4" s="1"/>
  <c r="I674" i="4" a="1"/>
  <c r="I674" i="4" s="1"/>
  <c r="G675" i="4" a="1"/>
  <c r="G675" i="4" s="1"/>
  <c r="I675" i="4" s="1" a="1"/>
  <c r="I675" i="4" s="1"/>
  <c r="H675" i="4" s="1"/>
  <c r="G676" i="4" a="1"/>
  <c r="G676" i="4" s="1"/>
  <c r="I676" i="4" a="1"/>
  <c r="I676" i="4" s="1"/>
  <c r="G677" i="4" a="1"/>
  <c r="G677" i="4" s="1"/>
  <c r="I677" i="4" a="1"/>
  <c r="I677" i="4" s="1"/>
  <c r="G678" i="4" a="1"/>
  <c r="G678" i="4" s="1"/>
  <c r="I678" i="4" a="1"/>
  <c r="I678" i="4" s="1"/>
  <c r="G679" i="4" a="1"/>
  <c r="G679" i="4" s="1"/>
  <c r="I679" i="4" a="1"/>
  <c r="I679" i="4" s="1"/>
  <c r="G680" i="4" a="1"/>
  <c r="G680" i="4" s="1"/>
  <c r="I680" i="4" a="1"/>
  <c r="I680" i="4" s="1"/>
  <c r="G681" i="4" a="1"/>
  <c r="G681" i="4" s="1"/>
  <c r="I681" i="4" a="1"/>
  <c r="I681" i="4" s="1"/>
  <c r="G682" i="4" a="1"/>
  <c r="G682" i="4" s="1"/>
  <c r="I682" i="4" a="1"/>
  <c r="I682" i="4" s="1"/>
  <c r="G683" i="4" a="1"/>
  <c r="G683" i="4" s="1"/>
  <c r="I683" i="4" a="1"/>
  <c r="I683" i="4" s="1"/>
  <c r="G684" i="4" a="1"/>
  <c r="G684" i="4" s="1"/>
  <c r="I684" i="4" s="1" a="1"/>
  <c r="I684" i="4" s="1"/>
  <c r="H684" i="4" s="1"/>
  <c r="G685" i="4" a="1"/>
  <c r="G685" i="4" s="1"/>
  <c r="I685" i="4" a="1"/>
  <c r="I685" i="4" s="1"/>
  <c r="G686" i="4" a="1"/>
  <c r="G686" i="4" s="1"/>
  <c r="I686" i="4" a="1"/>
  <c r="I686" i="4" s="1"/>
  <c r="G687" i="4" a="1"/>
  <c r="G687" i="4" s="1"/>
  <c r="I687" i="4" a="1"/>
  <c r="I687" i="4" s="1"/>
  <c r="G688" i="4" a="1"/>
  <c r="G688" i="4" s="1"/>
  <c r="I688" i="4" a="1"/>
  <c r="I688" i="4" s="1"/>
  <c r="G689" i="4" a="1"/>
  <c r="G689" i="4" s="1"/>
  <c r="I689" i="4" a="1"/>
  <c r="I689" i="4" s="1"/>
  <c r="G690" i="4" a="1"/>
  <c r="G690" i="4" s="1"/>
  <c r="I690" i="4" a="1"/>
  <c r="I690" i="4" s="1"/>
  <c r="G691" i="4" a="1"/>
  <c r="G691" i="4" s="1"/>
  <c r="I691" i="4" a="1"/>
  <c r="I691" i="4" s="1"/>
  <c r="G692" i="4" a="1"/>
  <c r="G692" i="4" s="1"/>
  <c r="I692" i="4" a="1"/>
  <c r="I692" i="4" s="1"/>
  <c r="G693" i="4" a="1"/>
  <c r="G693" i="4" s="1"/>
  <c r="I693" i="4" a="1"/>
  <c r="I693" i="4" s="1"/>
  <c r="G694" i="4" a="1"/>
  <c r="G694" i="4" s="1"/>
  <c r="I694" i="4" a="1"/>
  <c r="I694" i="4" s="1"/>
  <c r="G695" i="4" a="1"/>
  <c r="G695" i="4" s="1"/>
  <c r="I695" i="4" a="1"/>
  <c r="I695" i="4" s="1"/>
  <c r="G696" i="4" a="1"/>
  <c r="G696" i="4" s="1"/>
  <c r="I696" i="4" a="1"/>
  <c r="I696" i="4" s="1"/>
  <c r="G697" i="4" a="1"/>
  <c r="G697" i="4" s="1"/>
  <c r="I697" i="4" a="1"/>
  <c r="I697" i="4" s="1"/>
  <c r="G698" i="4" a="1"/>
  <c r="G698" i="4" s="1"/>
  <c r="I698" i="4" a="1"/>
  <c r="I698" i="4" s="1"/>
  <c r="G699" i="4" a="1"/>
  <c r="G699" i="4" s="1"/>
  <c r="I699" i="4" a="1"/>
  <c r="I699" i="4" s="1"/>
  <c r="G700" i="4" a="1"/>
  <c r="G700" i="4" s="1"/>
  <c r="I700" i="4" a="1"/>
  <c r="I700" i="4" s="1"/>
  <c r="G701" i="4" a="1"/>
  <c r="G701" i="4" s="1"/>
  <c r="I701" i="4" a="1"/>
  <c r="I701" i="4" s="1"/>
  <c r="G702" i="4" a="1"/>
  <c r="G702" i="4" s="1"/>
  <c r="I702" i="4" a="1"/>
  <c r="I702" i="4" s="1"/>
  <c r="G703" i="4" a="1"/>
  <c r="G703" i="4" s="1"/>
  <c r="I703" i="4" a="1"/>
  <c r="I703" i="4" s="1"/>
  <c r="G704" i="4" a="1"/>
  <c r="G704" i="4" s="1"/>
  <c r="I704" i="4" a="1"/>
  <c r="I704" i="4" s="1"/>
  <c r="G705" i="4" a="1"/>
  <c r="G705" i="4" s="1"/>
  <c r="I705" i="4" a="1"/>
  <c r="I705" i="4" s="1"/>
  <c r="G706" i="4" a="1"/>
  <c r="G706" i="4" s="1"/>
  <c r="I706" i="4" a="1"/>
  <c r="I706" i="4" s="1"/>
  <c r="G707" i="4" a="1"/>
  <c r="G707" i="4" s="1"/>
  <c r="I707" i="4" a="1"/>
  <c r="I707" i="4" s="1"/>
  <c r="G708" i="4" a="1"/>
  <c r="G708" i="4" s="1"/>
  <c r="I708" i="4" a="1"/>
  <c r="I708" i="4" s="1"/>
  <c r="G709" i="4" a="1"/>
  <c r="G709" i="4" s="1"/>
  <c r="I709" i="4" a="1"/>
  <c r="I709" i="4" s="1"/>
  <c r="G710" i="4" a="1"/>
  <c r="G710" i="4" s="1"/>
  <c r="I710" i="4" a="1"/>
  <c r="I710" i="4" s="1"/>
  <c r="G711" i="4" a="1"/>
  <c r="G711" i="4" s="1"/>
  <c r="I711" i="4" a="1"/>
  <c r="I711" i="4" s="1"/>
  <c r="G712" i="4" a="1"/>
  <c r="G712" i="4" s="1"/>
  <c r="I712" i="4" a="1"/>
  <c r="I712" i="4" s="1"/>
  <c r="G713" i="4" a="1"/>
  <c r="G713" i="4" s="1"/>
  <c r="I713" i="4" a="1"/>
  <c r="I713" i="4" s="1"/>
  <c r="G714" i="4" a="1"/>
  <c r="G714" i="4" s="1"/>
  <c r="I714" i="4" a="1"/>
  <c r="I714" i="4" s="1"/>
  <c r="G715" i="4" a="1"/>
  <c r="G715" i="4" s="1"/>
  <c r="I715" i="4" a="1"/>
  <c r="I715" i="4" s="1"/>
  <c r="G716" i="4" a="1"/>
  <c r="G716" i="4" s="1"/>
  <c r="I716" i="4" a="1"/>
  <c r="I716" i="4" s="1"/>
  <c r="G717" i="4" a="1"/>
  <c r="G717" i="4" s="1"/>
  <c r="I717" i="4" a="1"/>
  <c r="I717" i="4" s="1"/>
  <c r="G718" i="4" a="1"/>
  <c r="G718" i="4" s="1"/>
  <c r="I718" i="4" a="1"/>
  <c r="I718" i="4" s="1"/>
  <c r="G719" i="4" a="1"/>
  <c r="G719" i="4" s="1"/>
  <c r="I719" i="4" a="1"/>
  <c r="I719" i="4" s="1"/>
  <c r="G720" i="4" a="1"/>
  <c r="G720" i="4" s="1"/>
  <c r="I720" i="4" a="1"/>
  <c r="I720" i="4" s="1"/>
  <c r="G721" i="4" a="1"/>
  <c r="G721" i="4" s="1"/>
  <c r="I721" i="4" a="1"/>
  <c r="I721" i="4" s="1"/>
  <c r="G722" i="4" a="1"/>
  <c r="G722" i="4" s="1"/>
  <c r="I722" i="4" a="1"/>
  <c r="I722" i="4" s="1"/>
  <c r="G723" i="4" a="1"/>
  <c r="G723" i="4" s="1"/>
  <c r="I723" i="4" a="1"/>
  <c r="I723" i="4" s="1"/>
  <c r="G724" i="4" a="1"/>
  <c r="G724" i="4" s="1"/>
  <c r="I724" i="4" a="1"/>
  <c r="I724" i="4" s="1"/>
  <c r="G725" i="4" a="1"/>
  <c r="G725" i="4" s="1"/>
  <c r="I725" i="4" a="1"/>
  <c r="I725" i="4" s="1"/>
  <c r="G726" i="4" a="1"/>
  <c r="G726" i="4" s="1"/>
  <c r="I726" i="4" a="1"/>
  <c r="I726" i="4" s="1"/>
  <c r="G727" i="4" a="1"/>
  <c r="G727" i="4" s="1"/>
  <c r="I727" i="4" a="1"/>
  <c r="I727" i="4" s="1"/>
  <c r="G728" i="4" a="1"/>
  <c r="G728" i="4" s="1"/>
  <c r="I728" i="4" a="1"/>
  <c r="I728" i="4" s="1"/>
  <c r="G729" i="4" a="1"/>
  <c r="G729" i="4" s="1"/>
  <c r="I729" i="4" a="1"/>
  <c r="I729" i="4" s="1"/>
  <c r="G730" i="4" a="1"/>
  <c r="G730" i="4" s="1"/>
  <c r="I730" i="4" a="1"/>
  <c r="I730" i="4" s="1"/>
  <c r="G731" i="4" a="1"/>
  <c r="G731" i="4" s="1"/>
  <c r="I731" i="4" a="1"/>
  <c r="I731" i="4" s="1"/>
  <c r="G732" i="4" a="1"/>
  <c r="G732" i="4" s="1"/>
  <c r="I732" i="4" s="1" a="1"/>
  <c r="I732" i="4" s="1"/>
  <c r="H732" i="4" s="1"/>
  <c r="G733" i="4" a="1"/>
  <c r="G733" i="4" s="1"/>
  <c r="I733" i="4" s="1" a="1"/>
  <c r="I733" i="4" s="1"/>
  <c r="H733" i="4" s="1"/>
  <c r="G734" i="4" a="1"/>
  <c r="G734" i="4" s="1"/>
  <c r="I734" i="4" s="1" a="1"/>
  <c r="I734" i="4" s="1"/>
  <c r="H734" i="4" s="1"/>
  <c r="G735" i="4" a="1"/>
  <c r="G735" i="4" s="1"/>
  <c r="I735" i="4" a="1"/>
  <c r="I735" i="4" s="1"/>
  <c r="G736" i="4" a="1"/>
  <c r="G736" i="4" s="1"/>
  <c r="I736" i="4" s="1" a="1"/>
  <c r="I736" i="4" s="1"/>
  <c r="H736" i="4" s="1"/>
  <c r="G737" i="4" a="1"/>
  <c r="G737" i="4" s="1"/>
  <c r="I737" i="4" a="1"/>
  <c r="I737" i="4" s="1"/>
  <c r="G738" i="4" a="1"/>
  <c r="G738" i="4" s="1"/>
  <c r="I738" i="4" a="1"/>
  <c r="I738" i="4" s="1"/>
  <c r="G739" i="4" a="1"/>
  <c r="G739" i="4" s="1"/>
  <c r="I739" i="4" s="1" a="1"/>
  <c r="I739" i="4" s="1"/>
  <c r="H739" i="4" s="1"/>
  <c r="G740" i="4" a="1"/>
  <c r="G740" i="4" s="1"/>
  <c r="I740" i="4" a="1"/>
  <c r="I740" i="4" s="1"/>
  <c r="G741" i="4" a="1"/>
  <c r="G741" i="4" s="1"/>
  <c r="I741" i="4" s="1" a="1"/>
  <c r="I741" i="4" s="1"/>
  <c r="H741" i="4" s="1"/>
  <c r="G742" i="4" a="1"/>
  <c r="G742" i="4" s="1"/>
  <c r="I742" i="4" a="1"/>
  <c r="I742" i="4" s="1"/>
  <c r="G743" i="4" a="1"/>
  <c r="G743" i="4" s="1"/>
  <c r="I743" i="4" s="1" a="1"/>
  <c r="I743" i="4" s="1"/>
  <c r="H743" i="4" s="1"/>
  <c r="G744" i="4" a="1"/>
  <c r="G744" i="4" s="1"/>
  <c r="I744" i="4" a="1"/>
  <c r="I744" i="4" s="1"/>
  <c r="G745" i="4" a="1"/>
  <c r="G745" i="4" s="1"/>
  <c r="I745" i="4" s="1" a="1"/>
  <c r="I745" i="4" s="1"/>
  <c r="H745" i="4" s="1"/>
  <c r="G746" i="4" a="1"/>
  <c r="G746" i="4" s="1"/>
  <c r="I746" i="4" a="1"/>
  <c r="I746" i="4" s="1"/>
  <c r="G747" i="4" a="1"/>
  <c r="G747" i="4" s="1"/>
  <c r="I747" i="4" a="1"/>
  <c r="I747" i="4" s="1"/>
  <c r="G748" i="4" a="1"/>
  <c r="G748" i="4" s="1"/>
  <c r="I748" i="4" a="1"/>
  <c r="I748" i="4" s="1"/>
  <c r="G749" i="4" a="1"/>
  <c r="G749" i="4" s="1"/>
  <c r="I749" i="4" a="1"/>
  <c r="I749" i="4" s="1"/>
  <c r="G750" i="4" a="1"/>
  <c r="G750" i="4" s="1"/>
  <c r="I750" i="4" a="1"/>
  <c r="I750" i="4" s="1"/>
  <c r="G751" i="4" a="1"/>
  <c r="G751" i="4" s="1"/>
  <c r="I751" i="4" a="1"/>
  <c r="I751" i="4" s="1"/>
  <c r="G752" i="4" a="1"/>
  <c r="G752" i="4" s="1"/>
  <c r="I752" i="4" a="1"/>
  <c r="I752" i="4" s="1"/>
  <c r="G753" i="4" a="1"/>
  <c r="G753" i="4" s="1"/>
  <c r="I753" i="4" a="1"/>
  <c r="I753" i="4" s="1"/>
  <c r="G754" i="4" a="1"/>
  <c r="G754" i="4" s="1"/>
  <c r="I754" i="4" a="1"/>
  <c r="I754" i="4" s="1"/>
  <c r="G755" i="4" a="1"/>
  <c r="G755" i="4" s="1"/>
  <c r="I755" i="4" a="1"/>
  <c r="I755" i="4" s="1"/>
  <c r="G756" i="4" a="1"/>
  <c r="G756" i="4" s="1"/>
  <c r="I756" i="4" a="1"/>
  <c r="I756" i="4" s="1"/>
  <c r="G757" i="4" a="1"/>
  <c r="G757" i="4" s="1"/>
  <c r="I757" i="4" a="1"/>
  <c r="I757" i="4" s="1"/>
  <c r="G758" i="4" a="1"/>
  <c r="G758" i="4" s="1"/>
  <c r="I758" i="4" a="1"/>
  <c r="I758" i="4" s="1"/>
  <c r="G759" i="4" a="1"/>
  <c r="G759" i="4" s="1"/>
  <c r="I759" i="4" a="1"/>
  <c r="I759" i="4" s="1"/>
  <c r="G760" i="4" a="1"/>
  <c r="G760" i="4" s="1"/>
  <c r="I760" i="4" a="1"/>
  <c r="I760" i="4" s="1"/>
  <c r="G761" i="4" a="1"/>
  <c r="G761" i="4" s="1"/>
  <c r="I761" i="4" a="1"/>
  <c r="I761" i="4" s="1"/>
  <c r="G762" i="4" a="1"/>
  <c r="G762" i="4" s="1"/>
  <c r="I762" i="4" a="1"/>
  <c r="I762" i="4" s="1"/>
  <c r="G763" i="4" a="1"/>
  <c r="G763" i="4" s="1"/>
  <c r="I763" i="4" a="1"/>
  <c r="I763" i="4" s="1"/>
  <c r="G764" i="4" a="1"/>
  <c r="G764" i="4" s="1"/>
  <c r="I764" i="4" a="1"/>
  <c r="I764" i="4" s="1"/>
  <c r="G765" i="4" a="1"/>
  <c r="G765" i="4" s="1"/>
  <c r="I765" i="4" a="1"/>
  <c r="I765" i="4" s="1"/>
  <c r="G766" i="4" a="1"/>
  <c r="G766" i="4" s="1"/>
  <c r="I766" i="4" a="1"/>
  <c r="I766" i="4" s="1"/>
  <c r="G767" i="4" a="1"/>
  <c r="G767" i="4" s="1"/>
  <c r="I767" i="4" a="1"/>
  <c r="I767" i="4" s="1"/>
  <c r="G768" i="4" a="1"/>
  <c r="G768" i="4" s="1"/>
  <c r="I768" i="4" a="1"/>
  <c r="I768" i="4" s="1"/>
  <c r="G769" i="4" a="1"/>
  <c r="G769" i="4" s="1"/>
  <c r="I769" i="4" a="1"/>
  <c r="I769" i="4" s="1"/>
  <c r="G770" i="4" a="1"/>
  <c r="G770" i="4" s="1"/>
  <c r="I770" i="4" a="1"/>
  <c r="I770" i="4" s="1"/>
  <c r="G771" i="4" a="1"/>
  <c r="G771" i="4" s="1"/>
  <c r="I771" i="4" a="1"/>
  <c r="I771" i="4" s="1"/>
  <c r="G772" i="4" a="1"/>
  <c r="G772" i="4" s="1"/>
  <c r="I772" i="4" a="1"/>
  <c r="I772" i="4" s="1"/>
  <c r="G773" i="4" a="1"/>
  <c r="G773" i="4" s="1"/>
  <c r="I773" i="4" a="1"/>
  <c r="I773" i="4" s="1"/>
  <c r="G774" i="4" a="1"/>
  <c r="G774" i="4" s="1"/>
  <c r="I774" i="4" a="1"/>
  <c r="I774" i="4" s="1"/>
  <c r="G775" i="4" a="1"/>
  <c r="G775" i="4" s="1"/>
  <c r="I775" i="4" a="1"/>
  <c r="I775" i="4" s="1"/>
  <c r="G776" i="4" a="1"/>
  <c r="G776" i="4" s="1"/>
  <c r="I776" i="4" a="1"/>
  <c r="I776" i="4" s="1"/>
  <c r="G777" i="4" a="1"/>
  <c r="G777" i="4" s="1"/>
  <c r="I777" i="4" a="1"/>
  <c r="I777" i="4" s="1"/>
  <c r="G778" i="4" a="1"/>
  <c r="G778" i="4" s="1"/>
  <c r="I778" i="4" a="1"/>
  <c r="I778" i="4" s="1"/>
  <c r="G779" i="4" a="1"/>
  <c r="G779" i="4" s="1"/>
  <c r="I779" i="4" a="1"/>
  <c r="I779" i="4" s="1"/>
  <c r="G780" i="4" a="1"/>
  <c r="G780" i="4" s="1"/>
  <c r="I780" i="4" a="1"/>
  <c r="I780" i="4" s="1"/>
  <c r="G781" i="4" a="1"/>
  <c r="G781" i="4" s="1"/>
  <c r="I781" i="4" a="1"/>
  <c r="I781" i="4" s="1"/>
  <c r="G782" i="4" a="1"/>
  <c r="G782" i="4" s="1"/>
  <c r="I782" i="4" a="1"/>
  <c r="I782" i="4" s="1"/>
  <c r="G783" i="4" a="1"/>
  <c r="G783" i="4" s="1"/>
  <c r="I783" i="4" a="1"/>
  <c r="I783" i="4" s="1"/>
  <c r="G784" i="4" a="1"/>
  <c r="G784" i="4" s="1"/>
  <c r="I784" i="4" a="1"/>
  <c r="I784" i="4" s="1"/>
  <c r="G785" i="4" a="1"/>
  <c r="G785" i="4" s="1"/>
  <c r="I785" i="4" a="1"/>
  <c r="I785" i="4" s="1"/>
  <c r="G786" i="4" a="1"/>
  <c r="G786" i="4" s="1"/>
  <c r="I786" i="4" a="1"/>
  <c r="I786" i="4" s="1"/>
  <c r="G787" i="4" a="1"/>
  <c r="G787" i="4" s="1"/>
  <c r="I787" i="4" a="1"/>
  <c r="I787" i="4" s="1"/>
  <c r="G788" i="4" a="1"/>
  <c r="G788" i="4" s="1"/>
  <c r="I788" i="4" a="1"/>
  <c r="I788" i="4" s="1"/>
  <c r="G789" i="4" a="1"/>
  <c r="G789" i="4" s="1"/>
  <c r="I789" i="4" a="1"/>
  <c r="I789" i="4" s="1"/>
  <c r="G790" i="4" a="1"/>
  <c r="G790" i="4" s="1"/>
  <c r="I790" i="4" a="1"/>
  <c r="I790" i="4" s="1"/>
  <c r="G791" i="4" a="1"/>
  <c r="G791" i="4" s="1"/>
  <c r="I791" i="4" a="1"/>
  <c r="I791" i="4" s="1"/>
  <c r="G792" i="4" a="1"/>
  <c r="G792" i="4" s="1"/>
  <c r="I792" i="4" a="1"/>
  <c r="I792" i="4" s="1"/>
  <c r="G793" i="4" a="1"/>
  <c r="G793" i="4" s="1"/>
  <c r="I793" i="4" a="1"/>
  <c r="I793" i="4" s="1"/>
  <c r="G794" i="4" a="1"/>
  <c r="G794" i="4" s="1"/>
  <c r="I794" i="4" a="1"/>
  <c r="I794" i="4" s="1"/>
  <c r="G795" i="4" a="1"/>
  <c r="G795" i="4" s="1"/>
  <c r="I795" i="4" a="1"/>
  <c r="I795" i="4" s="1"/>
  <c r="G796" i="4" a="1"/>
  <c r="G796" i="4" s="1"/>
  <c r="I796" i="4" a="1"/>
  <c r="I796" i="4" s="1"/>
  <c r="G797" i="4" a="1"/>
  <c r="G797" i="4" s="1"/>
  <c r="I797" i="4" a="1"/>
  <c r="I797" i="4" s="1"/>
  <c r="G798" i="4" a="1"/>
  <c r="G798" i="4" s="1"/>
  <c r="I798" i="4" s="1" a="1"/>
  <c r="I798" i="4" s="1"/>
  <c r="H798" i="4" s="1"/>
  <c r="G799" i="4" a="1"/>
  <c r="G799" i="4" s="1"/>
  <c r="I799" i="4" a="1"/>
  <c r="I799" i="4" s="1"/>
  <c r="G800" i="4" a="1"/>
  <c r="G800" i="4" s="1"/>
  <c r="I800" i="4" a="1"/>
  <c r="I800" i="4" s="1"/>
  <c r="G801" i="4" a="1"/>
  <c r="G801" i="4" s="1"/>
  <c r="I801" i="4" a="1"/>
  <c r="I801" i="4" s="1"/>
  <c r="G802" i="4" a="1"/>
  <c r="G802" i="4" s="1"/>
  <c r="I802" i="4" a="1"/>
  <c r="I802" i="4" s="1"/>
  <c r="G803" i="4" a="1"/>
  <c r="G803" i="4" s="1"/>
  <c r="I803" i="4" a="1"/>
  <c r="I803" i="4" s="1"/>
  <c r="G804" i="4" a="1"/>
  <c r="G804" i="4" s="1"/>
  <c r="I804" i="4" a="1"/>
  <c r="I804" i="4" s="1"/>
  <c r="G805" i="4" a="1"/>
  <c r="G805" i="4" s="1"/>
  <c r="I805" i="4" a="1"/>
  <c r="I805" i="4" s="1"/>
  <c r="G806" i="4" a="1"/>
  <c r="G806" i="4" s="1"/>
  <c r="I806" i="4" a="1"/>
  <c r="I806" i="4" s="1"/>
  <c r="G807" i="4" a="1"/>
  <c r="G807" i="4" s="1"/>
  <c r="I807" i="4" a="1"/>
  <c r="I807" i="4" s="1"/>
  <c r="G808" i="4" a="1"/>
  <c r="G808" i="4" s="1"/>
  <c r="I808" i="4" a="1"/>
  <c r="I808" i="4" s="1"/>
  <c r="G809" i="4" a="1"/>
  <c r="G809" i="4" s="1"/>
  <c r="I809" i="4" a="1"/>
  <c r="I809" i="4" s="1"/>
  <c r="G810" i="4" a="1"/>
  <c r="G810" i="4" s="1"/>
  <c r="I810" i="4" a="1"/>
  <c r="I810" i="4" s="1"/>
  <c r="G811" i="4" a="1"/>
  <c r="G811" i="4" s="1"/>
  <c r="I811" i="4" a="1"/>
  <c r="I811" i="4" s="1"/>
  <c r="G812" i="4" a="1"/>
  <c r="G812" i="4" s="1"/>
  <c r="I812" i="4" a="1"/>
  <c r="I812" i="4" s="1"/>
  <c r="G813" i="4" a="1"/>
  <c r="G813" i="4" s="1"/>
  <c r="I813" i="4" a="1"/>
  <c r="I813" i="4" s="1"/>
  <c r="G814" i="4" a="1"/>
  <c r="G814" i="4" s="1"/>
  <c r="I814" i="4" a="1"/>
  <c r="I814" i="4" s="1"/>
  <c r="G815" i="4" a="1"/>
  <c r="G815" i="4" s="1"/>
  <c r="I815" i="4" s="1" a="1"/>
  <c r="I815" i="4" s="1"/>
  <c r="H815" i="4" s="1"/>
  <c r="G816" i="4" a="1"/>
  <c r="G816" i="4" s="1"/>
  <c r="I816" i="4" a="1"/>
  <c r="I816" i="4" s="1"/>
  <c r="G817" i="4" a="1"/>
  <c r="G817" i="4" s="1"/>
  <c r="I817" i="4" a="1"/>
  <c r="I817" i="4" s="1"/>
  <c r="G818" i="4" a="1"/>
  <c r="G818" i="4" s="1"/>
  <c r="I818" i="4" a="1"/>
  <c r="I818" i="4" s="1"/>
  <c r="G819" i="4" a="1"/>
  <c r="G819" i="4" s="1"/>
  <c r="I819" i="4" a="1"/>
  <c r="I819" i="4" s="1"/>
  <c r="G820" i="4" a="1"/>
  <c r="G820" i="4" s="1"/>
  <c r="I820" i="4" a="1"/>
  <c r="I820" i="4" s="1"/>
  <c r="G821" i="4" a="1"/>
  <c r="G821" i="4" s="1"/>
  <c r="I821" i="4" a="1"/>
  <c r="I821" i="4" s="1"/>
  <c r="G822" i="4" a="1"/>
  <c r="G822" i="4" s="1"/>
  <c r="I822" i="4" a="1"/>
  <c r="I822" i="4" s="1"/>
  <c r="G823" i="4" a="1"/>
  <c r="G823" i="4" s="1"/>
  <c r="I823" i="4" a="1"/>
  <c r="I823" i="4" s="1"/>
  <c r="G824" i="4" a="1"/>
  <c r="G824" i="4" s="1"/>
  <c r="I824" i="4" a="1"/>
  <c r="I824" i="4" s="1"/>
  <c r="G825" i="4" a="1"/>
  <c r="G825" i="4" s="1"/>
  <c r="I825" i="4" a="1"/>
  <c r="I825" i="4" s="1"/>
  <c r="G826" i="4" a="1"/>
  <c r="G826" i="4" s="1"/>
  <c r="I826" i="4" a="1"/>
  <c r="I826" i="4" s="1"/>
  <c r="G827" i="4" a="1"/>
  <c r="G827" i="4" s="1"/>
  <c r="I827" i="4" s="1" a="1"/>
  <c r="I827" i="4" s="1"/>
  <c r="H827" i="4" s="1"/>
  <c r="G828" i="4" a="1"/>
  <c r="G828" i="4" s="1"/>
  <c r="I828" i="4" a="1"/>
  <c r="I828" i="4" s="1"/>
  <c r="G829" i="4" a="1"/>
  <c r="G829" i="4" s="1"/>
  <c r="I829" i="4" s="1" a="1"/>
  <c r="I829" i="4" s="1"/>
  <c r="H829" i="4" s="1"/>
  <c r="G830" i="4" a="1"/>
  <c r="G830" i="4" s="1"/>
  <c r="I830" i="4" a="1"/>
  <c r="I830" i="4" s="1"/>
  <c r="G831" i="4" a="1"/>
  <c r="G831" i="4" s="1"/>
  <c r="I831" i="4" a="1"/>
  <c r="I831" i="4" s="1"/>
  <c r="G832" i="4" a="1"/>
  <c r="G832" i="4" s="1"/>
  <c r="I832" i="4" a="1"/>
  <c r="I832" i="4" s="1"/>
  <c r="G833" i="4" a="1"/>
  <c r="G833" i="4" s="1"/>
  <c r="I833" i="4" a="1"/>
  <c r="I833" i="4" s="1"/>
  <c r="G834" i="4" a="1"/>
  <c r="G834" i="4" s="1"/>
  <c r="I834" i="4" a="1"/>
  <c r="I834" i="4" s="1"/>
  <c r="G835" i="4" a="1"/>
  <c r="G835" i="4" s="1"/>
  <c r="I835" i="4" a="1"/>
  <c r="I835" i="4" s="1"/>
  <c r="G836" i="4" a="1"/>
  <c r="G836" i="4" s="1"/>
  <c r="I836" i="4" a="1"/>
  <c r="I836" i="4" s="1"/>
  <c r="G837" i="4" a="1"/>
  <c r="G837" i="4" s="1"/>
  <c r="I837" i="4" a="1"/>
  <c r="I837" i="4" s="1"/>
  <c r="G838" i="4" a="1"/>
  <c r="G838" i="4" s="1"/>
  <c r="I838" i="4" a="1"/>
  <c r="I838" i="4" s="1"/>
  <c r="G839" i="4" a="1"/>
  <c r="G839" i="4" s="1"/>
  <c r="I839" i="4" a="1"/>
  <c r="I839" i="4" s="1"/>
  <c r="G840" i="4" a="1"/>
  <c r="G840" i="4" s="1"/>
  <c r="I840" i="4" a="1"/>
  <c r="I840" i="4" s="1"/>
  <c r="G841" i="4" a="1"/>
  <c r="G841" i="4" s="1"/>
  <c r="I841" i="4" a="1"/>
  <c r="I841" i="4" s="1"/>
  <c r="G842" i="4" a="1"/>
  <c r="G842" i="4" s="1"/>
  <c r="I842" i="4" a="1"/>
  <c r="I842" i="4" s="1"/>
  <c r="G843" i="4" a="1"/>
  <c r="G843" i="4" s="1"/>
  <c r="I843" i="4" a="1"/>
  <c r="I843" i="4" s="1"/>
  <c r="G844" i="4" a="1"/>
  <c r="G844" i="4" s="1"/>
  <c r="I844" i="4" a="1"/>
  <c r="I844" i="4" s="1"/>
  <c r="G845" i="4" a="1"/>
  <c r="G845" i="4" s="1"/>
  <c r="I845" i="4" a="1"/>
  <c r="I845" i="4" s="1"/>
  <c r="G846" i="4" a="1"/>
  <c r="G846" i="4" s="1"/>
  <c r="I846" i="4" a="1"/>
  <c r="I846" i="4" s="1"/>
  <c r="G847" i="4" a="1"/>
  <c r="G847" i="4" s="1"/>
  <c r="I847" i="4" a="1"/>
  <c r="I847" i="4" s="1"/>
  <c r="G848" i="4" a="1"/>
  <c r="G848" i="4" s="1"/>
  <c r="I848" i="4" a="1"/>
  <c r="I848" i="4" s="1"/>
  <c r="G849" i="4" a="1"/>
  <c r="G849" i="4" s="1"/>
  <c r="I849" i="4" a="1"/>
  <c r="I849" i="4" s="1"/>
  <c r="G850" i="4" a="1"/>
  <c r="G850" i="4" s="1"/>
  <c r="I850" i="4" a="1"/>
  <c r="I850" i="4" s="1"/>
  <c r="G851" i="4" a="1"/>
  <c r="G851" i="4" s="1"/>
  <c r="I851" i="4" a="1"/>
  <c r="I851" i="4" s="1"/>
  <c r="G852" i="4" a="1"/>
  <c r="G852" i="4" s="1"/>
  <c r="I852" i="4" a="1"/>
  <c r="I852" i="4" s="1"/>
  <c r="G853" i="4" a="1"/>
  <c r="G853" i="4" s="1"/>
  <c r="I853" i="4" a="1"/>
  <c r="I853" i="4" s="1"/>
  <c r="G854" i="4" a="1"/>
  <c r="G854" i="4" s="1"/>
  <c r="I854" i="4" a="1"/>
  <c r="I854" i="4" s="1"/>
  <c r="G855" i="4" a="1"/>
  <c r="G855" i="4" s="1"/>
  <c r="I855" i="4" a="1"/>
  <c r="I855" i="4" s="1"/>
  <c r="G856" i="4" a="1"/>
  <c r="G856" i="4" s="1"/>
  <c r="I856" i="4" a="1"/>
  <c r="I856" i="4" s="1"/>
  <c r="G857" i="4" a="1"/>
  <c r="G857" i="4" s="1"/>
  <c r="I857" i="4" a="1"/>
  <c r="I857" i="4" s="1"/>
  <c r="G858" i="4" a="1"/>
  <c r="G858" i="4" s="1"/>
  <c r="I858" i="4" a="1"/>
  <c r="I858" i="4" s="1"/>
  <c r="G859" i="4" a="1"/>
  <c r="G859" i="4" s="1"/>
  <c r="I859" i="4" s="1" a="1"/>
  <c r="I859" i="4" s="1"/>
  <c r="H859" i="4" s="1"/>
  <c r="G860" i="4" a="1"/>
  <c r="G860" i="4" s="1"/>
  <c r="I860" i="4" a="1"/>
  <c r="I860" i="4" s="1"/>
  <c r="G861" i="4" a="1"/>
  <c r="G861" i="4" s="1"/>
  <c r="I861" i="4" a="1"/>
  <c r="I861" i="4" s="1"/>
  <c r="G862" i="4" a="1"/>
  <c r="G862" i="4" s="1"/>
  <c r="I862" i="4" a="1"/>
  <c r="I862" i="4" s="1"/>
  <c r="G863" i="4" a="1"/>
  <c r="G863" i="4" s="1"/>
  <c r="I863" i="4" a="1"/>
  <c r="I863" i="4" s="1"/>
  <c r="G864" i="4" a="1"/>
  <c r="G864" i="4" s="1"/>
  <c r="I864" i="4" a="1"/>
  <c r="I864" i="4" s="1"/>
  <c r="G865" i="4" a="1"/>
  <c r="G865" i="4" s="1"/>
  <c r="I865" i="4" a="1"/>
  <c r="I865" i="4" s="1"/>
  <c r="G866" i="4" a="1"/>
  <c r="G866" i="4" s="1"/>
  <c r="I866" i="4" a="1"/>
  <c r="I866" i="4" s="1"/>
  <c r="G867" i="4" a="1"/>
  <c r="G867" i="4" s="1"/>
  <c r="I867" i="4" a="1"/>
  <c r="I867" i="4" s="1"/>
  <c r="G868" i="4" a="1"/>
  <c r="G868" i="4" s="1"/>
  <c r="I868" i="4" a="1"/>
  <c r="I868" i="4" s="1"/>
  <c r="G869" i="4" a="1"/>
  <c r="G869" i="4" s="1"/>
  <c r="I869" i="4" a="1"/>
  <c r="I869" i="4" s="1"/>
  <c r="G870" i="4" a="1"/>
  <c r="G870" i="4" s="1"/>
  <c r="I870" i="4" a="1"/>
  <c r="I870" i="4" s="1"/>
  <c r="G871" i="4" a="1"/>
  <c r="G871" i="4" s="1"/>
  <c r="I871" i="4" a="1"/>
  <c r="I871" i="4" s="1"/>
  <c r="G872" i="4" a="1"/>
  <c r="G872" i="4" s="1"/>
  <c r="I872" i="4" a="1"/>
  <c r="I872" i="4" s="1"/>
  <c r="G873" i="4" a="1"/>
  <c r="G873" i="4" s="1"/>
  <c r="I873" i="4" a="1"/>
  <c r="I873" i="4" s="1"/>
  <c r="G874" i="4" a="1"/>
  <c r="G874" i="4" s="1"/>
  <c r="I874" i="4" a="1"/>
  <c r="I874" i="4" s="1"/>
  <c r="G875" i="4" a="1"/>
  <c r="G875" i="4" s="1"/>
  <c r="I875" i="4" a="1"/>
  <c r="I875" i="4" s="1"/>
  <c r="G876" i="4" a="1"/>
  <c r="G876" i="4" s="1"/>
  <c r="I876" i="4" a="1"/>
  <c r="I876" i="4" s="1"/>
  <c r="G877" i="4" a="1"/>
  <c r="G877" i="4" s="1"/>
  <c r="I877" i="4" a="1"/>
  <c r="I877" i="4" s="1"/>
  <c r="G878" i="4" a="1"/>
  <c r="G878" i="4" s="1"/>
  <c r="I878" i="4" a="1"/>
  <c r="I878" i="4" s="1"/>
  <c r="G879" i="4" a="1"/>
  <c r="G879" i="4" s="1"/>
  <c r="I879" i="4" a="1"/>
  <c r="I879" i="4" s="1"/>
  <c r="G880" i="4" a="1"/>
  <c r="G880" i="4" s="1"/>
  <c r="I880" i="4" a="1"/>
  <c r="I880" i="4" s="1"/>
  <c r="G881" i="4" a="1"/>
  <c r="G881" i="4" s="1"/>
  <c r="I881" i="4" a="1"/>
  <c r="I881" i="4" s="1"/>
  <c r="G882" i="4" a="1"/>
  <c r="G882" i="4" s="1"/>
  <c r="I882" i="4" a="1"/>
  <c r="I882" i="4" s="1"/>
  <c r="G883" i="4" a="1"/>
  <c r="G883" i="4" s="1"/>
  <c r="I883" i="4" a="1"/>
  <c r="I883" i="4" s="1"/>
  <c r="G884" i="4" a="1"/>
  <c r="G884" i="4" s="1"/>
  <c r="I884" i="4" a="1"/>
  <c r="I884" i="4" s="1"/>
  <c r="G885" i="4" a="1"/>
  <c r="G885" i="4" s="1"/>
  <c r="I885" i="4" a="1"/>
  <c r="I885" i="4" s="1"/>
  <c r="G886" i="4" a="1"/>
  <c r="G886" i="4" s="1"/>
  <c r="I886" i="4" a="1"/>
  <c r="I886" i="4" s="1"/>
  <c r="G887" i="4" a="1"/>
  <c r="G887" i="4" s="1"/>
  <c r="I887" i="4" a="1"/>
  <c r="I887" i="4" s="1"/>
  <c r="G888" i="4" a="1"/>
  <c r="G888" i="4" s="1"/>
  <c r="I888" i="4" a="1"/>
  <c r="I888" i="4" s="1"/>
  <c r="G889" i="4" a="1"/>
  <c r="G889" i="4" s="1"/>
  <c r="I889" i="4" a="1"/>
  <c r="I889" i="4" s="1"/>
  <c r="G890" i="4" a="1"/>
  <c r="G890" i="4" s="1"/>
  <c r="I890" i="4" a="1"/>
  <c r="I890" i="4" s="1"/>
  <c r="G891" i="4" a="1"/>
  <c r="G891" i="4" s="1"/>
  <c r="I891" i="4" a="1"/>
  <c r="I891" i="4" s="1"/>
  <c r="G892" i="4" a="1"/>
  <c r="G892" i="4" s="1"/>
  <c r="I892" i="4" s="1" a="1"/>
  <c r="I892" i="4" s="1"/>
  <c r="H892" i="4" s="1"/>
  <c r="G893" i="4" a="1"/>
  <c r="G893" i="4" s="1"/>
  <c r="I893" i="4" a="1"/>
  <c r="I893" i="4" s="1"/>
  <c r="G894" i="4" a="1"/>
  <c r="G894" i="4" s="1"/>
  <c r="I894" i="4" s="1" a="1"/>
  <c r="I894" i="4" s="1"/>
  <c r="H894" i="4" s="1"/>
  <c r="G895" i="4" a="1"/>
  <c r="G895" i="4" s="1"/>
  <c r="I895" i="4" a="1"/>
  <c r="I895" i="4" s="1"/>
  <c r="G896" i="4" a="1"/>
  <c r="G896" i="4" s="1"/>
  <c r="I896" i="4" a="1"/>
  <c r="I896" i="4" s="1"/>
  <c r="G897" i="4" a="1"/>
  <c r="G897" i="4" s="1"/>
  <c r="I897" i="4" a="1"/>
  <c r="I897" i="4" s="1"/>
  <c r="G898" i="4" a="1"/>
  <c r="G898" i="4" s="1"/>
  <c r="I898" i="4" a="1"/>
  <c r="I898" i="4" s="1"/>
  <c r="G899" i="4" a="1"/>
  <c r="G899" i="4" s="1"/>
  <c r="I899" i="4" a="1"/>
  <c r="I899" i="4" s="1"/>
  <c r="G900" i="4" a="1"/>
  <c r="G900" i="4" s="1"/>
  <c r="I900" i="4" a="1"/>
  <c r="I900" i="4" s="1"/>
  <c r="G901" i="4" a="1"/>
  <c r="G901" i="4" s="1"/>
  <c r="I901" i="4" a="1"/>
  <c r="I901" i="4" s="1"/>
  <c r="G902" i="4" a="1"/>
  <c r="G902" i="4" s="1"/>
  <c r="I902" i="4" a="1"/>
  <c r="I902" i="4" s="1"/>
  <c r="G903" i="4" a="1"/>
  <c r="G903" i="4" s="1"/>
  <c r="I903" i="4" a="1"/>
  <c r="I903" i="4" s="1"/>
  <c r="G904" i="4" a="1"/>
  <c r="G904" i="4" s="1"/>
  <c r="I904" i="4" a="1"/>
  <c r="I904" i="4" s="1"/>
  <c r="G905" i="4" a="1"/>
  <c r="G905" i="4" s="1"/>
  <c r="I905" i="4" a="1"/>
  <c r="I905" i="4" s="1"/>
  <c r="G906" i="4" a="1"/>
  <c r="G906" i="4" s="1"/>
  <c r="I906" i="4" a="1"/>
  <c r="I906" i="4" s="1"/>
  <c r="G907" i="4" a="1"/>
  <c r="G907" i="4" s="1"/>
  <c r="I907" i="4" a="1"/>
  <c r="I907" i="4" s="1"/>
  <c r="G908" i="4" a="1"/>
  <c r="G908" i="4" s="1"/>
  <c r="I908" i="4" a="1"/>
  <c r="I908" i="4" s="1"/>
  <c r="G909" i="4" a="1"/>
  <c r="G909" i="4" s="1"/>
  <c r="I909" i="4" a="1"/>
  <c r="I909" i="4" s="1"/>
  <c r="G910" i="4" a="1"/>
  <c r="G910" i="4" s="1"/>
  <c r="I910" i="4" a="1"/>
  <c r="I910" i="4" s="1"/>
  <c r="G911" i="4" a="1"/>
  <c r="G911" i="4" s="1"/>
  <c r="I911" i="4" a="1"/>
  <c r="I911" i="4" s="1"/>
  <c r="G912" i="4" a="1"/>
  <c r="G912" i="4" s="1"/>
  <c r="I912" i="4" a="1"/>
  <c r="I912" i="4" s="1"/>
  <c r="G913" i="4" a="1"/>
  <c r="G913" i="4" s="1"/>
  <c r="I913" i="4" a="1"/>
  <c r="I913" i="4" s="1"/>
  <c r="G914" i="4" a="1"/>
  <c r="G914" i="4" s="1"/>
  <c r="I914" i="4" a="1"/>
  <c r="I914" i="4" s="1"/>
  <c r="G915" i="4" a="1"/>
  <c r="G915" i="4" s="1"/>
  <c r="I915" i="4" a="1"/>
  <c r="I915" i="4" s="1"/>
  <c r="G916" i="4" a="1"/>
  <c r="G916" i="4" s="1"/>
  <c r="I916" i="4" a="1"/>
  <c r="I916" i="4" s="1"/>
  <c r="G917" i="4" a="1"/>
  <c r="G917" i="4" s="1"/>
  <c r="I917" i="4" a="1"/>
  <c r="I917" i="4" s="1"/>
  <c r="G918" i="4" a="1"/>
  <c r="G918" i="4" s="1"/>
  <c r="I918" i="4" a="1"/>
  <c r="I918" i="4" s="1"/>
  <c r="G919" i="4" a="1"/>
  <c r="G919" i="4" s="1"/>
  <c r="I919" i="4" a="1"/>
  <c r="I919" i="4" s="1"/>
  <c r="G920" i="4" a="1"/>
  <c r="G920" i="4" s="1"/>
  <c r="I920" i="4" a="1"/>
  <c r="I920" i="4" s="1"/>
  <c r="G921" i="4" a="1"/>
  <c r="G921" i="4" s="1"/>
  <c r="I921" i="4" a="1"/>
  <c r="I921" i="4" s="1"/>
  <c r="G922" i="4" a="1"/>
  <c r="G922" i="4" s="1"/>
  <c r="I922" i="4" a="1"/>
  <c r="I922" i="4" s="1"/>
  <c r="G923" i="4" a="1"/>
  <c r="G923" i="4" s="1"/>
  <c r="I923" i="4" a="1"/>
  <c r="I923" i="4" s="1"/>
  <c r="G924" i="4" a="1"/>
  <c r="G924" i="4" s="1"/>
  <c r="I924" i="4" a="1"/>
  <c r="I924" i="4" s="1"/>
  <c r="G925" i="4" a="1"/>
  <c r="G925" i="4" s="1"/>
  <c r="I925" i="4" a="1"/>
  <c r="I925" i="4" s="1"/>
  <c r="G926" i="4" a="1"/>
  <c r="G926" i="4" s="1"/>
  <c r="I926" i="4" a="1"/>
  <c r="I926" i="4" s="1"/>
  <c r="G927" i="4" a="1"/>
  <c r="G927" i="4" s="1"/>
  <c r="I927" i="4" a="1"/>
  <c r="I927" i="4" s="1"/>
  <c r="G928" i="4" a="1"/>
  <c r="G928" i="4" s="1"/>
  <c r="I928" i="4" a="1"/>
  <c r="I928" i="4" s="1"/>
  <c r="G929" i="4" a="1"/>
  <c r="G929" i="4" s="1"/>
  <c r="I929" i="4" a="1"/>
  <c r="I929" i="4" s="1"/>
  <c r="G930" i="4" a="1"/>
  <c r="G930" i="4" s="1"/>
  <c r="I930" i="4" a="1"/>
  <c r="I930" i="4" s="1"/>
  <c r="G931" i="4" a="1"/>
  <c r="G931" i="4" s="1"/>
  <c r="I931" i="4" a="1"/>
  <c r="I931" i="4" s="1"/>
  <c r="G932" i="4" a="1"/>
  <c r="G932" i="4" s="1"/>
  <c r="I932" i="4" a="1"/>
  <c r="I932" i="4" s="1"/>
  <c r="G933" i="4" a="1"/>
  <c r="G933" i="4" s="1"/>
  <c r="I933" i="4" a="1"/>
  <c r="I933" i="4" s="1"/>
  <c r="G934" i="4" a="1"/>
  <c r="G934" i="4" s="1"/>
  <c r="I934" i="4" a="1"/>
  <c r="I934" i="4" s="1"/>
  <c r="G935" i="4" a="1"/>
  <c r="G935" i="4" s="1"/>
  <c r="I935" i="4" s="1" a="1"/>
  <c r="I935" i="4" s="1"/>
  <c r="H935" i="4" s="1"/>
  <c r="G936" i="4" a="1"/>
  <c r="G936" i="4" s="1"/>
  <c r="I936" i="4" s="1" a="1"/>
  <c r="I936" i="4" s="1"/>
  <c r="H936" i="4" s="1"/>
  <c r="G937" i="4" a="1"/>
  <c r="G937" i="4" s="1"/>
  <c r="I937" i="4" s="1" a="1"/>
  <c r="I937" i="4" s="1"/>
  <c r="H937" i="4" s="1"/>
  <c r="G938" i="4" a="1"/>
  <c r="G938" i="4" s="1"/>
  <c r="I938" i="4" a="1"/>
  <c r="I938" i="4" s="1"/>
  <c r="G939" i="4" a="1"/>
  <c r="G939" i="4" s="1"/>
  <c r="I939" i="4" s="1" a="1"/>
  <c r="I939" i="4" s="1"/>
  <c r="H939" i="4" s="1"/>
  <c r="G940" i="4" a="1"/>
  <c r="G940" i="4" s="1"/>
  <c r="I940" i="4" a="1"/>
  <c r="I940" i="4" s="1"/>
  <c r="G941" i="4" a="1"/>
  <c r="G941" i="4" s="1"/>
  <c r="I941" i="4" s="1" a="1"/>
  <c r="I941" i="4" s="1"/>
  <c r="H941" i="4" s="1"/>
  <c r="G942" i="4" a="1"/>
  <c r="G942" i="4" s="1"/>
  <c r="I942" i="4" a="1"/>
  <c r="I942" i="4" s="1"/>
  <c r="G943" i="4" a="1"/>
  <c r="G943" i="4" s="1"/>
  <c r="I943" i="4" s="1" a="1"/>
  <c r="I943" i="4" s="1"/>
  <c r="H943" i="4" s="1"/>
  <c r="G944" i="4" a="1"/>
  <c r="G944" i="4" s="1"/>
  <c r="I944" i="4" a="1"/>
  <c r="I944" i="4" s="1"/>
  <c r="G945" i="4" a="1"/>
  <c r="G945" i="4" s="1"/>
  <c r="I945" i="4" s="1" a="1"/>
  <c r="I945" i="4" s="1"/>
  <c r="H945" i="4" s="1"/>
  <c r="G946" i="4" a="1"/>
  <c r="G946" i="4" s="1"/>
  <c r="I946" i="4" a="1"/>
  <c r="I946" i="4" s="1"/>
  <c r="G947" i="4" a="1"/>
  <c r="G947" i="4" s="1"/>
  <c r="I947" i="4" s="1" a="1"/>
  <c r="I947" i="4" s="1"/>
  <c r="H947" i="4" s="1"/>
  <c r="G948" i="4" a="1"/>
  <c r="G948" i="4" s="1"/>
  <c r="I948" i="4" s="1" a="1"/>
  <c r="I948" i="4" s="1"/>
  <c r="H948" i="4" s="1"/>
  <c r="G949" i="4" a="1"/>
  <c r="G949" i="4" s="1"/>
  <c r="I949" i="4" a="1"/>
  <c r="I949" i="4" s="1"/>
  <c r="G950" i="4" a="1"/>
  <c r="G950" i="4" s="1"/>
  <c r="I950" i="4" s="1" a="1"/>
  <c r="I950" i="4" s="1"/>
  <c r="H950" i="4" s="1"/>
  <c r="G951" i="4" a="1"/>
  <c r="G951" i="4" s="1"/>
  <c r="I951" i="4" a="1"/>
  <c r="I951" i="4" s="1"/>
  <c r="G952" i="4" a="1"/>
  <c r="G952" i="4" s="1"/>
  <c r="I952" i="4" s="1" a="1"/>
  <c r="I952" i="4" s="1"/>
  <c r="H952" i="4" s="1"/>
  <c r="G953" i="4" a="1"/>
  <c r="G953" i="4" s="1"/>
  <c r="I953" i="4" a="1"/>
  <c r="I953" i="4" s="1"/>
  <c r="G954" i="4" a="1"/>
  <c r="G954" i="4" s="1"/>
  <c r="I954" i="4" s="1" a="1"/>
  <c r="I954" i="4" s="1"/>
  <c r="H954" i="4" s="1"/>
  <c r="G955" i="4" a="1"/>
  <c r="G955" i="4" s="1"/>
  <c r="I955" i="4" s="1" a="1"/>
  <c r="I955" i="4" s="1"/>
  <c r="H955" i="4" s="1"/>
  <c r="G956" i="4" a="1"/>
  <c r="G956" i="4" s="1"/>
  <c r="I956" i="4" s="1" a="1"/>
  <c r="I956" i="4" s="1"/>
  <c r="H956" i="4" s="1"/>
  <c r="G957" i="4" a="1"/>
  <c r="G957" i="4" s="1"/>
  <c r="I957" i="4" s="1" a="1"/>
  <c r="I957" i="4" s="1"/>
  <c r="H957" i="4" s="1"/>
  <c r="G958" i="4" a="1"/>
  <c r="G958" i="4" s="1"/>
  <c r="I958" i="4" s="1" a="1"/>
  <c r="I958" i="4" s="1"/>
  <c r="H958" i="4" s="1"/>
  <c r="G959" i="4" a="1"/>
  <c r="G959" i="4" s="1"/>
  <c r="I959" i="4" s="1" a="1"/>
  <c r="I959" i="4" s="1"/>
  <c r="H959" i="4" s="1"/>
  <c r="G960" i="4" a="1"/>
  <c r="G960" i="4" s="1"/>
  <c r="I960" i="4" s="1" a="1"/>
  <c r="I960" i="4" s="1"/>
  <c r="H960" i="4" s="1"/>
  <c r="G961" i="4" a="1"/>
  <c r="G961" i="4" s="1"/>
  <c r="I961" i="4" s="1" a="1"/>
  <c r="I961" i="4" s="1"/>
  <c r="H961" i="4" s="1"/>
  <c r="G962" i="4" a="1"/>
  <c r="G962" i="4" s="1"/>
  <c r="I962" i="4" s="1" a="1"/>
  <c r="I962" i="4" s="1"/>
  <c r="H962" i="4" s="1"/>
  <c r="G963" i="4" a="1"/>
  <c r="G963" i="4" s="1"/>
  <c r="I963" i="4" s="1" a="1"/>
  <c r="I963" i="4" s="1"/>
  <c r="H963" i="4" s="1"/>
  <c r="G964" i="4" a="1"/>
  <c r="G964" i="4" s="1"/>
  <c r="I964" i="4" s="1" a="1"/>
  <c r="I964" i="4" s="1"/>
  <c r="H964" i="4" s="1"/>
  <c r="G965" i="4" a="1"/>
  <c r="G965" i="4" s="1"/>
  <c r="I965" i="4" a="1"/>
  <c r="I965" i="4" s="1"/>
  <c r="G966" i="4" a="1"/>
  <c r="G966" i="4" s="1"/>
  <c r="I966" i="4" s="1" a="1"/>
  <c r="I966" i="4" s="1"/>
  <c r="H966" i="4" s="1"/>
  <c r="G967" i="4" a="1"/>
  <c r="G967" i="4" s="1"/>
  <c r="I967" i="4" a="1"/>
  <c r="I967" i="4" s="1"/>
  <c r="G968" i="4" a="1"/>
  <c r="G968" i="4" s="1"/>
  <c r="I968" i="4" s="1" a="1"/>
  <c r="I968" i="4" s="1"/>
  <c r="H968" i="4" s="1"/>
  <c r="G969" i="4" a="1"/>
  <c r="G969" i="4" s="1"/>
  <c r="I969" i="4" a="1"/>
  <c r="I969" i="4" s="1"/>
  <c r="G970" i="4" a="1"/>
  <c r="G970" i="4" s="1"/>
  <c r="I970" i="4" s="1" a="1"/>
  <c r="I970" i="4" s="1"/>
  <c r="H970" i="4" s="1"/>
  <c r="G971" i="4" a="1"/>
  <c r="G971" i="4" s="1"/>
  <c r="I971" i="4" a="1"/>
  <c r="I971" i="4" s="1"/>
  <c r="G972" i="4" a="1"/>
  <c r="G972" i="4" s="1"/>
  <c r="I972" i="4" s="1" a="1"/>
  <c r="I972" i="4" s="1"/>
  <c r="H972" i="4" s="1"/>
  <c r="G973" i="4" a="1"/>
  <c r="G973" i="4" s="1"/>
  <c r="I973" i="4" s="1" a="1"/>
  <c r="I973" i="4" s="1"/>
  <c r="H973" i="4" s="1"/>
  <c r="G974" i="4" a="1"/>
  <c r="G974" i="4" s="1"/>
  <c r="I974" i="4" a="1"/>
  <c r="I974" i="4" s="1"/>
  <c r="G975" i="4" a="1"/>
  <c r="G975" i="4" s="1"/>
  <c r="I975" i="4" s="1" a="1"/>
  <c r="I975" i="4" s="1"/>
  <c r="H975" i="4" s="1"/>
  <c r="G976" i="4" a="1"/>
  <c r="G976" i="4" s="1"/>
  <c r="I976" i="4" s="1" a="1"/>
  <c r="I976" i="4" s="1"/>
  <c r="H976" i="4" s="1"/>
  <c r="G977" i="4" a="1"/>
  <c r="G977" i="4" s="1"/>
  <c r="I977" i="4" s="1" a="1"/>
  <c r="I977" i="4" s="1"/>
  <c r="H977" i="4" s="1"/>
  <c r="G978" i="4" a="1"/>
  <c r="G978" i="4" s="1"/>
  <c r="I978" i="4" s="1" a="1"/>
  <c r="I978" i="4" s="1"/>
  <c r="H978" i="4" s="1"/>
  <c r="G979" i="4" a="1"/>
  <c r="G979" i="4" s="1"/>
  <c r="I979" i="4" s="1" a="1"/>
  <c r="I979" i="4" s="1"/>
  <c r="H979" i="4" s="1"/>
  <c r="G980" i="4" a="1"/>
  <c r="G980" i="4" s="1"/>
  <c r="I980" i="4" s="1" a="1"/>
  <c r="I980" i="4" s="1"/>
  <c r="H980" i="4" s="1"/>
  <c r="G981" i="4" a="1"/>
  <c r="G981" i="4" s="1"/>
  <c r="I981" i="4" s="1" a="1"/>
  <c r="I981" i="4" s="1"/>
  <c r="H981" i="4" s="1"/>
  <c r="G982" i="4" a="1"/>
  <c r="G982" i="4" s="1"/>
  <c r="I982" i="4" s="1" a="1"/>
  <c r="I982" i="4" s="1"/>
  <c r="H982" i="4" s="1"/>
  <c r="G983" i="4" a="1"/>
  <c r="G983" i="4" s="1"/>
  <c r="I983" i="4" s="1" a="1"/>
  <c r="I983" i="4" s="1"/>
  <c r="H983" i="4" s="1"/>
  <c r="G984" i="4" a="1"/>
  <c r="G984" i="4" s="1"/>
  <c r="I984" i="4" s="1" a="1"/>
  <c r="I984" i="4" s="1"/>
  <c r="H984" i="4" s="1"/>
  <c r="G985" i="4" a="1"/>
  <c r="G985" i="4" s="1"/>
  <c r="I985" i="4" a="1"/>
  <c r="I985" i="4" s="1"/>
  <c r="G986" i="4" a="1"/>
  <c r="G986" i="4" s="1"/>
  <c r="I986" i="4" s="1" a="1"/>
  <c r="I986" i="4" s="1"/>
  <c r="H986" i="4" s="1"/>
  <c r="G987" i="4" a="1"/>
  <c r="G987" i="4" s="1"/>
  <c r="I987" i="4" s="1" a="1"/>
  <c r="I987" i="4" s="1"/>
  <c r="H987" i="4" s="1"/>
  <c r="G988" i="4" a="1"/>
  <c r="G988" i="4" s="1"/>
  <c r="I988" i="4" s="1" a="1"/>
  <c r="I988" i="4" s="1"/>
  <c r="H988" i="4" s="1"/>
  <c r="G989" i="4" a="1"/>
  <c r="G989" i="4" s="1"/>
  <c r="I989" i="4" a="1"/>
  <c r="I989" i="4" s="1"/>
  <c r="G990" i="4" a="1"/>
  <c r="G990" i="4" s="1"/>
  <c r="I990" i="4" a="1"/>
  <c r="I990" i="4" s="1"/>
  <c r="G991" i="4" a="1"/>
  <c r="G991" i="4" s="1"/>
  <c r="I991" i="4" a="1"/>
  <c r="I991" i="4" s="1"/>
  <c r="G992" i="4" a="1"/>
  <c r="G992" i="4" s="1"/>
  <c r="I992" i="4" a="1"/>
  <c r="I992" i="4" s="1"/>
  <c r="G993" i="4" a="1"/>
  <c r="G993" i="4" s="1"/>
  <c r="I993" i="4" a="1"/>
  <c r="I993" i="4" s="1"/>
  <c r="G994" i="4" a="1"/>
  <c r="G994" i="4" s="1"/>
  <c r="I994" i="4" a="1"/>
  <c r="I994" i="4" s="1"/>
  <c r="G995" i="4" a="1"/>
  <c r="G995" i="4" s="1"/>
  <c r="I995" i="4" a="1"/>
  <c r="I995" i="4" s="1"/>
  <c r="G996" i="4" a="1"/>
  <c r="G996" i="4" s="1"/>
  <c r="I996" i="4" a="1"/>
  <c r="I996" i="4" s="1"/>
  <c r="G997" i="4" a="1"/>
  <c r="G997" i="4" s="1"/>
  <c r="I997" i="4" a="1"/>
  <c r="I997" i="4" s="1"/>
  <c r="G998" i="4" a="1"/>
  <c r="G998" i="4" s="1"/>
  <c r="I998" i="4" a="1"/>
  <c r="I998" i="4" s="1"/>
  <c r="G999" i="4" a="1"/>
  <c r="G999" i="4" s="1"/>
  <c r="I999" i="4" s="1" a="1"/>
  <c r="I999" i="4" s="1"/>
  <c r="H999" i="4" s="1"/>
  <c r="G1000" i="4" a="1"/>
  <c r="G1000" i="4" s="1"/>
  <c r="I1000" i="4" s="1" a="1"/>
  <c r="I1000" i="4" s="1"/>
  <c r="H1000" i="4" s="1"/>
  <c r="G1001" i="4" a="1"/>
  <c r="G1001" i="4" s="1"/>
  <c r="I1001" i="4" s="1" a="1"/>
  <c r="I1001" i="4" s="1"/>
  <c r="H1001" i="4" s="1"/>
  <c r="G1002" i="4" a="1"/>
  <c r="G1002" i="4" s="1"/>
  <c r="I1002" i="4" s="1" a="1"/>
  <c r="I1002" i="4" s="1"/>
  <c r="H1002" i="4" s="1"/>
  <c r="G1003" i="4" a="1"/>
  <c r="G1003" i="4" s="1"/>
  <c r="I1003" i="4" s="1" a="1"/>
  <c r="I1003" i="4" s="1"/>
  <c r="H1003" i="4" s="1"/>
  <c r="G1004" i="4" a="1"/>
  <c r="G1004" i="4" s="1"/>
  <c r="I1004" i="4" a="1"/>
  <c r="I1004" i="4" s="1"/>
  <c r="G1005" i="4" a="1"/>
  <c r="G1005" i="4" s="1"/>
  <c r="I1005" i="4" a="1"/>
  <c r="I1005" i="4" s="1"/>
  <c r="G1006" i="4" a="1"/>
  <c r="G1006" i="4" s="1"/>
  <c r="I1006" i="4" a="1"/>
  <c r="I1006" i="4" s="1"/>
  <c r="G1007" i="4" a="1"/>
  <c r="G1007" i="4" s="1"/>
  <c r="I1007" i="4" a="1"/>
  <c r="I1007" i="4" s="1"/>
  <c r="G1008" i="4" a="1"/>
  <c r="G1008" i="4" s="1"/>
  <c r="I1008" i="4" a="1"/>
  <c r="I1008" i="4" s="1"/>
  <c r="G1009" i="4" a="1"/>
  <c r="G1009" i="4" s="1"/>
  <c r="I1009" i="4" a="1"/>
  <c r="I1009" i="4" s="1"/>
  <c r="G1010" i="4" a="1"/>
  <c r="G1010" i="4" s="1"/>
  <c r="I1010" i="4" s="1" a="1"/>
  <c r="I1010" i="4" s="1"/>
  <c r="H1010" i="4" s="1"/>
  <c r="G1011" i="4" a="1"/>
  <c r="G1011" i="4" s="1"/>
  <c r="I1011" i="4" s="1" a="1"/>
  <c r="I1011" i="4" s="1"/>
  <c r="H1011" i="4" s="1"/>
  <c r="G1012" i="4" a="1"/>
  <c r="G1012" i="4" s="1"/>
  <c r="I1012" i="4" s="1" a="1"/>
  <c r="I1012" i="4" s="1"/>
  <c r="H1012" i="4" s="1"/>
  <c r="G1013" i="4" a="1"/>
  <c r="G1013" i="4" s="1"/>
  <c r="I1013" i="4" s="1" a="1"/>
  <c r="I1013" i="4" s="1"/>
  <c r="H1013" i="4" s="1"/>
  <c r="G1014" i="4" a="1"/>
  <c r="G1014" i="4" s="1"/>
  <c r="I1014" i="4" s="1" a="1"/>
  <c r="I1014" i="4" s="1"/>
  <c r="H1014" i="4" s="1"/>
  <c r="G1015" i="4" a="1"/>
  <c r="G1015" i="4" s="1"/>
  <c r="I1015" i="4" s="1" a="1"/>
  <c r="I1015" i="4" s="1"/>
  <c r="H1015" i="4" s="1"/>
  <c r="G1016" i="4" a="1"/>
  <c r="G1016" i="4" s="1"/>
  <c r="I1016" i="4" s="1" a="1"/>
  <c r="I1016" i="4" s="1"/>
  <c r="H1016" i="4" s="1"/>
  <c r="G1017" i="4" a="1"/>
  <c r="G1017" i="4" s="1"/>
  <c r="I1017" i="4" s="1" a="1"/>
  <c r="I1017" i="4" s="1"/>
  <c r="H1017" i="4" s="1"/>
  <c r="G1018" i="4" a="1"/>
  <c r="G1018" i="4" s="1"/>
  <c r="I1018" i="4" s="1" a="1"/>
  <c r="I1018" i="4" s="1"/>
  <c r="H1018" i="4" s="1"/>
  <c r="G1019" i="4" a="1"/>
  <c r="G1019" i="4" s="1"/>
  <c r="I1019" i="4" s="1" a="1"/>
  <c r="I1019" i="4" s="1"/>
  <c r="H1019" i="4" s="1"/>
  <c r="G1020" i="4" a="1"/>
  <c r="G1020" i="4" s="1"/>
  <c r="I1020" i="4" s="1" a="1"/>
  <c r="I1020" i="4" s="1"/>
  <c r="H1020" i="4" s="1"/>
  <c r="G1021" i="4" a="1"/>
  <c r="G1021" i="4" s="1"/>
  <c r="I1021" i="4" s="1" a="1"/>
  <c r="I1021" i="4" s="1"/>
  <c r="H1021" i="4" s="1"/>
  <c r="G1022" i="4" a="1"/>
  <c r="G1022" i="4" s="1"/>
  <c r="I1022" i="4" s="1" a="1"/>
  <c r="I1022" i="4" s="1"/>
  <c r="H1022" i="4" s="1"/>
  <c r="G1023" i="4" a="1"/>
  <c r="G1023" i="4" s="1"/>
  <c r="I1023" i="4" s="1" a="1"/>
  <c r="I1023" i="4" s="1"/>
  <c r="H1023" i="4" s="1"/>
  <c r="G1024" i="4" a="1"/>
  <c r="G1024" i="4" s="1"/>
  <c r="I1024" i="4" s="1" a="1"/>
  <c r="I1024" i="4" s="1"/>
  <c r="H1024" i="4" s="1"/>
  <c r="G1025" i="4" a="1"/>
  <c r="G1025" i="4" s="1"/>
  <c r="I1025" i="4" s="1" a="1"/>
  <c r="I1025" i="4" s="1"/>
  <c r="H1025" i="4" s="1"/>
  <c r="G1026" i="4" a="1"/>
  <c r="G1026" i="4" s="1"/>
  <c r="I1026" i="4" s="1" a="1"/>
  <c r="I1026" i="4" s="1"/>
  <c r="H1026" i="4" s="1"/>
  <c r="G1027" i="4" a="1"/>
  <c r="G1027" i="4" s="1"/>
  <c r="I1027" i="4" a="1"/>
  <c r="I1027" i="4" s="1"/>
  <c r="G1028" i="4" a="1"/>
  <c r="G1028" i="4" s="1"/>
  <c r="I1028" i="4" a="1"/>
  <c r="I1028" i="4" s="1"/>
  <c r="G1029" i="4" a="1"/>
  <c r="G1029" i="4" s="1"/>
  <c r="I1029" i="4" s="1" a="1"/>
  <c r="I1029" i="4" s="1"/>
  <c r="H1029" i="4" s="1"/>
  <c r="G1030" i="4" a="1"/>
  <c r="G1030" i="4" s="1"/>
  <c r="I1030" i="4" s="1" a="1"/>
  <c r="I1030" i="4" s="1"/>
  <c r="H1030" i="4" s="1"/>
  <c r="G1031" i="4" a="1"/>
  <c r="G1031" i="4" s="1"/>
  <c r="I1031" i="4" s="1" a="1"/>
  <c r="I1031" i="4" s="1"/>
  <c r="H1031" i="4" s="1"/>
  <c r="G1032" i="4" a="1"/>
  <c r="G1032" i="4" s="1"/>
  <c r="I1032" i="4" s="1" a="1"/>
  <c r="I1032" i="4" s="1"/>
  <c r="H1032" i="4" s="1"/>
  <c r="G1033" i="4" a="1"/>
  <c r="G1033" i="4" s="1"/>
  <c r="I1033" i="4" a="1"/>
  <c r="I1033" i="4" s="1"/>
  <c r="G1034" i="4" a="1"/>
  <c r="G1034" i="4" s="1"/>
  <c r="I1034" i="4" a="1"/>
  <c r="I1034" i="4" s="1"/>
  <c r="G1035" i="4" a="1"/>
  <c r="G1035" i="4" s="1"/>
  <c r="I1035" i="4" a="1"/>
  <c r="I1035" i="4" s="1"/>
  <c r="G1036" i="4" a="1"/>
  <c r="G1036" i="4" s="1"/>
  <c r="I1036" i="4" a="1"/>
  <c r="I1036" i="4" s="1"/>
  <c r="G1037" i="4" a="1"/>
  <c r="G1037" i="4" s="1"/>
  <c r="I1037" i="4" s="1" a="1"/>
  <c r="I1037" i="4" s="1"/>
  <c r="H1037" i="4" s="1"/>
  <c r="G1038" i="4" a="1"/>
  <c r="G1038" i="4" s="1"/>
  <c r="I1038" i="4" s="1" a="1"/>
  <c r="I1038" i="4" s="1"/>
  <c r="H1038" i="4" s="1"/>
  <c r="G1039" i="4" a="1"/>
  <c r="G1039" i="4" s="1"/>
  <c r="I1039" i="4" s="1" a="1"/>
  <c r="I1039" i="4" s="1"/>
  <c r="H1039" i="4" s="1"/>
  <c r="G1040" i="4" a="1"/>
  <c r="G1040" i="4" s="1"/>
  <c r="I1040" i="4" s="1" a="1"/>
  <c r="I1040" i="4" s="1"/>
  <c r="H1040" i="4" s="1"/>
  <c r="G1041" i="4" a="1"/>
  <c r="G1041" i="4" s="1"/>
  <c r="I1041" i="4" s="1" a="1"/>
  <c r="I1041" i="4" s="1"/>
  <c r="H1041" i="4" s="1"/>
  <c r="G1042" i="4" a="1"/>
  <c r="G1042" i="4" s="1"/>
  <c r="I1042" i="4" s="1" a="1"/>
  <c r="I1042" i="4" s="1"/>
  <c r="H1042" i="4" s="1"/>
  <c r="G1043" i="4" a="1"/>
  <c r="G1043" i="4" s="1"/>
  <c r="I1043" i="4" a="1"/>
  <c r="I1043" i="4" s="1"/>
  <c r="G1044" i="4" a="1"/>
  <c r="G1044" i="4" s="1"/>
  <c r="I1044" i="4" a="1"/>
  <c r="I1044" i="4" s="1"/>
  <c r="G1045" i="4" a="1"/>
  <c r="G1045" i="4" s="1"/>
  <c r="I1045" i="4" s="1" a="1"/>
  <c r="I1045" i="4" s="1"/>
  <c r="H1045" i="4" s="1"/>
  <c r="G1046" i="4" a="1"/>
  <c r="G1046" i="4" s="1"/>
  <c r="I1046" i="4" s="1" a="1"/>
  <c r="I1046" i="4" s="1"/>
  <c r="H1046" i="4" s="1"/>
  <c r="G1047" i="4" a="1"/>
  <c r="G1047" i="4" s="1"/>
  <c r="I1047" i="4" s="1" a="1"/>
  <c r="I1047" i="4" s="1"/>
  <c r="H1047" i="4" s="1"/>
  <c r="G1048" i="4" a="1"/>
  <c r="G1048" i="4" s="1"/>
  <c r="I1048" i="4" s="1" a="1"/>
  <c r="I1048" i="4" s="1"/>
  <c r="H1048" i="4" s="1"/>
  <c r="G1049" i="4" a="1"/>
  <c r="G1049" i="4" s="1"/>
  <c r="I1049" i="4" a="1"/>
  <c r="I1049" i="4" s="1"/>
  <c r="G1050" i="4" a="1"/>
  <c r="G1050" i="4" s="1"/>
  <c r="I1050" i="4" s="1" a="1"/>
  <c r="I1050" i="4" s="1"/>
  <c r="H1050" i="4" s="1"/>
  <c r="G1051" i="4" a="1"/>
  <c r="G1051" i="4" s="1"/>
  <c r="I1051" i="4" a="1"/>
  <c r="I1051" i="4" s="1"/>
  <c r="G1052" i="4" a="1"/>
  <c r="G1052" i="4" s="1"/>
  <c r="I1052" i="4" a="1"/>
  <c r="I1052" i="4" s="1"/>
  <c r="G1053" i="4" a="1"/>
  <c r="G1053" i="4" s="1"/>
  <c r="I1053" i="4" a="1"/>
  <c r="I1053" i="4" s="1"/>
  <c r="G1054" i="4" a="1"/>
  <c r="G1054" i="4" s="1"/>
  <c r="I1054" i="4" a="1"/>
  <c r="I1054" i="4" s="1"/>
  <c r="G1055" i="4" a="1"/>
  <c r="G1055" i="4" s="1"/>
  <c r="I1055" i="4" s="1" a="1"/>
  <c r="I1055" i="4" s="1"/>
  <c r="H1055" i="4" s="1"/>
  <c r="G1056" i="4" a="1"/>
  <c r="G1056" i="4" s="1"/>
  <c r="I1056" i="4" s="1" a="1"/>
  <c r="I1056" i="4" s="1"/>
  <c r="H1056" i="4" s="1"/>
  <c r="G1057" i="4" a="1"/>
  <c r="G1057" i="4" s="1"/>
  <c r="I1057" i="4" s="1" a="1"/>
  <c r="I1057" i="4" s="1"/>
  <c r="H1057" i="4" s="1"/>
  <c r="G1058" i="4" a="1"/>
  <c r="G1058" i="4" s="1"/>
  <c r="I1058" i="4" s="1" a="1"/>
  <c r="I1058" i="4" s="1"/>
  <c r="H1058" i="4" s="1"/>
  <c r="G1059" i="4" a="1"/>
  <c r="G1059" i="4" s="1"/>
  <c r="I1059" i="4" s="1" a="1"/>
  <c r="I1059" i="4" s="1"/>
  <c r="H1059" i="4" s="1"/>
  <c r="G1060" i="4" a="1"/>
  <c r="G1060" i="4" s="1"/>
  <c r="I1060" i="4" s="1" a="1"/>
  <c r="I1060" i="4" s="1"/>
  <c r="H1060" i="4" s="1"/>
  <c r="G1061" i="4" a="1"/>
  <c r="G1061" i="4" s="1"/>
  <c r="I1061" i="4" a="1"/>
  <c r="I1061" i="4" s="1"/>
  <c r="G1062" i="4" a="1"/>
  <c r="G1062" i="4" s="1"/>
  <c r="I1062" i="4" s="1" a="1"/>
  <c r="I1062" i="4" s="1"/>
  <c r="H1062" i="4" s="1"/>
  <c r="G1063" i="4" a="1"/>
  <c r="G1063" i="4" s="1"/>
  <c r="I1063" i="4" a="1"/>
  <c r="I1063" i="4" s="1"/>
  <c r="G1064" i="4" a="1"/>
  <c r="G1064" i="4" s="1"/>
  <c r="I1064" i="4" s="1" a="1"/>
  <c r="I1064" i="4" s="1"/>
  <c r="H1064" i="4" s="1"/>
  <c r="G1065" i="4" a="1"/>
  <c r="G1065" i="4" s="1"/>
  <c r="I1065" i="4" a="1"/>
  <c r="I1065" i="4" s="1"/>
  <c r="G1066" i="4" a="1"/>
  <c r="G1066" i="4" s="1"/>
  <c r="I1066" i="4" s="1" a="1"/>
  <c r="I1066" i="4" s="1"/>
  <c r="H1066" i="4" s="1"/>
  <c r="G1067" i="4" a="1"/>
  <c r="G1067" i="4" s="1"/>
  <c r="I1067" i="4" a="1"/>
  <c r="I1067" i="4" s="1"/>
  <c r="G1068" i="4" a="1"/>
  <c r="G1068" i="4" s="1"/>
  <c r="I1068" i="4" s="1" a="1"/>
  <c r="I1068" i="4" s="1"/>
  <c r="H1068" i="4" s="1"/>
  <c r="G1069" i="4" a="1"/>
  <c r="G1069" i="4" s="1"/>
  <c r="I1069" i="4" a="1"/>
  <c r="I1069" i="4" s="1"/>
  <c r="G1070" i="4" a="1"/>
  <c r="G1070" i="4" s="1"/>
  <c r="I1070" i="4" s="1" a="1"/>
  <c r="I1070" i="4" s="1"/>
  <c r="H1070" i="4" s="1"/>
  <c r="G1071" i="4" a="1"/>
  <c r="G1071" i="4" s="1"/>
  <c r="I1071" i="4" a="1"/>
  <c r="I1071" i="4" s="1"/>
  <c r="G1072" i="4" a="1"/>
  <c r="G1072" i="4" s="1"/>
  <c r="I1072" i="4" s="1" a="1"/>
  <c r="I1072" i="4" s="1"/>
  <c r="H1072" i="4" s="1"/>
  <c r="G1073" i="4" a="1"/>
  <c r="G1073" i="4" s="1"/>
  <c r="I1073" i="4" a="1"/>
  <c r="I1073" i="4" s="1"/>
  <c r="G1074" i="4" a="1"/>
  <c r="G1074" i="4" s="1"/>
  <c r="I1074" i="4" s="1" a="1"/>
  <c r="I1074" i="4" s="1"/>
  <c r="H1074" i="4" s="1"/>
  <c r="G1075" i="4" a="1"/>
  <c r="G1075" i="4" s="1"/>
  <c r="I1075" i="4" a="1"/>
  <c r="I1075" i="4" s="1"/>
  <c r="G1076" i="4" a="1"/>
  <c r="G1076" i="4" s="1"/>
  <c r="I1076" i="4" s="1" a="1"/>
  <c r="I1076" i="4" s="1"/>
  <c r="H1076" i="4" s="1"/>
  <c r="G1077" i="4" a="1"/>
  <c r="G1077" i="4" s="1"/>
  <c r="I1077" i="4" a="1"/>
  <c r="I1077" i="4" s="1"/>
  <c r="G1078" i="4" a="1"/>
  <c r="G1078" i="4" s="1"/>
  <c r="I1078" i="4" s="1" a="1"/>
  <c r="I1078" i="4" s="1"/>
  <c r="H1078" i="4" s="1"/>
  <c r="G1079" i="4" a="1"/>
  <c r="G1079" i="4" s="1"/>
  <c r="I1079" i="4" a="1"/>
  <c r="I1079" i="4" s="1"/>
  <c r="G1080" i="4" a="1"/>
  <c r="G1080" i="4" s="1"/>
  <c r="I1080" i="4" a="1"/>
  <c r="I1080" i="4" s="1"/>
  <c r="G1081" i="4" a="1"/>
  <c r="G1081" i="4" s="1"/>
  <c r="I1081" i="4" a="1"/>
  <c r="I1081" i="4" s="1"/>
  <c r="G1082" i="4" a="1"/>
  <c r="G1082" i="4" s="1"/>
  <c r="I1082" i="4" a="1"/>
  <c r="I1082" i="4" s="1"/>
  <c r="G1083" i="4" a="1"/>
  <c r="G1083" i="4" s="1"/>
  <c r="I1083" i="4" a="1"/>
  <c r="I1083" i="4" s="1"/>
  <c r="G1084" i="4" a="1"/>
  <c r="G1084" i="4" s="1"/>
  <c r="I1084" i="4" a="1"/>
  <c r="I1084" i="4" s="1"/>
  <c r="G1085" i="4" a="1"/>
  <c r="G1085" i="4" s="1"/>
  <c r="I1085" i="4" a="1"/>
  <c r="I1085" i="4" s="1"/>
  <c r="G1086" i="4" a="1"/>
  <c r="G1086" i="4" s="1"/>
  <c r="I1086" i="4" a="1"/>
  <c r="I1086" i="4" s="1"/>
  <c r="G1087" i="4" a="1"/>
  <c r="G1087" i="4" s="1"/>
  <c r="I1087" i="4" a="1"/>
  <c r="I1087" i="4" s="1"/>
  <c r="G1088" i="4" a="1"/>
  <c r="G1088" i="4" s="1"/>
  <c r="I1088" i="4" a="1"/>
  <c r="I1088" i="4" s="1"/>
  <c r="G1089" i="4" a="1"/>
  <c r="G1089" i="4" s="1"/>
  <c r="I1089" i="4" a="1"/>
  <c r="I1089" i="4" s="1"/>
  <c r="G1090" i="4" a="1"/>
  <c r="G1090" i="4" s="1"/>
  <c r="I1090" i="4" s="1" a="1"/>
  <c r="I1090" i="4" s="1"/>
  <c r="H1090" i="4" s="1"/>
  <c r="G1091" i="4" a="1"/>
  <c r="G1091" i="4" s="1"/>
  <c r="I1091" i="4" a="1"/>
  <c r="I1091" i="4" s="1"/>
  <c r="G1092" i="4" a="1"/>
  <c r="G1092" i="4" s="1"/>
  <c r="I1092" i="4" s="1" a="1"/>
  <c r="I1092" i="4" s="1"/>
  <c r="H1092" i="4" s="1"/>
  <c r="G1093" i="4" a="1"/>
  <c r="G1093" i="4" s="1"/>
  <c r="I1093" i="4" a="1"/>
  <c r="I1093" i="4" s="1"/>
  <c r="G1094" i="4" a="1"/>
  <c r="G1094" i="4" s="1"/>
  <c r="I1094" i="4" s="1" a="1"/>
  <c r="I1094" i="4" s="1"/>
  <c r="H1094" i="4" s="1"/>
  <c r="G1095" i="4" a="1"/>
  <c r="G1095" i="4" s="1"/>
  <c r="I1095" i="4" a="1"/>
  <c r="I1095" i="4" s="1"/>
  <c r="G1096" i="4" a="1"/>
  <c r="G1096" i="4" s="1"/>
  <c r="I1096" i="4" s="1" a="1"/>
  <c r="I1096" i="4" s="1"/>
  <c r="H1096" i="4" s="1"/>
  <c r="G1097" i="4" a="1"/>
  <c r="G1097" i="4" s="1"/>
  <c r="I1097" i="4" a="1"/>
  <c r="I1097" i="4" s="1"/>
  <c r="G1098" i="4" a="1"/>
  <c r="G1098" i="4" s="1"/>
  <c r="I1098" i="4" s="1" a="1"/>
  <c r="I1098" i="4" s="1"/>
  <c r="H1098" i="4" s="1"/>
  <c r="G1099" i="4" a="1"/>
  <c r="G1099" i="4" s="1"/>
  <c r="I1099" i="4" a="1"/>
  <c r="I1099" i="4" s="1"/>
  <c r="G1100" i="4" a="1"/>
  <c r="G1100" i="4" s="1"/>
  <c r="I1100" i="4" s="1" a="1"/>
  <c r="I1100" i="4" s="1"/>
  <c r="H1100" i="4" s="1"/>
  <c r="G1101" i="4" a="1"/>
  <c r="G1101" i="4" s="1"/>
  <c r="I1101" i="4" a="1"/>
  <c r="I1101" i="4" s="1"/>
  <c r="G1102" i="4" a="1"/>
  <c r="G1102" i="4" s="1"/>
  <c r="I1102" i="4" s="1" a="1"/>
  <c r="I1102" i="4" s="1"/>
  <c r="H1102" i="4" s="1"/>
  <c r="G1103" i="4" a="1"/>
  <c r="G1103" i="4" s="1"/>
  <c r="I1103" i="4" a="1"/>
  <c r="I1103" i="4" s="1"/>
  <c r="G1104" i="4" a="1"/>
  <c r="G1104" i="4" s="1"/>
  <c r="I1104" i="4" s="1" a="1"/>
  <c r="I1104" i="4" s="1"/>
  <c r="H1104" i="4" s="1"/>
  <c r="G1105" i="4" a="1"/>
  <c r="G1105" i="4" s="1"/>
  <c r="I1105" i="4" a="1"/>
  <c r="I1105" i="4" s="1"/>
  <c r="G1106" i="4" a="1"/>
  <c r="G1106" i="4" s="1"/>
  <c r="I1106" i="4" s="1" a="1"/>
  <c r="I1106" i="4" s="1"/>
  <c r="H1106" i="4" s="1"/>
  <c r="G1107" i="4" a="1"/>
  <c r="G1107" i="4" s="1"/>
  <c r="I1107" i="4" a="1"/>
  <c r="I1107" i="4" s="1"/>
  <c r="G1108" i="4" a="1"/>
  <c r="G1108" i="4" s="1"/>
  <c r="I1108" i="4" s="1" a="1"/>
  <c r="I1108" i="4" s="1"/>
  <c r="H1108" i="4" s="1"/>
  <c r="G1109" i="4" a="1"/>
  <c r="G1109" i="4" s="1"/>
  <c r="I1109" i="4" a="1"/>
  <c r="I1109" i="4" s="1"/>
  <c r="G1110" i="4" a="1"/>
  <c r="G1110" i="4" s="1"/>
  <c r="I1110" i="4" s="1" a="1"/>
  <c r="I1110" i="4" s="1"/>
  <c r="H1110" i="4" s="1"/>
  <c r="G1111" i="4" a="1"/>
  <c r="G1111" i="4" s="1"/>
  <c r="I1111" i="4" a="1"/>
  <c r="I1111" i="4" s="1"/>
  <c r="G1112" i="4" a="1"/>
  <c r="G1112" i="4" s="1"/>
  <c r="I1112" i="4" s="1" a="1"/>
  <c r="I1112" i="4" s="1"/>
  <c r="H1112" i="4" s="1"/>
  <c r="G1113" i="4" a="1"/>
  <c r="G1113" i="4" s="1"/>
  <c r="I1113" i="4" a="1"/>
  <c r="I1113" i="4" s="1"/>
  <c r="G1114" i="4" a="1"/>
  <c r="G1114" i="4" s="1"/>
  <c r="I1114" i="4" s="1" a="1"/>
  <c r="I1114" i="4" s="1"/>
  <c r="H1114" i="4" s="1"/>
  <c r="G1115" i="4" a="1"/>
  <c r="G1115" i="4" s="1"/>
  <c r="I1115" i="4" a="1"/>
  <c r="I1115" i="4" s="1"/>
  <c r="G1116" i="4" a="1"/>
  <c r="G1116" i="4" s="1"/>
  <c r="I1116" i="4" s="1" a="1"/>
  <c r="I1116" i="4" s="1"/>
  <c r="H1116" i="4" s="1"/>
  <c r="G1117" i="4" a="1"/>
  <c r="G1117" i="4" s="1"/>
  <c r="I1117" i="4" a="1"/>
  <c r="I1117" i="4" s="1"/>
  <c r="G1118" i="4" a="1"/>
  <c r="G1118" i="4" s="1"/>
  <c r="I1118" i="4" s="1" a="1"/>
  <c r="I1118" i="4" s="1"/>
  <c r="H1118" i="4" s="1"/>
  <c r="G1119" i="4" a="1"/>
  <c r="G1119" i="4" s="1"/>
  <c r="I1119" i="4" a="1"/>
  <c r="I1119" i="4" s="1"/>
  <c r="G1120" i="4" a="1"/>
  <c r="G1120" i="4" s="1"/>
  <c r="I1120" i="4" s="1" a="1"/>
  <c r="I1120" i="4" s="1"/>
  <c r="H1120" i="4" s="1"/>
  <c r="G1121" i="4" a="1"/>
  <c r="G1121" i="4" s="1"/>
  <c r="I1121" i="4" a="1"/>
  <c r="I1121" i="4" s="1"/>
  <c r="G1122" i="4" a="1"/>
  <c r="G1122" i="4" s="1"/>
  <c r="I1122" i="4" s="1" a="1"/>
  <c r="I1122" i="4" s="1"/>
  <c r="H1122" i="4" s="1"/>
  <c r="G1123" i="4" a="1"/>
  <c r="G1123" i="4" s="1"/>
  <c r="I1123" i="4" a="1"/>
  <c r="I1123" i="4" s="1"/>
  <c r="G1124" i="4" a="1"/>
  <c r="G1124" i="4" s="1"/>
  <c r="I1124" i="4" s="1" a="1"/>
  <c r="I1124" i="4" s="1"/>
  <c r="H1124" i="4" s="1"/>
  <c r="G1125" i="4" a="1"/>
  <c r="G1125" i="4" s="1"/>
  <c r="I1125" i="4" a="1"/>
  <c r="I1125" i="4" s="1"/>
  <c r="G1126" i="4" a="1"/>
  <c r="G1126" i="4" s="1"/>
  <c r="I1126" i="4" s="1" a="1"/>
  <c r="I1126" i="4" s="1"/>
  <c r="H1126" i="4" s="1"/>
  <c r="G1127" i="4" a="1"/>
  <c r="G1127" i="4" s="1"/>
  <c r="I1127" i="4" a="1"/>
  <c r="I1127" i="4" s="1"/>
  <c r="G1128" i="4" a="1"/>
  <c r="G1128" i="4" s="1"/>
  <c r="I1128" i="4" s="1" a="1"/>
  <c r="I1128" i="4" s="1"/>
  <c r="H1128" i="4" s="1"/>
  <c r="G1129" i="4" a="1"/>
  <c r="G1129" i="4" s="1"/>
  <c r="I1129" i="4" s="1" a="1"/>
  <c r="I1129" i="4" s="1"/>
  <c r="H1129" i="4" s="1"/>
  <c r="G1130" i="4" a="1"/>
  <c r="G1130" i="4" s="1"/>
  <c r="I1130" i="4" a="1"/>
  <c r="I1130" i="4" s="1"/>
  <c r="G1131" i="4" a="1"/>
  <c r="G1131" i="4" s="1"/>
  <c r="I1131" i="4" s="1" a="1"/>
  <c r="I1131" i="4" s="1"/>
  <c r="H1131" i="4" s="1"/>
  <c r="G1132" i="4" a="1"/>
  <c r="G1132" i="4" s="1"/>
  <c r="I1132" i="4" a="1"/>
  <c r="I1132" i="4" s="1"/>
  <c r="G1133" i="4" a="1"/>
  <c r="G1133" i="4" s="1"/>
  <c r="I1133" i="4" s="1" a="1"/>
  <c r="I1133" i="4" s="1"/>
  <c r="H1133" i="4" s="1"/>
  <c r="G1134" i="4" a="1"/>
  <c r="G1134" i="4" s="1"/>
  <c r="I1134" i="4" a="1"/>
  <c r="I1134" i="4" s="1"/>
  <c r="G1135" i="4" a="1"/>
  <c r="G1135" i="4" s="1"/>
  <c r="I1135" i="4" s="1" a="1"/>
  <c r="I1135" i="4" s="1"/>
  <c r="H1135" i="4" s="1"/>
  <c r="G1136" i="4" a="1"/>
  <c r="G1136" i="4" s="1"/>
  <c r="I1136" i="4" a="1"/>
  <c r="I1136" i="4" s="1"/>
  <c r="G1137" i="4" a="1"/>
  <c r="G1137" i="4" s="1"/>
  <c r="I1137" i="4" s="1" a="1"/>
  <c r="I1137" i="4" s="1"/>
  <c r="H1137" i="4" s="1"/>
  <c r="G1138" i="4" a="1"/>
  <c r="G1138" i="4" s="1"/>
  <c r="I1138" i="4" a="1"/>
  <c r="I1138" i="4" s="1"/>
  <c r="G1139" i="4" a="1"/>
  <c r="G1139" i="4" s="1"/>
  <c r="I1139" i="4" s="1" a="1"/>
  <c r="I1139" i="4" s="1"/>
  <c r="H1139" i="4" s="1"/>
  <c r="G1140" i="4" a="1"/>
  <c r="G1140" i="4" s="1"/>
  <c r="I1140" i="4" a="1"/>
  <c r="I1140" i="4" s="1"/>
  <c r="G1141" i="4" a="1"/>
  <c r="G1141" i="4" s="1"/>
  <c r="I1141" i="4" s="1" a="1"/>
  <c r="I1141" i="4" s="1"/>
  <c r="H1141" i="4" s="1"/>
  <c r="G1142" i="4" a="1"/>
  <c r="G1142" i="4" s="1"/>
  <c r="I1142" i="4" a="1"/>
  <c r="I1142" i="4" s="1"/>
  <c r="G1143" i="4" a="1"/>
  <c r="G1143" i="4" s="1"/>
  <c r="I1143" i="4" s="1" a="1"/>
  <c r="I1143" i="4" s="1"/>
  <c r="H1143" i="4" s="1"/>
  <c r="G1144" i="4" a="1"/>
  <c r="G1144" i="4" s="1"/>
  <c r="I1144" i="4" a="1"/>
  <c r="I1144" i="4" s="1"/>
  <c r="G1145" i="4" a="1"/>
  <c r="G1145" i="4" s="1"/>
  <c r="I1145" i="4" s="1" a="1"/>
  <c r="I1145" i="4" s="1"/>
  <c r="H1145" i="4" s="1"/>
  <c r="G1146" i="4" a="1"/>
  <c r="G1146" i="4" s="1"/>
  <c r="I1146" i="4" a="1"/>
  <c r="I1146" i="4" s="1"/>
  <c r="G1147" i="4" a="1"/>
  <c r="G1147" i="4" s="1"/>
  <c r="I1147" i="4" s="1" a="1"/>
  <c r="I1147" i="4" s="1"/>
  <c r="H1147" i="4" s="1"/>
  <c r="G1148" i="4" a="1"/>
  <c r="G1148" i="4" s="1"/>
  <c r="I1148" i="4" a="1"/>
  <c r="I1148" i="4" s="1"/>
  <c r="G1149" i="4" a="1"/>
  <c r="G1149" i="4" s="1"/>
  <c r="I1149" i="4" s="1" a="1"/>
  <c r="I1149" i="4" s="1"/>
  <c r="H1149" i="4" s="1"/>
  <c r="G1150" i="4" a="1"/>
  <c r="G1150" i="4" s="1"/>
  <c r="I1150" i="4" s="1" a="1"/>
  <c r="I1150" i="4" s="1"/>
  <c r="H1150" i="4" s="1"/>
  <c r="G1151" i="4" a="1"/>
  <c r="G1151" i="4" s="1"/>
  <c r="I1151" i="4" s="1" a="1"/>
  <c r="I1151" i="4" s="1"/>
  <c r="H1151" i="4" s="1"/>
  <c r="G1152" i="4" a="1"/>
  <c r="G1152" i="4" s="1"/>
  <c r="I1152" i="4" s="1" a="1"/>
  <c r="I1152" i="4" s="1"/>
  <c r="H1152" i="4" s="1"/>
  <c r="G1153" i="4" a="1"/>
  <c r="G1153" i="4" s="1"/>
  <c r="I1153" i="4" s="1" a="1"/>
  <c r="I1153" i="4" s="1"/>
  <c r="H1153" i="4" s="1"/>
  <c r="G1154" i="4" a="1"/>
  <c r="G1154" i="4" s="1"/>
  <c r="I1154" i="4" s="1" a="1"/>
  <c r="I1154" i="4" s="1"/>
  <c r="H1154" i="4" s="1"/>
  <c r="G1155" i="4" a="1"/>
  <c r="G1155" i="4" s="1"/>
  <c r="I1155" i="4" s="1" a="1"/>
  <c r="I1155" i="4" s="1"/>
  <c r="H1155" i="4" s="1"/>
  <c r="G1156" i="4" a="1"/>
  <c r="G1156" i="4" s="1"/>
  <c r="I1156" i="4" s="1" a="1"/>
  <c r="I1156" i="4" s="1"/>
  <c r="H1156" i="4" s="1"/>
  <c r="G1157" i="4" a="1"/>
  <c r="G1157" i="4" s="1"/>
  <c r="I1157" i="4" s="1" a="1"/>
  <c r="I1157" i="4" s="1"/>
  <c r="H1157" i="4" s="1"/>
  <c r="G1158" i="4" a="1"/>
  <c r="G1158" i="4" s="1"/>
  <c r="I1158" i="4" s="1" a="1"/>
  <c r="I1158" i="4" s="1"/>
  <c r="H1158" i="4" s="1"/>
  <c r="G1159" i="4" a="1"/>
  <c r="G1159" i="4" s="1"/>
  <c r="I1159" i="4" s="1" a="1"/>
  <c r="I1159" i="4" s="1"/>
  <c r="H1159" i="4" s="1"/>
  <c r="G1160" i="4" a="1"/>
  <c r="G1160" i="4" s="1"/>
  <c r="I1160" i="4" a="1"/>
  <c r="I1160" i="4" s="1"/>
  <c r="G1161" i="4" a="1"/>
  <c r="G1161" i="4" s="1"/>
  <c r="I1161" i="4" s="1" a="1"/>
  <c r="I1161" i="4" s="1"/>
  <c r="H1161" i="4" s="1"/>
  <c r="G1162" i="4" a="1"/>
  <c r="G1162" i="4" s="1"/>
  <c r="I1162" i="4" a="1"/>
  <c r="I1162" i="4" s="1"/>
  <c r="G1163" i="4" a="1"/>
  <c r="G1163" i="4" s="1"/>
  <c r="I1163" i="4" s="1" a="1"/>
  <c r="I1163" i="4" s="1"/>
  <c r="H1163" i="4" s="1"/>
  <c r="G1164" i="4" a="1"/>
  <c r="G1164" i="4" s="1"/>
  <c r="I1164" i="4" a="1"/>
  <c r="I1164" i="4" s="1"/>
  <c r="G1165" i="4" a="1"/>
  <c r="G1165" i="4" s="1"/>
  <c r="I1165" i="4" s="1" a="1"/>
  <c r="I1165" i="4" s="1"/>
  <c r="H1165" i="4" s="1"/>
  <c r="G1166" i="4" a="1"/>
  <c r="G1166" i="4" s="1"/>
  <c r="I1166" i="4" a="1"/>
  <c r="I1166" i="4" s="1"/>
  <c r="G1167" i="4" a="1"/>
  <c r="G1167" i="4" s="1"/>
  <c r="I1167" i="4" s="1" a="1"/>
  <c r="I1167" i="4" s="1"/>
  <c r="H1167" i="4" s="1"/>
  <c r="G1168" i="4" a="1"/>
  <c r="G1168" i="4" s="1"/>
  <c r="I1168" i="4" a="1"/>
  <c r="I1168" i="4" s="1"/>
  <c r="G1169" i="4" a="1"/>
  <c r="G1169" i="4" s="1"/>
  <c r="I1169" i="4" s="1" a="1"/>
  <c r="I1169" i="4" s="1"/>
  <c r="H1169" i="4" s="1"/>
  <c r="G1170" i="4" a="1"/>
  <c r="G1170" i="4" s="1"/>
  <c r="I1170" i="4" a="1"/>
  <c r="I1170" i="4" s="1"/>
  <c r="G1171" i="4" a="1"/>
  <c r="G1171" i="4" s="1"/>
  <c r="I1171" i="4" s="1" a="1"/>
  <c r="I1171" i="4" s="1"/>
  <c r="H1171" i="4" s="1"/>
  <c r="G1172" i="4" a="1"/>
  <c r="G1172" i="4" s="1"/>
  <c r="I1172" i="4" a="1"/>
  <c r="I1172" i="4" s="1"/>
  <c r="G1173" i="4" a="1"/>
  <c r="G1173" i="4" s="1"/>
  <c r="I1173" i="4" s="1" a="1"/>
  <c r="I1173" i="4" s="1"/>
  <c r="H1173" i="4" s="1"/>
  <c r="G1174" i="4" a="1"/>
  <c r="G1174" i="4" s="1"/>
  <c r="I1174" i="4" a="1"/>
  <c r="I1174" i="4" s="1"/>
  <c r="G1175" i="4" a="1"/>
  <c r="G1175" i="4" s="1"/>
  <c r="I1175" i="4" s="1" a="1"/>
  <c r="I1175" i="4" s="1"/>
  <c r="H1175" i="4" s="1"/>
  <c r="G1176" i="4" a="1"/>
  <c r="G1176" i="4" s="1"/>
  <c r="I1176" i="4" a="1"/>
  <c r="I1176" i="4" s="1"/>
  <c r="G1177" i="4" a="1"/>
  <c r="G1177" i="4" s="1"/>
  <c r="I1177" i="4" s="1" a="1"/>
  <c r="I1177" i="4" s="1"/>
  <c r="H1177" i="4" s="1"/>
  <c r="G1178" i="4" a="1"/>
  <c r="G1178" i="4" s="1"/>
  <c r="I1178" i="4" a="1"/>
  <c r="I1178" i="4" s="1"/>
  <c r="G1179" i="4" a="1"/>
  <c r="G1179" i="4" s="1"/>
  <c r="I1179" i="4" s="1" a="1"/>
  <c r="I1179" i="4" s="1"/>
  <c r="H1179" i="4" s="1"/>
  <c r="G1180" i="4" a="1"/>
  <c r="G1180" i="4" s="1"/>
  <c r="I1180" i="4" a="1"/>
  <c r="I1180" i="4" s="1"/>
  <c r="G1181" i="4" a="1"/>
  <c r="G1181" i="4" s="1"/>
  <c r="I1181" i="4" a="1"/>
  <c r="I1181" i="4" s="1"/>
  <c r="G1182" i="4" a="1"/>
  <c r="G1182" i="4" s="1"/>
  <c r="I1182" i="4" a="1"/>
  <c r="I1182" i="4" s="1"/>
  <c r="G1183" i="4" a="1"/>
  <c r="G1183" i="4" s="1"/>
  <c r="I1183" i="4" s="1" a="1"/>
  <c r="I1183" i="4" s="1"/>
  <c r="H1183" i="4" s="1"/>
  <c r="G1184" i="4" a="1"/>
  <c r="G1184" i="4" s="1"/>
  <c r="I1184" i="4" s="1" a="1"/>
  <c r="I1184" i="4" s="1"/>
  <c r="H1184" i="4" s="1"/>
  <c r="G1185" i="4" a="1"/>
  <c r="G1185" i="4" s="1"/>
  <c r="I1185" i="4" s="1" a="1"/>
  <c r="I1185" i="4" s="1"/>
  <c r="H1185" i="4" s="1"/>
  <c r="G1186" i="4" a="1"/>
  <c r="G1186" i="4" s="1"/>
  <c r="I1186" i="4" s="1" a="1"/>
  <c r="I1186" i="4" s="1"/>
  <c r="H1186" i="4" s="1"/>
  <c r="G1187" i="4" a="1"/>
  <c r="G1187" i="4" s="1"/>
  <c r="I1187" i="4" s="1" a="1"/>
  <c r="I1187" i="4" s="1"/>
  <c r="H1187" i="4" s="1"/>
  <c r="G1188" i="4" a="1"/>
  <c r="G1188" i="4" s="1"/>
  <c r="I1188" i="4" s="1" a="1"/>
  <c r="I1188" i="4" s="1"/>
  <c r="H1188" i="4" s="1"/>
  <c r="G1189" i="4" a="1"/>
  <c r="G1189" i="4" s="1"/>
  <c r="I1189" i="4" s="1" a="1"/>
  <c r="I1189" i="4" s="1"/>
  <c r="H1189" i="4" s="1"/>
  <c r="G1190" i="4" a="1"/>
  <c r="G1190" i="4" s="1"/>
  <c r="I1190" i="4" s="1" a="1"/>
  <c r="I1190" i="4" s="1"/>
  <c r="H1190" i="4" s="1"/>
  <c r="G1191" i="4" a="1"/>
  <c r="G1191" i="4" s="1"/>
  <c r="I1191" i="4" s="1" a="1"/>
  <c r="I1191" i="4" s="1"/>
  <c r="H1191" i="4" s="1"/>
  <c r="G1192" i="4" a="1"/>
  <c r="G1192" i="4" s="1"/>
  <c r="I1192" i="4" s="1" a="1"/>
  <c r="I1192" i="4" s="1"/>
  <c r="H1192" i="4" s="1"/>
  <c r="G1193" i="4" a="1"/>
  <c r="G1193" i="4" s="1"/>
  <c r="I1193" i="4" s="1" a="1"/>
  <c r="I1193" i="4" s="1"/>
  <c r="H1193" i="4" s="1"/>
  <c r="G1194" i="4" a="1"/>
  <c r="G1194" i="4" s="1"/>
  <c r="I1194" i="4" s="1" a="1"/>
  <c r="I1194" i="4" s="1"/>
  <c r="H1194" i="4" s="1"/>
  <c r="G1195" i="4" a="1"/>
  <c r="G1195" i="4" s="1"/>
  <c r="I1195" i="4" s="1" a="1"/>
  <c r="I1195" i="4" s="1"/>
  <c r="H1195" i="4" s="1"/>
  <c r="G1196" i="4" a="1"/>
  <c r="G1196" i="4" s="1"/>
  <c r="I1196" i="4" s="1" a="1"/>
  <c r="I1196" i="4" s="1"/>
  <c r="H1196" i="4" s="1"/>
  <c r="G1197" i="4" a="1"/>
  <c r="G1197" i="4" s="1"/>
  <c r="I1197" i="4" s="1" a="1"/>
  <c r="I1197" i="4" s="1"/>
  <c r="H1197" i="4" s="1"/>
  <c r="G1198" i="4" a="1"/>
  <c r="G1198" i="4" s="1"/>
  <c r="I1198" i="4" s="1" a="1"/>
  <c r="I1198" i="4" s="1"/>
  <c r="H1198" i="4" s="1"/>
  <c r="G1199" i="4" a="1"/>
  <c r="G1199" i="4" s="1"/>
  <c r="I1199" i="4" s="1" a="1"/>
  <c r="I1199" i="4" s="1"/>
  <c r="H1199" i="4" s="1"/>
  <c r="G1200" i="4" a="1"/>
  <c r="G1200" i="4" s="1"/>
  <c r="I1200" i="4" s="1" a="1"/>
  <c r="I1200" i="4" s="1"/>
  <c r="H1200" i="4" s="1"/>
  <c r="G1201" i="4" a="1"/>
  <c r="G1201" i="4" s="1"/>
  <c r="I1201" i="4" s="1" a="1"/>
  <c r="I1201" i="4" s="1"/>
  <c r="H1201" i="4" s="1"/>
  <c r="G1202" i="4" a="1"/>
  <c r="G1202" i="4" s="1"/>
  <c r="I1202" i="4" a="1"/>
  <c r="I1202" i="4" s="1"/>
  <c r="G1203" i="4" a="1"/>
  <c r="G1203" i="4" s="1"/>
  <c r="I1203" i="4" a="1"/>
  <c r="I1203" i="4" s="1"/>
  <c r="G1204" i="4" a="1"/>
  <c r="G1204" i="4" s="1"/>
  <c r="I1204" i="4" s="1" a="1"/>
  <c r="I1204" i="4" s="1"/>
  <c r="H1204" i="4" s="1"/>
  <c r="G1205" i="4" a="1"/>
  <c r="G1205" i="4" s="1"/>
  <c r="I1205" i="4" s="1" a="1"/>
  <c r="I1205" i="4" s="1"/>
  <c r="H1205" i="4" s="1"/>
  <c r="G1206" i="4" a="1"/>
  <c r="G1206" i="4" s="1"/>
  <c r="I1206" i="4" s="1" a="1"/>
  <c r="I1206" i="4" s="1"/>
  <c r="H1206" i="4" s="1"/>
  <c r="G1207" i="4" a="1"/>
  <c r="G1207" i="4" s="1"/>
  <c r="I1207" i="4" s="1" a="1"/>
  <c r="I1207" i="4" s="1"/>
  <c r="H1207" i="4" s="1"/>
  <c r="G1208" i="4" a="1"/>
  <c r="G1208" i="4" s="1"/>
  <c r="I1208" i="4" s="1" a="1"/>
  <c r="I1208" i="4" s="1"/>
  <c r="H1208" i="4" s="1"/>
  <c r="G1209" i="4" a="1"/>
  <c r="G1209" i="4" s="1"/>
  <c r="I1209" i="4" s="1" a="1"/>
  <c r="I1209" i="4" s="1"/>
  <c r="H1209" i="4" s="1"/>
  <c r="G1210" i="4" a="1"/>
  <c r="G1210" i="4" s="1"/>
  <c r="I1210" i="4" s="1" a="1"/>
  <c r="I1210" i="4" s="1"/>
  <c r="H1210" i="4" s="1"/>
  <c r="G1211" i="4" a="1"/>
  <c r="G1211" i="4" s="1"/>
  <c r="I1211" i="4" a="1"/>
  <c r="I1211" i="4" s="1"/>
  <c r="G1212" i="4" a="1"/>
  <c r="G1212" i="4" s="1"/>
  <c r="I1212" i="4" s="1" a="1"/>
  <c r="I1212" i="4" s="1"/>
  <c r="H1212" i="4" s="1"/>
  <c r="G1213" i="4" a="1"/>
  <c r="G1213" i="4" s="1"/>
  <c r="I1213" i="4" a="1"/>
  <c r="I1213" i="4" s="1"/>
  <c r="G1214" i="4" a="1"/>
  <c r="G1214" i="4" s="1"/>
  <c r="I1214" i="4" s="1" a="1"/>
  <c r="I1214" i="4" s="1"/>
  <c r="H1214" i="4" s="1"/>
  <c r="G1215" i="4" a="1"/>
  <c r="G1215" i="4" s="1"/>
  <c r="I1215" i="4" a="1"/>
  <c r="I1215" i="4" s="1"/>
  <c r="G1216" i="4" a="1"/>
  <c r="G1216" i="4" s="1"/>
  <c r="I1216" i="4" s="1" a="1"/>
  <c r="I1216" i="4" s="1"/>
  <c r="H1216" i="4" s="1"/>
  <c r="G1217" i="4" a="1"/>
  <c r="G1217" i="4" s="1"/>
  <c r="I1217" i="4" a="1"/>
  <c r="I1217" i="4" s="1"/>
  <c r="G1218" i="4" a="1"/>
  <c r="G1218" i="4" s="1"/>
  <c r="I1218" i="4" s="1" a="1"/>
  <c r="I1218" i="4" s="1"/>
  <c r="H1218" i="4" s="1"/>
  <c r="G1219" i="4" a="1"/>
  <c r="G1219" i="4" s="1"/>
  <c r="I1219" i="4" a="1"/>
  <c r="I1219" i="4" s="1"/>
  <c r="G1220" i="4" a="1"/>
  <c r="G1220" i="4" s="1"/>
  <c r="I1220" i="4" s="1" a="1"/>
  <c r="I1220" i="4" s="1"/>
  <c r="H1220" i="4" s="1"/>
  <c r="G1221" i="4" a="1"/>
  <c r="G1221" i="4" s="1"/>
  <c r="I1221" i="4" a="1"/>
  <c r="I1221" i="4" s="1"/>
  <c r="G1222" i="4" a="1"/>
  <c r="G1222" i="4" s="1"/>
  <c r="I1222" i="4" s="1" a="1"/>
  <c r="I1222" i="4" s="1"/>
  <c r="H1222" i="4" s="1"/>
  <c r="G1223" i="4" a="1"/>
  <c r="G1223" i="4" s="1"/>
  <c r="I1223" i="4" a="1"/>
  <c r="I1223" i="4" s="1"/>
  <c r="G1224" i="4" a="1"/>
  <c r="G1224" i="4" s="1"/>
  <c r="I1224" i="4" s="1" a="1"/>
  <c r="I1224" i="4" s="1"/>
  <c r="H1224" i="4" s="1"/>
  <c r="G1225" i="4" a="1"/>
  <c r="G1225" i="4" s="1"/>
  <c r="I1225" i="4" a="1"/>
  <c r="I1225" i="4" s="1"/>
  <c r="G1226" i="4" a="1"/>
  <c r="G1226" i="4" s="1"/>
  <c r="I1226" i="4" s="1" a="1"/>
  <c r="I1226" i="4" s="1"/>
  <c r="H1226" i="4" s="1"/>
  <c r="G1227" i="4" a="1"/>
  <c r="G1227" i="4" s="1"/>
  <c r="I1227" i="4" a="1"/>
  <c r="I1227" i="4" s="1"/>
  <c r="G1228" i="4" a="1"/>
  <c r="G1228" i="4" s="1"/>
  <c r="I1228" i="4" s="1" a="1"/>
  <c r="I1228" i="4" s="1"/>
  <c r="H1228" i="4" s="1"/>
  <c r="G1229" i="4" a="1"/>
  <c r="G1229" i="4" s="1"/>
  <c r="I1229" i="4" a="1"/>
  <c r="I1229" i="4" s="1"/>
  <c r="G1230" i="4" a="1"/>
  <c r="G1230" i="4" s="1"/>
  <c r="I1230" i="4" s="1" a="1"/>
  <c r="I1230" i="4" s="1"/>
  <c r="H1230" i="4" s="1"/>
  <c r="G1231" i="4" a="1"/>
  <c r="G1231" i="4" s="1"/>
  <c r="I1231" i="4" a="1"/>
  <c r="I1231" i="4" s="1"/>
  <c r="G1232" i="4" a="1"/>
  <c r="G1232" i="4" s="1"/>
  <c r="I1232" i="4" s="1" a="1"/>
  <c r="I1232" i="4" s="1"/>
  <c r="H1232" i="4" s="1"/>
  <c r="G1233" i="4" a="1"/>
  <c r="G1233" i="4" s="1"/>
  <c r="I1233" i="4" a="1"/>
  <c r="I1233" i="4" s="1"/>
  <c r="G1234" i="4" a="1"/>
  <c r="G1234" i="4" s="1"/>
  <c r="I1234" i="4" a="1"/>
  <c r="I1234" i="4" s="1"/>
  <c r="G1235" i="4" a="1"/>
  <c r="G1235" i="4" s="1"/>
  <c r="I1235" i="4" a="1"/>
  <c r="I1235" i="4" s="1"/>
  <c r="G1236" i="4" a="1"/>
  <c r="G1236" i="4" s="1"/>
  <c r="I1236" i="4" a="1"/>
  <c r="I1236" i="4" s="1"/>
  <c r="G1237" i="4" a="1"/>
  <c r="G1237" i="4" s="1"/>
  <c r="I1237" i="4" a="1"/>
  <c r="I1237" i="4" s="1"/>
  <c r="G1238" i="4" a="1"/>
  <c r="G1238" i="4" s="1"/>
  <c r="I1238" i="4" a="1"/>
  <c r="I1238" i="4" s="1"/>
  <c r="G1239" i="4" a="1"/>
  <c r="G1239" i="4" s="1"/>
  <c r="I1239" i="4" a="1"/>
  <c r="I1239" i="4" s="1"/>
  <c r="G1240" i="4" a="1"/>
  <c r="G1240" i="4" s="1"/>
  <c r="I1240" i="4" a="1"/>
  <c r="I1240" i="4" s="1"/>
  <c r="G1241" i="4" a="1"/>
  <c r="G1241" i="4" s="1"/>
  <c r="I1241" i="4" a="1"/>
  <c r="I1241" i="4" s="1"/>
  <c r="G1242" i="4" a="1"/>
  <c r="G1242" i="4" s="1"/>
  <c r="I1242" i="4" a="1"/>
  <c r="I1242" i="4" s="1"/>
  <c r="G1243" i="4" a="1"/>
  <c r="G1243" i="4" s="1"/>
  <c r="I1243" i="4" a="1"/>
  <c r="I1243" i="4" s="1"/>
  <c r="G1244" i="4" a="1"/>
  <c r="G1244" i="4" s="1"/>
  <c r="I1244" i="4" s="1" a="1"/>
  <c r="I1244" i="4" s="1"/>
  <c r="H1244" i="4" s="1"/>
  <c r="G1245" i="4" a="1"/>
  <c r="G1245" i="4" s="1"/>
  <c r="I1245" i="4" a="1"/>
  <c r="I1245" i="4" s="1"/>
  <c r="G1246" i="4" a="1"/>
  <c r="G1246" i="4" s="1"/>
  <c r="I1246" i="4" s="1" a="1"/>
  <c r="I1246" i="4" s="1"/>
  <c r="H1246" i="4" s="1"/>
  <c r="G1247" i="4" a="1"/>
  <c r="G1247" i="4" s="1"/>
  <c r="I1247" i="4" s="1" a="1"/>
  <c r="I1247" i="4" s="1"/>
  <c r="H1247" i="4" s="1"/>
  <c r="G1248" i="4" a="1"/>
  <c r="G1248" i="4" s="1"/>
  <c r="I1248" i="4" s="1" a="1"/>
  <c r="I1248" i="4" s="1"/>
  <c r="H1248" i="4" s="1"/>
  <c r="G1249" i="4" a="1"/>
  <c r="G1249" i="4" s="1"/>
  <c r="I1249" i="4" s="1" a="1"/>
  <c r="I1249" i="4" s="1"/>
  <c r="H1249" i="4" s="1"/>
  <c r="G1250" i="4" a="1"/>
  <c r="G1250" i="4" s="1"/>
  <c r="I1250" i="4" s="1" a="1"/>
  <c r="I1250" i="4" s="1"/>
  <c r="H1250" i="4" s="1"/>
  <c r="G1251" i="4" a="1"/>
  <c r="G1251" i="4" s="1"/>
  <c r="I1251" i="4" s="1" a="1"/>
  <c r="I1251" i="4" s="1"/>
  <c r="H1251" i="4" s="1"/>
  <c r="G1252" i="4" a="1"/>
  <c r="G1252" i="4" s="1"/>
  <c r="I1252" i="4" a="1"/>
  <c r="I1252" i="4" s="1"/>
  <c r="G1253" i="4" a="1"/>
  <c r="G1253" i="4" s="1"/>
  <c r="I1253" i="4" s="1" a="1"/>
  <c r="I1253" i="4" s="1"/>
  <c r="H1253" i="4" s="1"/>
  <c r="G1254" i="4" a="1"/>
  <c r="G1254" i="4" s="1"/>
  <c r="I1254" i="4" a="1"/>
  <c r="I1254" i="4" s="1"/>
  <c r="G1255" i="4" a="1"/>
  <c r="G1255" i="4" s="1"/>
  <c r="I1255" i="4" s="1" a="1"/>
  <c r="I1255" i="4" s="1"/>
  <c r="H1255" i="4" s="1"/>
  <c r="G1256" i="4" a="1"/>
  <c r="G1256" i="4" s="1"/>
  <c r="I1256" i="4" a="1"/>
  <c r="I1256" i="4" s="1"/>
  <c r="G1257" i="4" a="1"/>
  <c r="G1257" i="4" s="1"/>
  <c r="I1257" i="4" s="1" a="1"/>
  <c r="I1257" i="4" s="1"/>
  <c r="H1257" i="4" s="1"/>
  <c r="G1258" i="4" a="1"/>
  <c r="G1258" i="4" s="1"/>
  <c r="I1258" i="4" s="1" a="1"/>
  <c r="I1258" i="4" s="1"/>
  <c r="H1258" i="4" s="1"/>
  <c r="G1259" i="4" a="1"/>
  <c r="G1259" i="4" s="1"/>
  <c r="I1259" i="4" a="1"/>
  <c r="I1259" i="4" s="1"/>
  <c r="G1260" i="4" a="1"/>
  <c r="G1260" i="4" s="1"/>
  <c r="I1260" i="4" a="1"/>
  <c r="I1260" i="4" s="1"/>
  <c r="G1261" i="4" a="1"/>
  <c r="G1261" i="4" s="1"/>
  <c r="I1261" i="4" s="1" a="1"/>
  <c r="I1261" i="4" s="1"/>
  <c r="H1261" i="4" s="1"/>
  <c r="G1262" i="4" a="1"/>
  <c r="G1262" i="4" s="1"/>
  <c r="I1262" i="4" s="1" a="1"/>
  <c r="I1262" i="4" s="1"/>
  <c r="H1262" i="4" s="1"/>
  <c r="G1263" i="4" a="1"/>
  <c r="G1263" i="4" s="1"/>
  <c r="I1263" i="4" a="1"/>
  <c r="I1263" i="4" s="1"/>
  <c r="G1264" i="4" a="1"/>
  <c r="G1264" i="4" s="1"/>
  <c r="I1264" i="4" s="1" a="1"/>
  <c r="I1264" i="4" s="1"/>
  <c r="H1264" i="4" s="1"/>
  <c r="G1265" i="4" a="1"/>
  <c r="G1265" i="4" s="1"/>
  <c r="I1265" i="4" a="1"/>
  <c r="I1265" i="4" s="1"/>
  <c r="G1266" i="4" a="1"/>
  <c r="G1266" i="4" s="1"/>
  <c r="I1266" i="4" s="1" a="1"/>
  <c r="I1266" i="4" s="1"/>
  <c r="H1266" i="4" s="1"/>
  <c r="G1267" i="4" a="1"/>
  <c r="G1267" i="4" s="1"/>
  <c r="I1267" i="4" a="1"/>
  <c r="I1267" i="4" s="1"/>
  <c r="G1268" i="4" a="1"/>
  <c r="G1268" i="4" s="1"/>
  <c r="I1268" i="4" a="1"/>
  <c r="I1268" i="4" s="1"/>
  <c r="G1269" i="4" a="1"/>
  <c r="G1269" i="4" s="1"/>
  <c r="I1269" i="4" s="1" a="1"/>
  <c r="I1269" i="4" s="1"/>
  <c r="H1269" i="4" s="1"/>
  <c r="G1270" i="4" a="1"/>
  <c r="G1270" i="4" s="1"/>
  <c r="I1270" i="4" a="1"/>
  <c r="I1270" i="4" s="1"/>
  <c r="G1271" i="4" a="1"/>
  <c r="G1271" i="4" s="1"/>
  <c r="I1271" i="4" s="1" a="1"/>
  <c r="I1271" i="4" s="1"/>
  <c r="H1271" i="4" s="1"/>
  <c r="G1272" i="4" a="1"/>
  <c r="G1272" i="4" s="1"/>
  <c r="I1272" i="4" a="1"/>
  <c r="I1272" i="4" s="1"/>
  <c r="G1273" i="4" a="1"/>
  <c r="G1273" i="4" s="1"/>
  <c r="I1273" i="4" s="1" a="1"/>
  <c r="I1273" i="4" s="1"/>
  <c r="H1273" i="4" s="1"/>
  <c r="G1274" i="4" a="1"/>
  <c r="G1274" i="4" s="1"/>
  <c r="I1274" i="4" s="1" a="1"/>
  <c r="I1274" i="4" s="1"/>
  <c r="H1274" i="4" s="1"/>
  <c r="G1275" i="4" a="1"/>
  <c r="G1275" i="4" s="1"/>
  <c r="I1275" i="4" a="1"/>
  <c r="I1275" i="4" s="1"/>
  <c r="G1276" i="4" a="1"/>
  <c r="G1276" i="4" s="1"/>
  <c r="I1276" i="4" a="1"/>
  <c r="I1276" i="4" s="1"/>
  <c r="G1277" i="4" a="1"/>
  <c r="G1277" i="4" s="1"/>
  <c r="I1277" i="4" s="1" a="1"/>
  <c r="I1277" i="4" s="1"/>
  <c r="H1277" i="4" s="1"/>
  <c r="G1278" i="4" a="1"/>
  <c r="G1278" i="4" s="1"/>
  <c r="I1278" i="4" a="1"/>
  <c r="I1278" i="4" s="1"/>
  <c r="G1279" i="4" a="1"/>
  <c r="G1279" i="4" s="1"/>
  <c r="I1279" i="4" s="1" a="1"/>
  <c r="I1279" i="4" s="1"/>
  <c r="H1279" i="4" s="1"/>
  <c r="G1280" i="4" a="1"/>
  <c r="G1280" i="4" s="1"/>
  <c r="I1280" i="4" a="1"/>
  <c r="I1280" i="4" s="1"/>
  <c r="G1281" i="4" a="1"/>
  <c r="G1281" i="4" s="1"/>
  <c r="I1281" i="4" a="1"/>
  <c r="I1281" i="4" s="1"/>
  <c r="G1282" i="4" a="1"/>
  <c r="G1282" i="4" s="1"/>
  <c r="I1282" i="4" a="1"/>
  <c r="I1282" i="4" s="1"/>
  <c r="G1283" i="4" a="1"/>
  <c r="G1283" i="4" s="1"/>
  <c r="I1283" i="4" a="1"/>
  <c r="I1283" i="4" s="1"/>
  <c r="G1284" i="4" a="1"/>
  <c r="G1284" i="4" s="1"/>
  <c r="I1284" i="4" a="1"/>
  <c r="I1284" i="4" s="1"/>
  <c r="G1285" i="4" a="1"/>
  <c r="G1285" i="4" s="1"/>
  <c r="I1285" i="4" s="1" a="1"/>
  <c r="I1285" i="4" s="1"/>
  <c r="H1285" i="4" s="1"/>
  <c r="G1286" i="4" a="1"/>
  <c r="G1286" i="4" s="1"/>
  <c r="I1286" i="4" a="1"/>
  <c r="I1286" i="4" s="1"/>
  <c r="G1287" i="4" a="1"/>
  <c r="G1287" i="4" s="1"/>
  <c r="I1287" i="4" s="1" a="1"/>
  <c r="I1287" i="4" s="1"/>
  <c r="H1287" i="4" s="1"/>
  <c r="G1288" i="4" a="1"/>
  <c r="G1288" i="4" s="1"/>
  <c r="I1288" i="4" s="1" a="1"/>
  <c r="I1288" i="4" s="1"/>
  <c r="H1288" i="4" s="1"/>
  <c r="G1289" i="4" a="1"/>
  <c r="G1289" i="4" s="1"/>
  <c r="I1289" i="4" s="1" a="1"/>
  <c r="I1289" i="4" s="1"/>
  <c r="H1289" i="4" s="1"/>
  <c r="G1290" i="4" a="1"/>
  <c r="G1290" i="4" s="1"/>
  <c r="I1290" i="4" s="1" a="1"/>
  <c r="I1290" i="4" s="1"/>
  <c r="H1290" i="4" s="1"/>
  <c r="G1291" i="4" a="1"/>
  <c r="G1291" i="4" s="1"/>
  <c r="I1291" i="4" s="1" a="1"/>
  <c r="I1291" i="4" s="1"/>
  <c r="H1291" i="4" s="1"/>
  <c r="G1292" i="4" a="1"/>
  <c r="G1292" i="4" s="1"/>
  <c r="I1292" i="4" s="1" a="1"/>
  <c r="I1292" i="4" s="1"/>
  <c r="H1292" i="4" s="1"/>
  <c r="G1293" i="4" a="1"/>
  <c r="G1293" i="4" s="1"/>
  <c r="I1293" i="4" a="1"/>
  <c r="I1293" i="4" s="1"/>
  <c r="G1294" i="4" a="1"/>
  <c r="G1294" i="4" s="1"/>
  <c r="I1294" i="4" a="1"/>
  <c r="I1294" i="4" s="1"/>
  <c r="G1295" i="4" a="1"/>
  <c r="G1295" i="4" s="1"/>
  <c r="I1295" i="4" s="1" a="1"/>
  <c r="I1295" i="4" s="1"/>
  <c r="H1295" i="4" s="1"/>
  <c r="G1296" i="4" a="1"/>
  <c r="G1296" i="4" s="1"/>
  <c r="I1296" i="4" a="1"/>
  <c r="I1296" i="4" s="1"/>
  <c r="G1297" i="4" a="1"/>
  <c r="G1297" i="4" s="1"/>
  <c r="I1297" i="4" a="1"/>
  <c r="I1297" i="4" s="1"/>
  <c r="G1298" i="4" a="1"/>
  <c r="G1298" i="4" s="1"/>
  <c r="I1298" i="4" a="1"/>
  <c r="I1298" i="4" s="1"/>
  <c r="G1299" i="4" a="1"/>
  <c r="G1299" i="4" s="1"/>
  <c r="I1299" i="4" s="1" a="1"/>
  <c r="I1299" i="4" s="1"/>
  <c r="H1299" i="4" s="1"/>
  <c r="G1300" i="4" a="1"/>
  <c r="G1300" i="4" s="1"/>
  <c r="I1300" i="4" a="1"/>
  <c r="I1300" i="4" s="1"/>
  <c r="G1301" i="4" a="1"/>
  <c r="G1301" i="4" s="1"/>
  <c r="I1301" i="4" a="1"/>
  <c r="I1301" i="4" s="1"/>
  <c r="G1302" i="4" a="1"/>
  <c r="G1302" i="4" s="1"/>
  <c r="I1302" i="4" a="1"/>
  <c r="I1302" i="4" s="1"/>
  <c r="G1303" i="4" a="1"/>
  <c r="G1303" i="4" s="1"/>
  <c r="I1303" i="4" s="1" a="1"/>
  <c r="I1303" i="4" s="1"/>
  <c r="H1303" i="4" s="1"/>
  <c r="G1304" i="4" a="1"/>
  <c r="G1304" i="4" s="1"/>
  <c r="I1304" i="4" a="1"/>
  <c r="I1304" i="4" s="1"/>
  <c r="G1305" i="4" a="1"/>
  <c r="G1305" i="4" s="1"/>
  <c r="I1305" i="4" s="1" a="1"/>
  <c r="I1305" i="4" s="1"/>
  <c r="H1305" i="4" s="1"/>
  <c r="G1306" i="4" a="1"/>
  <c r="G1306" i="4" s="1"/>
  <c r="I1306" i="4" a="1"/>
  <c r="I1306" i="4" s="1"/>
  <c r="G1307" i="4" a="1"/>
  <c r="G1307" i="4" s="1"/>
  <c r="I1307" i="4" s="1" a="1"/>
  <c r="I1307" i="4" s="1"/>
  <c r="H1307" i="4" s="1"/>
  <c r="G1308" i="4" a="1"/>
  <c r="G1308" i="4" s="1"/>
  <c r="I1308" i="4" s="1" a="1"/>
  <c r="I1308" i="4" s="1"/>
  <c r="H1308" i="4" s="1"/>
  <c r="G1309" i="4" a="1"/>
  <c r="G1309" i="4" s="1"/>
  <c r="I1309" i="4" a="1"/>
  <c r="I1309" i="4" s="1"/>
  <c r="G1310" i="4" a="1"/>
  <c r="G1310" i="4" s="1"/>
  <c r="I1310" i="4" a="1"/>
  <c r="I1310" i="4" s="1"/>
  <c r="G1311" i="4" a="1"/>
  <c r="G1311" i="4" s="1"/>
  <c r="I1311" i="4" a="1"/>
  <c r="I1311" i="4" s="1"/>
  <c r="G1312" i="4" a="1"/>
  <c r="G1312" i="4" s="1"/>
  <c r="I1312" i="4" a="1"/>
  <c r="I1312" i="4" s="1"/>
  <c r="G1313" i="4" a="1"/>
  <c r="G1313" i="4" s="1"/>
  <c r="I1313" i="4" a="1"/>
  <c r="I1313" i="4" s="1"/>
  <c r="G1314" i="4" a="1"/>
  <c r="G1314" i="4" s="1"/>
  <c r="I1314" i="4" a="1"/>
  <c r="I1314" i="4" s="1"/>
  <c r="G1315" i="4" a="1"/>
  <c r="G1315" i="4" s="1"/>
  <c r="I1315" i="4" a="1"/>
  <c r="I1315" i="4" s="1"/>
  <c r="G1316" i="4" a="1"/>
  <c r="G1316" i="4" s="1"/>
  <c r="I1316" i="4" a="1"/>
  <c r="I1316" i="4" s="1"/>
  <c r="G1317" i="4" a="1"/>
  <c r="G1317" i="4" s="1"/>
  <c r="I1317" i="4" a="1"/>
  <c r="I1317" i="4" s="1"/>
  <c r="G1318" i="4" a="1"/>
  <c r="G1318" i="4" s="1"/>
  <c r="I1318" i="4" a="1"/>
  <c r="I1318" i="4" s="1"/>
  <c r="G1319" i="4" a="1"/>
  <c r="G1319" i="4" s="1"/>
  <c r="I1319" i="4" a="1"/>
  <c r="I1319" i="4" s="1"/>
  <c r="G1320" i="4" a="1"/>
  <c r="G1320" i="4" s="1"/>
  <c r="I1320" i="4" a="1"/>
  <c r="I1320" i="4" s="1"/>
  <c r="G1321" i="4" a="1"/>
  <c r="G1321" i="4" s="1"/>
  <c r="I1321" i="4" a="1"/>
  <c r="I1321" i="4" s="1"/>
  <c r="G1322" i="4" a="1"/>
  <c r="G1322" i="4" s="1"/>
  <c r="I1322" i="4" s="1" a="1"/>
  <c r="I1322" i="4" s="1"/>
  <c r="H1322" i="4" s="1"/>
  <c r="G1323" i="4" a="1"/>
  <c r="G1323" i="4" s="1"/>
  <c r="I1323" i="4" a="1"/>
  <c r="I1323" i="4" s="1"/>
  <c r="G1324" i="4" a="1"/>
  <c r="G1324" i="4" s="1"/>
  <c r="I1324" i="4" s="1" a="1"/>
  <c r="I1324" i="4" s="1"/>
  <c r="H1324" i="4" s="1"/>
  <c r="G1325" i="4" a="1"/>
  <c r="G1325" i="4" s="1"/>
  <c r="I1325" i="4" a="1"/>
  <c r="I1325" i="4" s="1"/>
  <c r="G1326" i="4" a="1"/>
  <c r="G1326" i="4" s="1"/>
  <c r="I1326" i="4" s="1" a="1"/>
  <c r="I1326" i="4" s="1"/>
  <c r="H1326" i="4" s="1"/>
  <c r="G1327" i="4" a="1"/>
  <c r="G1327" i="4" s="1"/>
  <c r="I1327" i="4" a="1"/>
  <c r="I1327" i="4" s="1"/>
  <c r="G1328" i="4" a="1"/>
  <c r="G1328" i="4" s="1"/>
  <c r="I1328" i="4" a="1"/>
  <c r="I1328" i="4" s="1"/>
  <c r="G1329" i="4" a="1"/>
  <c r="G1329" i="4" s="1"/>
  <c r="I1329" i="4" a="1"/>
  <c r="I1329" i="4" s="1"/>
  <c r="G1330" i="4" a="1"/>
  <c r="G1330" i="4" s="1"/>
  <c r="I1330" i="4" a="1"/>
  <c r="I1330" i="4" s="1"/>
  <c r="G1331" i="4" a="1"/>
  <c r="G1331" i="4" s="1"/>
  <c r="I1331" i="4" a="1"/>
  <c r="I1331" i="4" s="1"/>
  <c r="G1332" i="4" a="1"/>
  <c r="G1332" i="4" s="1"/>
  <c r="I1332" i="4" a="1"/>
  <c r="I1332" i="4" s="1"/>
  <c r="G1333" i="4" a="1"/>
  <c r="G1333" i="4" s="1"/>
  <c r="I1333" i="4" a="1"/>
  <c r="I1333" i="4" s="1"/>
  <c r="G1334" i="4" a="1"/>
  <c r="G1334" i="4" s="1"/>
  <c r="I1334" i="4" a="1"/>
  <c r="I1334" i="4" s="1"/>
  <c r="G1335" i="4" a="1"/>
  <c r="G1335" i="4" s="1"/>
  <c r="I1335" i="4" a="1"/>
  <c r="I1335" i="4" s="1"/>
  <c r="G1336" i="4" a="1"/>
  <c r="G1336" i="4" s="1"/>
  <c r="I1336" i="4" a="1"/>
  <c r="I1336" i="4" s="1"/>
  <c r="G1337" i="4" a="1"/>
  <c r="G1337" i="4" s="1"/>
  <c r="I1337" i="4" a="1"/>
  <c r="I1337" i="4" s="1"/>
  <c r="G1338" i="4" a="1"/>
  <c r="G1338" i="4" s="1"/>
  <c r="I1338" i="4" a="1"/>
  <c r="I1338" i="4" s="1"/>
  <c r="G1339" i="4" a="1"/>
  <c r="G1339" i="4" s="1"/>
  <c r="I1339" i="4" s="1" a="1"/>
  <c r="I1339" i="4" s="1"/>
  <c r="H1339" i="4" s="1"/>
  <c r="G1340" i="4" a="1"/>
  <c r="G1340" i="4" s="1"/>
  <c r="I1340" i="4" a="1"/>
  <c r="I1340" i="4" s="1"/>
  <c r="G1341" i="4" a="1"/>
  <c r="G1341" i="4" s="1"/>
  <c r="I1341" i="4" s="1" a="1"/>
  <c r="I1341" i="4" s="1"/>
  <c r="H1341" i="4" s="1"/>
  <c r="G1342" i="4" a="1"/>
  <c r="G1342" i="4" s="1"/>
  <c r="I1342" i="4" a="1"/>
  <c r="I1342" i="4" s="1"/>
  <c r="G1343" i="4" a="1"/>
  <c r="G1343" i="4" s="1"/>
  <c r="I1343" i="4" a="1"/>
  <c r="I1343" i="4" s="1"/>
  <c r="G1344" i="4" a="1"/>
  <c r="G1344" i="4" s="1"/>
  <c r="I1344" i="4" a="1"/>
  <c r="I1344" i="4" s="1"/>
  <c r="G1345" i="4" a="1"/>
  <c r="G1345" i="4" s="1"/>
  <c r="I1345" i="4" a="1"/>
  <c r="I1345" i="4" s="1"/>
  <c r="G1346" i="4" a="1"/>
  <c r="G1346" i="4" s="1"/>
  <c r="I1346" i="4" s="1" a="1"/>
  <c r="I1346" i="4" s="1"/>
  <c r="H1346" i="4" s="1"/>
  <c r="G1347" i="4" a="1"/>
  <c r="G1347" i="4" s="1"/>
  <c r="I1347" i="4" s="1" a="1"/>
  <c r="I1347" i="4" s="1"/>
  <c r="H1347" i="4" s="1"/>
  <c r="G1348" i="4" a="1"/>
  <c r="G1348" i="4" s="1"/>
  <c r="I1348" i="4" a="1"/>
  <c r="I1348" i="4" s="1"/>
  <c r="G1349" i="4" a="1"/>
  <c r="G1349" i="4" s="1"/>
  <c r="I1349" i="4" s="1" a="1"/>
  <c r="I1349" i="4" s="1"/>
  <c r="H1349" i="4" s="1"/>
  <c r="G1350" i="4" a="1"/>
  <c r="G1350" i="4" s="1"/>
  <c r="I1350" i="4" s="1" a="1"/>
  <c r="I1350" i="4" s="1"/>
  <c r="H1350" i="4" s="1"/>
  <c r="G1351" i="4" a="1"/>
  <c r="G1351" i="4" s="1"/>
  <c r="I1351" i="4" a="1"/>
  <c r="I1351" i="4" s="1"/>
  <c r="G1352" i="4" a="1"/>
  <c r="G1352" i="4" s="1"/>
  <c r="I1352" i="4" a="1"/>
  <c r="I1352" i="4" s="1"/>
  <c r="G1353" i="4" a="1"/>
  <c r="G1353" i="4" s="1"/>
  <c r="I1353" i="4" a="1"/>
  <c r="I1353" i="4" s="1"/>
  <c r="G1354" i="4" a="1"/>
  <c r="G1354" i="4" s="1"/>
  <c r="I1354" i="4" a="1"/>
  <c r="I1354" i="4" s="1"/>
  <c r="G1355" i="4" a="1"/>
  <c r="G1355" i="4" s="1"/>
  <c r="I1355" i="4" a="1"/>
  <c r="I1355" i="4" s="1"/>
  <c r="G1356" i="4" a="1"/>
  <c r="G1356" i="4" s="1"/>
  <c r="I1356" i="4" a="1"/>
  <c r="I1356" i="4" s="1"/>
  <c r="G1357" i="4" a="1"/>
  <c r="G1357" i="4" s="1"/>
  <c r="I1357" i="4" s="1" a="1"/>
  <c r="I1357" i="4" s="1"/>
  <c r="H1357" i="4" s="1"/>
  <c r="G1358" i="4" a="1"/>
  <c r="G1358" i="4" s="1"/>
  <c r="I1358" i="4" s="1" a="1"/>
  <c r="I1358" i="4" s="1"/>
  <c r="H1358" i="4" s="1"/>
  <c r="G1359" i="4" a="1"/>
  <c r="G1359" i="4" s="1"/>
  <c r="I1359" i="4" s="1" a="1"/>
  <c r="I1359" i="4" s="1"/>
  <c r="H1359" i="4" s="1"/>
  <c r="G1360" i="4" a="1"/>
  <c r="G1360" i="4" s="1"/>
  <c r="I1360" i="4" s="1" a="1"/>
  <c r="I1360" i="4" s="1"/>
  <c r="H1360" i="4" s="1"/>
  <c r="G1361" i="4" a="1"/>
  <c r="G1361" i="4" s="1"/>
  <c r="I1361" i="4" s="1" a="1"/>
  <c r="I1361" i="4" s="1"/>
  <c r="H1361" i="4" s="1"/>
  <c r="G1362" i="4" a="1"/>
  <c r="G1362" i="4" s="1"/>
  <c r="I1362" i="4" s="1" a="1"/>
  <c r="I1362" i="4" s="1"/>
  <c r="H1362" i="4" s="1"/>
  <c r="G1363" i="4" a="1"/>
  <c r="G1363" i="4" s="1"/>
  <c r="I1363" i="4" s="1" a="1"/>
  <c r="I1363" i="4" s="1"/>
  <c r="H1363" i="4" s="1"/>
  <c r="G1364" i="4" a="1"/>
  <c r="G1364" i="4" s="1"/>
  <c r="I1364" i="4" s="1" a="1"/>
  <c r="I1364" i="4" s="1"/>
  <c r="H1364" i="4" s="1"/>
  <c r="G1365" i="4" a="1"/>
  <c r="G1365" i="4" s="1"/>
  <c r="I1365" i="4" s="1" a="1"/>
  <c r="I1365" i="4" s="1"/>
  <c r="H1365" i="4" s="1"/>
  <c r="G1366" i="4" a="1"/>
  <c r="G1366" i="4" s="1"/>
  <c r="I1366" i="4" s="1" a="1"/>
  <c r="I1366" i="4" s="1"/>
  <c r="H1366" i="4" s="1"/>
  <c r="G1367" i="4" a="1"/>
  <c r="G1367" i="4" s="1"/>
  <c r="I1367" i="4" s="1" a="1"/>
  <c r="I1367" i="4" s="1"/>
  <c r="H1367" i="4" s="1"/>
  <c r="G1368" i="4" a="1"/>
  <c r="G1368" i="4" s="1"/>
  <c r="I1368" i="4" s="1" a="1"/>
  <c r="I1368" i="4" s="1"/>
  <c r="H1368" i="4" s="1"/>
  <c r="G1369" i="4" a="1"/>
  <c r="G1369" i="4" s="1"/>
  <c r="I1369" i="4" s="1" a="1"/>
  <c r="I1369" i="4" s="1"/>
  <c r="H1369" i="4" s="1"/>
  <c r="G1370" i="4" a="1"/>
  <c r="G1370" i="4" s="1"/>
  <c r="I1370" i="4" s="1" a="1"/>
  <c r="I1370" i="4" s="1"/>
  <c r="H1370" i="4" s="1"/>
  <c r="G1371" i="4" a="1"/>
  <c r="G1371" i="4" s="1"/>
  <c r="I1371" i="4" s="1" a="1"/>
  <c r="I1371" i="4" s="1"/>
  <c r="H1371" i="4" s="1"/>
  <c r="G1372" i="4" a="1"/>
  <c r="G1372" i="4" s="1"/>
  <c r="I1372" i="4" s="1" a="1"/>
  <c r="I1372" i="4" s="1"/>
  <c r="H1372" i="4" s="1"/>
  <c r="G1373" i="4" a="1"/>
  <c r="G1373" i="4" s="1"/>
  <c r="I1373" i="4" s="1" a="1"/>
  <c r="I1373" i="4" s="1"/>
  <c r="H1373" i="4" s="1"/>
  <c r="G1374" i="4" a="1"/>
  <c r="G1374" i="4" s="1"/>
  <c r="I1374" i="4" s="1" a="1"/>
  <c r="I1374" i="4" s="1"/>
  <c r="H1374" i="4" s="1"/>
  <c r="G1375" i="4" a="1"/>
  <c r="G1375" i="4" s="1"/>
  <c r="I1375" i="4" a="1"/>
  <c r="I1375" i="4" s="1"/>
  <c r="G1376" i="4" a="1"/>
  <c r="G1376" i="4" s="1"/>
  <c r="I1376" i="4" a="1"/>
  <c r="I1376" i="4" s="1"/>
  <c r="G1377" i="4" a="1"/>
  <c r="G1377" i="4" s="1"/>
  <c r="I1377" i="4" a="1"/>
  <c r="I1377" i="4" s="1"/>
  <c r="G1378" i="4" a="1"/>
  <c r="G1378" i="4" s="1"/>
  <c r="I1378" i="4" a="1"/>
  <c r="I1378" i="4" s="1"/>
  <c r="G1379" i="4" a="1"/>
  <c r="G1379" i="4" s="1"/>
  <c r="I1379" i="4" a="1"/>
  <c r="I1379" i="4" s="1"/>
  <c r="G1380" i="4" a="1"/>
  <c r="G1380" i="4" s="1"/>
  <c r="I1380" i="4" a="1"/>
  <c r="I1380" i="4" s="1"/>
  <c r="G1381" i="4" a="1"/>
  <c r="G1381" i="4" s="1"/>
  <c r="I1381" i="4" a="1"/>
  <c r="I1381" i="4" s="1"/>
  <c r="G1382" i="4" a="1"/>
  <c r="G1382" i="4" s="1"/>
  <c r="I1382" i="4" a="1"/>
  <c r="I1382" i="4" s="1"/>
  <c r="G1383" i="4" a="1"/>
  <c r="G1383" i="4" s="1"/>
  <c r="I1383" i="4" a="1"/>
  <c r="I1383" i="4" s="1"/>
  <c r="G1384" i="4" a="1"/>
  <c r="G1384" i="4" s="1"/>
  <c r="I1384" i="4" a="1"/>
  <c r="I1384" i="4" s="1"/>
  <c r="G1385" i="4" a="1"/>
  <c r="G1385" i="4" s="1"/>
  <c r="I1385" i="4" s="1" a="1"/>
  <c r="I1385" i="4" s="1"/>
  <c r="H1385" i="4" s="1"/>
  <c r="G1386" i="4" a="1"/>
  <c r="G1386" i="4" s="1"/>
  <c r="I1386" i="4" a="1"/>
  <c r="I1386" i="4" s="1"/>
  <c r="G1387" i="4" a="1"/>
  <c r="G1387" i="4" s="1"/>
  <c r="I1387" i="4" s="1" a="1"/>
  <c r="I1387" i="4" s="1"/>
  <c r="H1387" i="4" s="1"/>
  <c r="G1388" i="4" a="1"/>
  <c r="G1388" i="4" s="1"/>
  <c r="I1388" i="4" a="1"/>
  <c r="I1388" i="4" s="1"/>
  <c r="G1389" i="4" a="1"/>
  <c r="G1389" i="4" s="1"/>
  <c r="I1389" i="4" s="1" a="1"/>
  <c r="I1389" i="4" s="1"/>
  <c r="H1389" i="4" s="1"/>
  <c r="G1390" i="4" a="1"/>
  <c r="G1390" i="4" s="1"/>
  <c r="I1390" i="4" a="1"/>
  <c r="I1390" i="4" s="1"/>
  <c r="G1391" i="4" a="1"/>
  <c r="G1391" i="4" s="1"/>
  <c r="I1391" i="4" s="1" a="1"/>
  <c r="I1391" i="4" s="1"/>
  <c r="H1391" i="4" s="1"/>
  <c r="G1392" i="4" a="1"/>
  <c r="G1392" i="4" s="1"/>
  <c r="I1392" i="4" a="1"/>
  <c r="I1392" i="4" s="1"/>
  <c r="G1393" i="4" a="1"/>
  <c r="G1393" i="4" s="1"/>
  <c r="I1393" i="4" s="1" a="1"/>
  <c r="I1393" i="4" s="1"/>
  <c r="H1393" i="4" s="1"/>
  <c r="G1394" i="4" a="1"/>
  <c r="G1394" i="4" s="1"/>
  <c r="I1394" i="4" s="1" a="1"/>
  <c r="I1394" i="4" s="1"/>
  <c r="H1394" i="4" s="1"/>
  <c r="G1395" i="4" a="1"/>
  <c r="G1395" i="4" s="1"/>
  <c r="I1395" i="4" s="1" a="1"/>
  <c r="I1395" i="4" s="1"/>
  <c r="H1395" i="4" s="1"/>
  <c r="G1396" i="4" a="1"/>
  <c r="G1396" i="4" s="1"/>
  <c r="I1396" i="4" a="1"/>
  <c r="I1396" i="4" s="1"/>
  <c r="G1397" i="4" a="1"/>
  <c r="G1397" i="4" s="1"/>
  <c r="I1397" i="4" s="1" a="1"/>
  <c r="I1397" i="4" s="1"/>
  <c r="H1397" i="4" s="1"/>
  <c r="G1398" i="4" a="1"/>
  <c r="G1398" i="4" s="1"/>
  <c r="I1398" i="4" s="1" a="1"/>
  <c r="I1398" i="4" s="1"/>
  <c r="H1398" i="4" s="1"/>
  <c r="G1399" i="4" a="1"/>
  <c r="G1399" i="4" s="1"/>
  <c r="I1399" i="4" a="1"/>
  <c r="I1399" i="4" s="1"/>
  <c r="G1400" i="4" a="1"/>
  <c r="G1400" i="4" s="1"/>
  <c r="I1400" i="4" s="1" a="1"/>
  <c r="I1400" i="4" s="1"/>
  <c r="H1400" i="4" s="1"/>
  <c r="G1401" i="4" a="1"/>
  <c r="G1401" i="4" s="1"/>
  <c r="I1401" i="4" s="1" a="1"/>
  <c r="I1401" i="4" s="1"/>
  <c r="H1401" i="4" s="1"/>
  <c r="G1402" i="4" a="1"/>
  <c r="G1402" i="4" s="1"/>
  <c r="I1402" i="4" s="1" a="1"/>
  <c r="I1402" i="4" s="1"/>
  <c r="H1402" i="4" s="1"/>
  <c r="G1403" i="4" a="1"/>
  <c r="G1403" i="4" s="1"/>
  <c r="I1403" i="4" a="1"/>
  <c r="I1403" i="4" s="1"/>
  <c r="G1404" i="4" a="1"/>
  <c r="G1404" i="4" s="1"/>
  <c r="I1404" i="4" a="1"/>
  <c r="I1404" i="4" s="1"/>
  <c r="G1405" i="4" a="1"/>
  <c r="G1405" i="4" s="1"/>
  <c r="I1405" i="4" s="1" a="1"/>
  <c r="I1405" i="4" s="1"/>
  <c r="H1405" i="4" s="1"/>
  <c r="G1406" i="4" a="1"/>
  <c r="G1406" i="4" s="1"/>
  <c r="I1406" i="4" s="1" a="1"/>
  <c r="I1406" i="4" s="1"/>
  <c r="H1406" i="4" s="1"/>
  <c r="G1407" i="4" a="1"/>
  <c r="G1407" i="4" s="1"/>
  <c r="I1407" i="4" s="1" a="1"/>
  <c r="I1407" i="4" s="1"/>
  <c r="H1407" i="4" s="1"/>
  <c r="G1408" i="4" a="1"/>
  <c r="G1408" i="4" s="1"/>
  <c r="I1408" i="4" a="1"/>
  <c r="I1408" i="4" s="1"/>
  <c r="G1409" i="4" a="1"/>
  <c r="G1409" i="4" s="1"/>
  <c r="I1409" i="4" s="1" a="1"/>
  <c r="I1409" i="4" s="1"/>
  <c r="H1409" i="4" s="1"/>
  <c r="G1410" i="4" a="1"/>
  <c r="G1410" i="4" s="1"/>
  <c r="I1410" i="4" a="1"/>
  <c r="I1410" i="4" s="1"/>
  <c r="G1411" i="4" a="1"/>
  <c r="G1411" i="4" s="1"/>
  <c r="I1411" i="4" s="1" a="1"/>
  <c r="I1411" i="4" s="1"/>
  <c r="H1411" i="4" s="1"/>
  <c r="G1412" i="4" a="1"/>
  <c r="G1412" i="4" s="1"/>
  <c r="I1412" i="4" s="1" a="1"/>
  <c r="I1412" i="4" s="1"/>
  <c r="H1412" i="4" s="1"/>
  <c r="G1413" i="4" a="1"/>
  <c r="G1413" i="4" s="1"/>
  <c r="I1413" i="4" a="1"/>
  <c r="I1413" i="4" s="1"/>
  <c r="G1414" i="4" a="1"/>
  <c r="G1414" i="4" s="1"/>
  <c r="I1414" i="4" s="1" a="1"/>
  <c r="I1414" i="4" s="1"/>
  <c r="H1414" i="4" s="1"/>
  <c r="G1415" i="4" a="1"/>
  <c r="G1415" i="4" s="1"/>
  <c r="I1415" i="4" a="1"/>
  <c r="I1415" i="4" s="1"/>
  <c r="G1416" i="4" a="1"/>
  <c r="G1416" i="4" s="1"/>
  <c r="I1416" i="4" s="1" a="1"/>
  <c r="I1416" i="4" s="1"/>
  <c r="H1416" i="4" s="1"/>
  <c r="G1417" i="4" a="1"/>
  <c r="G1417" i="4" s="1"/>
  <c r="I1417" i="4" a="1"/>
  <c r="I1417" i="4" s="1"/>
  <c r="G1418" i="4" a="1"/>
  <c r="G1418" i="4" s="1"/>
  <c r="I1418" i="4" s="1" a="1"/>
  <c r="I1418" i="4" s="1"/>
  <c r="H1418" i="4" s="1"/>
  <c r="G1419" i="4" a="1"/>
  <c r="G1419" i="4" s="1"/>
  <c r="I1419" i="4" a="1"/>
  <c r="I1419" i="4" s="1"/>
  <c r="G1420" i="4" a="1"/>
  <c r="G1420" i="4" s="1"/>
  <c r="I1420" i="4" s="1" a="1"/>
  <c r="I1420" i="4" s="1"/>
  <c r="H1420" i="4" s="1"/>
  <c r="G1421" i="4" a="1"/>
  <c r="G1421" i="4" s="1"/>
  <c r="I1421" i="4" s="1" a="1"/>
  <c r="I1421" i="4" s="1"/>
  <c r="H1421" i="4" s="1"/>
  <c r="G1422" i="4" a="1"/>
  <c r="G1422" i="4" s="1"/>
  <c r="I1422" i="4" s="1" a="1"/>
  <c r="I1422" i="4" s="1"/>
  <c r="H1422" i="4" s="1"/>
  <c r="G1423" i="4" a="1"/>
  <c r="G1423" i="4" s="1"/>
  <c r="I1423" i="4" s="1" a="1"/>
  <c r="I1423" i="4" s="1"/>
  <c r="H1423" i="4" s="1"/>
  <c r="G1424" i="4" a="1"/>
  <c r="G1424" i="4" s="1"/>
  <c r="I1424" i="4" s="1" a="1"/>
  <c r="I1424" i="4" s="1"/>
  <c r="H1424" i="4" s="1"/>
  <c r="G1425" i="4" a="1"/>
  <c r="G1425" i="4" s="1"/>
  <c r="I1425" i="4" s="1" a="1"/>
  <c r="I1425" i="4" s="1"/>
  <c r="H1425" i="4" s="1"/>
  <c r="G1426" i="4" a="1"/>
  <c r="G1426" i="4" s="1"/>
  <c r="I1426" i="4" s="1" a="1"/>
  <c r="I1426" i="4" s="1"/>
  <c r="H1426" i="4" s="1"/>
  <c r="G1427" i="4" a="1"/>
  <c r="G1427" i="4" s="1"/>
  <c r="I1427" i="4" s="1" a="1"/>
  <c r="I1427" i="4" s="1"/>
  <c r="H1427" i="4" s="1"/>
  <c r="G1428" i="4" a="1"/>
  <c r="G1428" i="4" s="1"/>
  <c r="I1428" i="4" s="1" a="1"/>
  <c r="I1428" i="4" s="1"/>
  <c r="H1428" i="4" s="1"/>
  <c r="G1429" i="4" a="1"/>
  <c r="G1429" i="4" s="1"/>
  <c r="I1429" i="4" a="1"/>
  <c r="I1429" i="4" s="1"/>
  <c r="G1430" i="4" a="1"/>
  <c r="G1430" i="4" s="1"/>
  <c r="I1430" i="4" s="1" a="1"/>
  <c r="I1430" i="4" s="1"/>
  <c r="H1430" i="4" s="1"/>
  <c r="G1431" i="4" a="1"/>
  <c r="G1431" i="4" s="1"/>
  <c r="I1431" i="4" s="1" a="1"/>
  <c r="I1431" i="4" s="1"/>
  <c r="H1431" i="4" s="1"/>
  <c r="G1432" i="4" a="1"/>
  <c r="G1432" i="4" s="1"/>
  <c r="I1432" i="4" s="1" a="1"/>
  <c r="I1432" i="4" s="1"/>
  <c r="H1432" i="4" s="1"/>
  <c r="G1433" i="4" a="1"/>
  <c r="G1433" i="4" s="1"/>
  <c r="I1433" i="4" s="1" a="1"/>
  <c r="I1433" i="4" s="1"/>
  <c r="H1433" i="4" s="1"/>
  <c r="G1434" i="4" a="1"/>
  <c r="G1434" i="4" s="1"/>
  <c r="I1434" i="4" s="1" a="1"/>
  <c r="I1434" i="4" s="1"/>
  <c r="H1434" i="4" s="1"/>
  <c r="G1435" i="4" a="1"/>
  <c r="G1435" i="4" s="1"/>
  <c r="I1435" i="4" a="1"/>
  <c r="I1435" i="4" s="1"/>
  <c r="G1436" i="4" a="1"/>
  <c r="G1436" i="4" s="1"/>
  <c r="I1436" i="4" a="1"/>
  <c r="I1436" i="4" s="1"/>
  <c r="G1437" i="4" a="1"/>
  <c r="G1437" i="4" s="1"/>
  <c r="I1437" i="4" s="1" a="1"/>
  <c r="I1437" i="4" s="1"/>
  <c r="H1437" i="4" s="1"/>
  <c r="G1438" i="4" a="1"/>
  <c r="G1438" i="4" s="1"/>
  <c r="I1438" i="4" a="1"/>
  <c r="I1438" i="4" s="1"/>
  <c r="G1439" i="4" a="1"/>
  <c r="G1439" i="4" s="1"/>
  <c r="I1439" i="4" s="1" a="1"/>
  <c r="I1439" i="4" s="1"/>
  <c r="H1439" i="4" s="1"/>
  <c r="G1440" i="4" a="1"/>
  <c r="G1440" i="4" s="1"/>
  <c r="I1440" i="4" a="1"/>
  <c r="I1440" i="4" s="1"/>
  <c r="G1441" i="4" a="1"/>
  <c r="G1441" i="4" s="1"/>
  <c r="I1441" i="4" s="1" a="1"/>
  <c r="I1441" i="4" s="1"/>
  <c r="H1441" i="4" s="1"/>
  <c r="G1442" i="4" a="1"/>
  <c r="G1442" i="4" s="1"/>
  <c r="I1442" i="4" a="1"/>
  <c r="I1442" i="4" s="1"/>
  <c r="G1443" i="4" a="1"/>
  <c r="G1443" i="4" s="1"/>
  <c r="I1443" i="4" s="1" a="1"/>
  <c r="I1443" i="4" s="1"/>
  <c r="H1443" i="4" s="1"/>
  <c r="G1444" i="4" a="1"/>
  <c r="G1444" i="4" s="1"/>
  <c r="I1444" i="4" a="1"/>
  <c r="I1444" i="4" s="1"/>
  <c r="G1445" i="4" a="1"/>
  <c r="G1445" i="4" s="1"/>
  <c r="I1445" i="4" s="1" a="1"/>
  <c r="I1445" i="4" s="1"/>
  <c r="H1445" i="4" s="1"/>
  <c r="G1446" i="4" a="1"/>
  <c r="G1446" i="4" s="1"/>
  <c r="I1446" i="4" a="1"/>
  <c r="I1446" i="4" s="1"/>
  <c r="G1447" i="4" a="1"/>
  <c r="G1447" i="4" s="1"/>
  <c r="I1447" i="4" s="1" a="1"/>
  <c r="I1447" i="4" s="1"/>
  <c r="H1447" i="4" s="1"/>
  <c r="G1448" i="4" a="1"/>
  <c r="G1448" i="4" s="1"/>
  <c r="I1448" i="4" a="1"/>
  <c r="I1448" i="4" s="1"/>
  <c r="G1449" i="4" a="1"/>
  <c r="G1449" i="4" s="1"/>
  <c r="I1449" i="4" s="1" a="1"/>
  <c r="I1449" i="4" s="1"/>
  <c r="H1449" i="4" s="1"/>
  <c r="G1450" i="4" a="1"/>
  <c r="G1450" i="4" s="1"/>
  <c r="I1450" i="4" a="1"/>
  <c r="I1450" i="4" s="1"/>
  <c r="G1451" i="4" a="1"/>
  <c r="G1451" i="4" s="1"/>
  <c r="I1451" i="4" s="1" a="1"/>
  <c r="I1451" i="4" s="1"/>
  <c r="H1451" i="4" s="1"/>
  <c r="G1452" i="4" a="1"/>
  <c r="G1452" i="4" s="1"/>
  <c r="I1452" i="4" a="1"/>
  <c r="I1452" i="4" s="1"/>
  <c r="G1453" i="4" a="1"/>
  <c r="G1453" i="4" s="1"/>
  <c r="I1453" i="4" s="1" a="1"/>
  <c r="I1453" i="4" s="1"/>
  <c r="H1453" i="4" s="1"/>
  <c r="G1454" i="4" a="1"/>
  <c r="G1454" i="4" s="1"/>
  <c r="I1454" i="4" a="1"/>
  <c r="I1454" i="4" s="1"/>
  <c r="G1455" i="4" a="1"/>
  <c r="G1455" i="4" s="1"/>
  <c r="I1455" i="4" s="1" a="1"/>
  <c r="I1455" i="4" s="1"/>
  <c r="H1455" i="4" s="1"/>
  <c r="G1456" i="4" a="1"/>
  <c r="G1456" i="4" s="1"/>
  <c r="I1456" i="4" a="1"/>
  <c r="I1456" i="4" s="1"/>
  <c r="G1457" i="4" a="1"/>
  <c r="G1457" i="4" s="1"/>
  <c r="I1457" i="4" s="1" a="1"/>
  <c r="I1457" i="4" s="1"/>
  <c r="H1457" i="4" s="1"/>
  <c r="G1458" i="4" a="1"/>
  <c r="G1458" i="4" s="1"/>
  <c r="I1458" i="4" a="1"/>
  <c r="I1458" i="4" s="1"/>
  <c r="G1459" i="4" a="1"/>
  <c r="G1459" i="4" s="1"/>
  <c r="I1459" i="4" s="1" a="1"/>
  <c r="I1459" i="4" s="1"/>
  <c r="H1459" i="4" s="1"/>
  <c r="G1460" i="4" a="1"/>
  <c r="G1460" i="4" s="1"/>
  <c r="I1460" i="4" s="1" a="1"/>
  <c r="I1460" i="4" s="1"/>
  <c r="H1460" i="4" s="1"/>
  <c r="G1461" i="4" a="1"/>
  <c r="G1461" i="4" s="1"/>
  <c r="I1461" i="4" a="1"/>
  <c r="I1461" i="4" s="1"/>
  <c r="G1462" i="4" a="1"/>
  <c r="G1462" i="4" s="1"/>
  <c r="I1462" i="4" a="1"/>
  <c r="I1462" i="4" s="1"/>
  <c r="G1463" i="4" a="1"/>
  <c r="G1463" i="4" s="1"/>
  <c r="I1463" i="4" a="1"/>
  <c r="I1463" i="4" s="1"/>
  <c r="G1464" i="4" a="1"/>
  <c r="G1464" i="4" s="1"/>
  <c r="I1464" i="4" s="1" a="1"/>
  <c r="I1464" i="4" s="1"/>
  <c r="H1464" i="4" s="1"/>
  <c r="G1465" i="4" a="1"/>
  <c r="G1465" i="4" s="1"/>
  <c r="I1465" i="4" a="1"/>
  <c r="I1465" i="4" s="1"/>
  <c r="G1466" i="4" a="1"/>
  <c r="G1466" i="4" s="1"/>
  <c r="I1466" i="4" s="1" a="1"/>
  <c r="I1466" i="4" s="1"/>
  <c r="H1466" i="4" s="1"/>
  <c r="G1467" i="4" a="1"/>
  <c r="G1467" i="4" s="1"/>
  <c r="I1467" i="4" s="1" a="1"/>
  <c r="I1467" i="4" s="1"/>
  <c r="H1467" i="4" s="1"/>
  <c r="G1468" i="4" a="1"/>
  <c r="G1468" i="4" s="1"/>
  <c r="I1468" i="4" a="1"/>
  <c r="I1468" i="4" s="1"/>
  <c r="G1469" i="4" a="1"/>
  <c r="G1469" i="4" s="1"/>
  <c r="I1469" i="4" s="1" a="1"/>
  <c r="I1469" i="4" s="1"/>
  <c r="H1469" i="4" s="1"/>
  <c r="G1470" i="4" a="1"/>
  <c r="G1470" i="4" s="1"/>
  <c r="I1470" i="4" a="1"/>
  <c r="I1470" i="4" s="1"/>
  <c r="G1471" i="4" a="1"/>
  <c r="G1471" i="4" s="1"/>
  <c r="I1471" i="4" s="1" a="1"/>
  <c r="I1471" i="4" s="1"/>
  <c r="H1471" i="4" s="1"/>
  <c r="G1472" i="4" a="1"/>
  <c r="G1472" i="4" s="1"/>
  <c r="I1472" i="4" a="1"/>
  <c r="I1472" i="4" s="1"/>
  <c r="G1473" i="4" a="1"/>
  <c r="G1473" i="4" s="1"/>
  <c r="I1473" i="4" s="1" a="1"/>
  <c r="I1473" i="4" s="1"/>
  <c r="H1473" i="4" s="1"/>
  <c r="G1474" i="4" a="1"/>
  <c r="G1474" i="4" s="1"/>
  <c r="I1474" i="4" s="1" a="1"/>
  <c r="I1474" i="4" s="1"/>
  <c r="H1474" i="4" s="1"/>
  <c r="G1475" i="4" a="1"/>
  <c r="G1475" i="4" s="1"/>
  <c r="I1475" i="4" a="1"/>
  <c r="I1475" i="4" s="1"/>
  <c r="G1476" i="4" a="1"/>
  <c r="G1476" i="4" s="1"/>
  <c r="I1476" i="4" s="1" a="1"/>
  <c r="I1476" i="4" s="1"/>
  <c r="H1476" i="4" s="1"/>
  <c r="G1477" i="4" a="1"/>
  <c r="G1477" i="4" s="1"/>
  <c r="I1477" i="4" a="1"/>
  <c r="I1477" i="4" s="1"/>
  <c r="G1478" i="4" a="1"/>
  <c r="G1478" i="4" s="1"/>
  <c r="I1478" i="4" s="1" a="1"/>
  <c r="I1478" i="4" s="1"/>
  <c r="H1478" i="4" s="1"/>
  <c r="G1479" i="4" a="1"/>
  <c r="G1479" i="4" s="1"/>
  <c r="I1479" i="4" a="1"/>
  <c r="I1479" i="4" s="1"/>
  <c r="G1480" i="4" a="1"/>
  <c r="G1480" i="4" s="1"/>
  <c r="I1480" i="4" s="1" a="1"/>
  <c r="I1480" i="4" s="1"/>
  <c r="H1480" i="4" s="1"/>
  <c r="G1481" i="4" a="1"/>
  <c r="G1481" i="4" s="1"/>
  <c r="I1481" i="4" a="1"/>
  <c r="I1481" i="4" s="1"/>
  <c r="G1482" i="4" a="1"/>
  <c r="G1482" i="4" s="1"/>
  <c r="I1482" i="4" s="1" a="1"/>
  <c r="I1482" i="4" s="1"/>
  <c r="H1482" i="4" s="1"/>
  <c r="G1483" i="4" a="1"/>
  <c r="G1483" i="4" s="1"/>
  <c r="I1483" i="4" a="1"/>
  <c r="I1483" i="4" s="1"/>
  <c r="G1484" i="4" a="1"/>
  <c r="G1484" i="4" s="1"/>
  <c r="I1484" i="4" s="1" a="1"/>
  <c r="I1484" i="4" s="1"/>
  <c r="H1484" i="4" s="1"/>
  <c r="G1485" i="4" a="1"/>
  <c r="G1485" i="4" s="1"/>
  <c r="I1485" i="4" a="1"/>
  <c r="I1485" i="4" s="1"/>
  <c r="G1486" i="4" a="1"/>
  <c r="G1486" i="4" s="1"/>
  <c r="I1486" i="4" s="1" a="1"/>
  <c r="I1486" i="4" s="1"/>
  <c r="H1486" i="4" s="1"/>
  <c r="G1487" i="4" a="1"/>
  <c r="G1487" i="4" s="1"/>
  <c r="I1487" i="4" a="1"/>
  <c r="I1487" i="4" s="1"/>
  <c r="G1488" i="4" a="1"/>
  <c r="G1488" i="4" s="1"/>
  <c r="I1488" i="4" s="1" a="1"/>
  <c r="I1488" i="4" s="1"/>
  <c r="H1488" i="4" s="1"/>
  <c r="G1489" i="4" a="1"/>
  <c r="G1489" i="4" s="1"/>
  <c r="I1489" i="4" a="1"/>
  <c r="I1489" i="4" s="1"/>
  <c r="G1490" i="4" a="1"/>
  <c r="G1490" i="4" s="1"/>
  <c r="I1490" i="4" s="1" a="1"/>
  <c r="I1490" i="4" s="1"/>
  <c r="H1490" i="4" s="1"/>
  <c r="G1491" i="4" a="1"/>
  <c r="G1491" i="4" s="1"/>
  <c r="I1491" i="4" a="1"/>
  <c r="I1491" i="4" s="1"/>
  <c r="G1492" i="4" a="1"/>
  <c r="G1492" i="4" s="1"/>
  <c r="I1492" i="4" a="1"/>
  <c r="I1492" i="4" s="1"/>
  <c r="G1493" i="4" a="1"/>
  <c r="G1493" i="4" s="1"/>
  <c r="I1493" i="4" s="1" a="1"/>
  <c r="I1493" i="4" s="1"/>
  <c r="H1493" i="4" s="1"/>
  <c r="G1494" i="4" a="1"/>
  <c r="G1494" i="4" s="1"/>
  <c r="I1494" i="4" a="1"/>
  <c r="I1494" i="4" s="1"/>
  <c r="G1495" i="4" a="1"/>
  <c r="G1495" i="4" s="1"/>
  <c r="I1495" i="4" a="1"/>
  <c r="I1495" i="4" s="1"/>
  <c r="G1496" i="4" a="1"/>
  <c r="G1496" i="4" s="1"/>
  <c r="I1496" i="4" s="1" a="1"/>
  <c r="I1496" i="4" s="1"/>
  <c r="H1496" i="4" s="1"/>
  <c r="G1497" i="4" a="1"/>
  <c r="G1497" i="4" s="1"/>
  <c r="I1497" i="4" a="1"/>
  <c r="I1497" i="4" s="1"/>
  <c r="G1498" i="4" a="1"/>
  <c r="G1498" i="4" s="1"/>
  <c r="I1498" i="4" s="1" a="1"/>
  <c r="I1498" i="4" s="1"/>
  <c r="H1498" i="4" s="1"/>
  <c r="G1499" i="4" a="1"/>
  <c r="G1499" i="4" s="1"/>
  <c r="I1499" i="4" a="1"/>
  <c r="I1499" i="4" s="1"/>
  <c r="G1500" i="4" a="1"/>
  <c r="G1500" i="4" s="1"/>
  <c r="I1500" i="4" s="1" a="1"/>
  <c r="I1500" i="4" s="1"/>
  <c r="H1500" i="4" s="1"/>
  <c r="G1501" i="4" a="1"/>
  <c r="G1501" i="4" s="1"/>
  <c r="I1501" i="4" a="1"/>
  <c r="I1501" i="4" s="1"/>
  <c r="G1502" i="4" a="1"/>
  <c r="G1502" i="4" s="1"/>
  <c r="I1502" i="4" s="1" a="1"/>
  <c r="I1502" i="4" s="1"/>
  <c r="H1502" i="4" s="1"/>
  <c r="G1503" i="4" a="1"/>
  <c r="G1503" i="4" s="1"/>
  <c r="I1503" i="4" a="1"/>
  <c r="I1503" i="4" s="1"/>
  <c r="G1504" i="4" a="1"/>
  <c r="G1504" i="4" s="1"/>
  <c r="I1504" i="4" s="1" a="1"/>
  <c r="I1504" i="4" s="1"/>
  <c r="H1504" i="4" s="1"/>
  <c r="G1505" i="4" a="1"/>
  <c r="G1505" i="4" s="1"/>
  <c r="I1505" i="4" s="1" a="1"/>
  <c r="I1505" i="4" s="1"/>
  <c r="H1505" i="4" s="1"/>
  <c r="G1506" i="4" a="1"/>
  <c r="G1506" i="4" s="1"/>
  <c r="I1506" i="4" s="1" a="1"/>
  <c r="I1506" i="4" s="1"/>
  <c r="H1506" i="4" s="1"/>
  <c r="G1507" i="4" a="1"/>
  <c r="G1507" i="4" s="1"/>
  <c r="I1507" i="4" a="1"/>
  <c r="I1507" i="4" s="1"/>
  <c r="G1508" i="4" a="1"/>
  <c r="G1508" i="4" s="1"/>
  <c r="I1508" i="4" s="1" a="1"/>
  <c r="I1508" i="4" s="1"/>
  <c r="H1508" i="4" s="1"/>
  <c r="G1509" i="4" a="1"/>
  <c r="G1509" i="4" s="1"/>
  <c r="I1509" i="4" a="1"/>
  <c r="I1509" i="4" s="1"/>
  <c r="G1510" i="4" a="1"/>
  <c r="G1510" i="4" s="1"/>
  <c r="I1510" i="4" a="1"/>
  <c r="I1510" i="4" s="1"/>
  <c r="G1511" i="4" a="1"/>
  <c r="G1511" i="4" s="1"/>
  <c r="I1511" i="4" s="1" a="1"/>
  <c r="I1511" i="4" s="1"/>
  <c r="H1511" i="4" s="1"/>
  <c r="G1512" i="4" a="1"/>
  <c r="G1512" i="4" s="1"/>
  <c r="I1512" i="4" a="1"/>
  <c r="I1512" i="4" s="1"/>
  <c r="G1513" i="4" a="1"/>
  <c r="G1513" i="4" s="1"/>
  <c r="I1513" i="4" a="1"/>
  <c r="I1513" i="4" s="1"/>
  <c r="G1514" i="4" a="1"/>
  <c r="G1514" i="4" s="1"/>
  <c r="I1514" i="4" s="1" a="1"/>
  <c r="I1514" i="4" s="1"/>
  <c r="H1514" i="4" s="1"/>
  <c r="G1515" i="4" a="1"/>
  <c r="G1515" i="4" s="1"/>
  <c r="I1515" i="4" s="1" a="1"/>
  <c r="I1515" i="4" s="1"/>
  <c r="H1515" i="4" s="1"/>
  <c r="G1516" i="4" a="1"/>
  <c r="G1516" i="4" s="1"/>
  <c r="I1516" i="4" a="1"/>
  <c r="I1516" i="4" s="1"/>
  <c r="G1517" i="4" a="1"/>
  <c r="G1517" i="4" s="1"/>
  <c r="I1517" i="4" s="1" a="1"/>
  <c r="I1517" i="4" s="1"/>
  <c r="H1517" i="4" s="1"/>
  <c r="G1518" i="4" a="1"/>
  <c r="G1518" i="4" s="1"/>
  <c r="I1518" i="4" a="1"/>
  <c r="I1518" i="4" s="1"/>
  <c r="G1519" i="4" a="1"/>
  <c r="G1519" i="4" s="1"/>
  <c r="I1519" i="4" s="1" a="1"/>
  <c r="I1519" i="4" s="1"/>
  <c r="H1519" i="4" s="1"/>
  <c r="G1520" i="4" a="1"/>
  <c r="G1520" i="4" s="1"/>
  <c r="I1520" i="4" a="1"/>
  <c r="I1520" i="4" s="1"/>
  <c r="G1521" i="4" a="1"/>
  <c r="G1521" i="4" s="1"/>
  <c r="I1521" i="4" s="1" a="1"/>
  <c r="I1521" i="4" s="1"/>
  <c r="H1521" i="4" s="1"/>
  <c r="G1522" i="4" a="1"/>
  <c r="G1522" i="4" s="1"/>
  <c r="I1522" i="4" a="1"/>
  <c r="I1522" i="4" s="1"/>
  <c r="G1523" i="4" a="1"/>
  <c r="G1523" i="4" s="1"/>
  <c r="I1523" i="4" s="1" a="1"/>
  <c r="I1523" i="4" s="1"/>
  <c r="H1523" i="4" s="1"/>
  <c r="G1524" i="4" a="1"/>
  <c r="G1524" i="4" s="1"/>
  <c r="I1524" i="4" a="1"/>
  <c r="I1524" i="4" s="1"/>
  <c r="G1525" i="4" a="1"/>
  <c r="G1525" i="4" s="1"/>
  <c r="I1525" i="4" s="1" a="1"/>
  <c r="I1525" i="4" s="1"/>
  <c r="H1525" i="4" s="1"/>
  <c r="G1526" i="4" a="1"/>
  <c r="G1526" i="4" s="1"/>
  <c r="I1526" i="4" a="1"/>
  <c r="I1526" i="4" s="1"/>
  <c r="G1527" i="4" a="1"/>
  <c r="G1527" i="4" s="1"/>
  <c r="I1527" i="4" s="1" a="1"/>
  <c r="I1527" i="4" s="1"/>
  <c r="H1527" i="4" s="1"/>
  <c r="G1528" i="4" a="1"/>
  <c r="G1528" i="4" s="1"/>
  <c r="I1528" i="4" s="1" a="1"/>
  <c r="I1528" i="4" s="1"/>
  <c r="H1528" i="4" s="1"/>
  <c r="G1529" i="4" a="1"/>
  <c r="G1529" i="4" s="1"/>
  <c r="I1529" i="4" s="1" a="1"/>
  <c r="I1529" i="4" s="1"/>
  <c r="H1529" i="4" s="1"/>
  <c r="G1530" i="4" a="1"/>
  <c r="G1530" i="4" s="1"/>
  <c r="I1530" i="4" a="1"/>
  <c r="I1530" i="4" s="1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E1111" i="4"/>
  <c r="E1112" i="4"/>
  <c r="E1113" i="4"/>
  <c r="E1114" i="4"/>
  <c r="E1115" i="4"/>
  <c r="E1116" i="4"/>
  <c r="E1117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E1167" i="4"/>
  <c r="E1168" i="4"/>
  <c r="E1169" i="4"/>
  <c r="E1170" i="4"/>
  <c r="E1171" i="4"/>
  <c r="E1172" i="4"/>
  <c r="E1173" i="4"/>
  <c r="E1174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E1199" i="4"/>
  <c r="E1200" i="4"/>
  <c r="E1201" i="4"/>
  <c r="E1202" i="4"/>
  <c r="E1203" i="4"/>
  <c r="E1204" i="4"/>
  <c r="E1205" i="4"/>
  <c r="E1206" i="4"/>
  <c r="E1207" i="4"/>
  <c r="E1208" i="4"/>
  <c r="E1209" i="4"/>
  <c r="E1210" i="4"/>
  <c r="E1211" i="4"/>
  <c r="E1212" i="4"/>
  <c r="E1213" i="4"/>
  <c r="E1214" i="4"/>
  <c r="E1215" i="4"/>
  <c r="E1216" i="4"/>
  <c r="E1217" i="4"/>
  <c r="E1218" i="4"/>
  <c r="E1219" i="4"/>
  <c r="E1220" i="4"/>
  <c r="E1221" i="4"/>
  <c r="E1222" i="4"/>
  <c r="E1223" i="4"/>
  <c r="E1224" i="4"/>
  <c r="E1225" i="4"/>
  <c r="E1226" i="4"/>
  <c r="E1227" i="4"/>
  <c r="E1228" i="4"/>
  <c r="E1229" i="4"/>
  <c r="E1230" i="4"/>
  <c r="E1231" i="4"/>
  <c r="E1232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E1253" i="4"/>
  <c r="E1254" i="4"/>
  <c r="E1255" i="4"/>
  <c r="E1256" i="4"/>
  <c r="E1257" i="4"/>
  <c r="E1258" i="4"/>
  <c r="E1259" i="4"/>
  <c r="E1260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6" i="4"/>
  <c r="E1287" i="4"/>
  <c r="E1288" i="4"/>
  <c r="E1289" i="4"/>
  <c r="E1290" i="4"/>
  <c r="E1291" i="4"/>
  <c r="E1292" i="4"/>
  <c r="E1293" i="4"/>
  <c r="E1294" i="4"/>
  <c r="E1295" i="4"/>
  <c r="E1296" i="4"/>
  <c r="E1297" i="4"/>
  <c r="E1298" i="4"/>
  <c r="E1299" i="4"/>
  <c r="E1300" i="4"/>
  <c r="E130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E1318" i="4"/>
  <c r="E1319" i="4"/>
  <c r="E1320" i="4"/>
  <c r="E1321" i="4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2" i="4"/>
  <c r="E1343" i="4"/>
  <c r="E1344" i="4"/>
  <c r="E1345" i="4"/>
  <c r="E1346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E1404" i="4"/>
  <c r="E1405" i="4"/>
  <c r="E1406" i="4"/>
  <c r="E1407" i="4"/>
  <c r="E1408" i="4"/>
  <c r="E1409" i="4"/>
  <c r="E1410" i="4"/>
  <c r="E1411" i="4"/>
  <c r="E1412" i="4"/>
  <c r="E1413" i="4"/>
  <c r="E1414" i="4"/>
  <c r="E1415" i="4"/>
  <c r="E1416" i="4"/>
  <c r="E1417" i="4"/>
  <c r="E1418" i="4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E1432" i="4"/>
  <c r="E1433" i="4"/>
  <c r="E1434" i="4"/>
  <c r="E1435" i="4"/>
  <c r="E1436" i="4"/>
  <c r="E1437" i="4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E1454" i="4"/>
  <c r="E1455" i="4"/>
  <c r="E1456" i="4"/>
  <c r="E1457" i="4"/>
  <c r="E1458" i="4"/>
  <c r="E1459" i="4"/>
  <c r="E1460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4" i="4"/>
  <c r="E1475" i="4"/>
  <c r="E1476" i="4"/>
  <c r="E1477" i="4"/>
  <c r="E1478" i="4"/>
  <c r="E1479" i="4"/>
  <c r="E1480" i="4"/>
  <c r="E1481" i="4"/>
  <c r="E1482" i="4"/>
  <c r="E1483" i="4"/>
  <c r="E1484" i="4"/>
  <c r="E1485" i="4"/>
  <c r="E1486" i="4"/>
  <c r="E1487" i="4"/>
  <c r="E1488" i="4"/>
  <c r="E1489" i="4"/>
  <c r="E1490" i="4"/>
  <c r="E1491" i="4"/>
  <c r="E1492" i="4"/>
  <c r="E1493" i="4"/>
  <c r="E1494" i="4"/>
  <c r="E1495" i="4"/>
  <c r="E1496" i="4"/>
  <c r="E1497" i="4"/>
  <c r="E1498" i="4"/>
  <c r="E1499" i="4"/>
  <c r="E1500" i="4"/>
  <c r="E1501" i="4"/>
  <c r="E1502" i="4"/>
  <c r="E1503" i="4"/>
  <c r="E1504" i="4"/>
  <c r="E1505" i="4"/>
  <c r="E1506" i="4"/>
  <c r="E1507" i="4"/>
  <c r="E1508" i="4"/>
  <c r="E1509" i="4"/>
  <c r="E1510" i="4"/>
  <c r="E1511" i="4"/>
  <c r="E1512" i="4"/>
  <c r="E1513" i="4"/>
  <c r="E1514" i="4"/>
  <c r="E1515" i="4"/>
  <c r="E1516" i="4"/>
  <c r="E1517" i="4"/>
  <c r="E1518" i="4"/>
  <c r="E1519" i="4"/>
  <c r="E1520" i="4"/>
  <c r="E1521" i="4"/>
  <c r="E1522" i="4"/>
  <c r="E1523" i="4"/>
  <c r="E1524" i="4"/>
  <c r="E1525" i="4"/>
  <c r="E1526" i="4"/>
  <c r="E1527" i="4"/>
  <c r="E1528" i="4"/>
  <c r="E1529" i="4"/>
  <c r="E1530" i="4"/>
  <c r="H74" i="4" l="1"/>
  <c r="H38" i="4"/>
  <c r="H1489" i="4"/>
  <c r="H1531" i="4"/>
  <c r="H1536" i="4"/>
  <c r="H1123" i="4"/>
  <c r="H1355" i="4"/>
  <c r="H595" i="4"/>
  <c r="H202" i="4"/>
  <c r="H919" i="4"/>
  <c r="H867" i="4"/>
  <c r="H687" i="4"/>
  <c r="H4" i="4"/>
  <c r="H576" i="4"/>
  <c r="H918" i="4"/>
  <c r="H846" i="4"/>
  <c r="H1320" i="4"/>
  <c r="H1282" i="4"/>
  <c r="H719" i="4"/>
  <c r="H425" i="4"/>
  <c r="H319" i="4"/>
  <c r="H967" i="4"/>
  <c r="H381" i="4"/>
  <c r="H1215" i="4"/>
  <c r="H847" i="4"/>
  <c r="H713" i="4"/>
  <c r="H682" i="4"/>
  <c r="H542" i="4"/>
  <c r="H481" i="4"/>
  <c r="H305" i="4"/>
  <c r="H154" i="4"/>
  <c r="H11" i="4"/>
  <c r="H701" i="4"/>
  <c r="H485" i="4"/>
  <c r="H59" i="4"/>
  <c r="H1054" i="4"/>
  <c r="H974" i="4"/>
  <c r="H697" i="4"/>
  <c r="H647" i="4"/>
  <c r="H1390" i="4"/>
  <c r="H1328" i="4"/>
  <c r="H1211" i="4"/>
  <c r="H1107" i="4"/>
  <c r="H870" i="4"/>
  <c r="H752" i="4"/>
  <c r="H826" i="4"/>
  <c r="H396" i="4"/>
  <c r="H290" i="4"/>
  <c r="H257" i="4"/>
  <c r="H248" i="4"/>
  <c r="H55" i="4"/>
  <c r="H48" i="4"/>
  <c r="H1475" i="4"/>
  <c r="H1465" i="4"/>
  <c r="H1436" i="4"/>
  <c r="H1408" i="4"/>
  <c r="H1166" i="4"/>
  <c r="H854" i="4"/>
  <c r="H612" i="4"/>
  <c r="H465" i="4"/>
  <c r="H197" i="4"/>
  <c r="H188" i="4"/>
  <c r="H1356" i="4"/>
  <c r="H386" i="4"/>
  <c r="H112" i="4"/>
  <c r="H95" i="4"/>
  <c r="H77" i="4"/>
  <c r="H1450" i="4"/>
  <c r="H1317" i="4"/>
  <c r="H1301" i="4"/>
  <c r="H931" i="4"/>
  <c r="H883" i="4"/>
  <c r="H758" i="4"/>
  <c r="H728" i="4"/>
  <c r="H699" i="4"/>
  <c r="H643" i="4"/>
  <c r="H280" i="4"/>
  <c r="H209" i="4"/>
  <c r="H99" i="4"/>
  <c r="H34" i="4"/>
  <c r="H1492" i="4"/>
  <c r="H1375" i="4"/>
  <c r="H912" i="4"/>
  <c r="H886" i="4"/>
  <c r="H845" i="4"/>
  <c r="H842" i="4"/>
  <c r="H839" i="4"/>
  <c r="H735" i="4"/>
  <c r="H712" i="4"/>
  <c r="H560" i="4"/>
  <c r="H417" i="4"/>
  <c r="H276" i="4"/>
  <c r="H76" i="4"/>
  <c r="H41" i="4"/>
  <c r="H820" i="4"/>
  <c r="H194" i="4"/>
  <c r="H163" i="4"/>
  <c r="H49" i="4"/>
  <c r="H1526" i="4"/>
  <c r="H1513" i="4"/>
  <c r="H1497" i="4"/>
  <c r="H1345" i="4"/>
  <c r="H1337" i="4"/>
  <c r="H1310" i="4"/>
  <c r="H1121" i="4"/>
  <c r="H1086" i="4"/>
  <c r="H1051" i="4"/>
  <c r="H1142" i="4"/>
  <c r="H1461" i="4"/>
  <c r="H1477" i="4"/>
  <c r="H1316" i="4"/>
  <c r="H1260" i="4"/>
  <c r="H1067" i="4"/>
  <c r="H1491" i="4"/>
  <c r="H1481" i="4"/>
  <c r="H1281" i="4"/>
  <c r="H1225" i="4"/>
  <c r="H1127" i="4"/>
  <c r="H1049" i="4"/>
  <c r="H1338" i="4"/>
  <c r="H1284" i="4"/>
  <c r="H1203" i="4"/>
  <c r="H1080" i="4"/>
  <c r="H1315" i="4"/>
  <c r="H1311" i="4"/>
  <c r="H1294" i="4"/>
  <c r="H1272" i="4"/>
  <c r="H1259" i="4"/>
  <c r="H1180" i="4"/>
  <c r="H1117" i="4"/>
  <c r="H1091" i="4"/>
  <c r="H1083" i="4"/>
  <c r="H1065" i="4"/>
  <c r="H792" i="4"/>
  <c r="H714" i="4"/>
  <c r="H621" i="4"/>
  <c r="H474" i="4"/>
  <c r="H314" i="4"/>
  <c r="H308" i="4"/>
  <c r="H258" i="4"/>
  <c r="H242" i="4"/>
  <c r="H199" i="4"/>
  <c r="H165" i="4"/>
  <c r="H156" i="4"/>
  <c r="H152" i="4"/>
  <c r="H149" i="4"/>
  <c r="H146" i="4"/>
  <c r="H139" i="4"/>
  <c r="H132" i="4"/>
  <c r="H90" i="4"/>
  <c r="H27" i="4"/>
  <c r="H19" i="4"/>
  <c r="H803" i="4"/>
  <c r="H795" i="4"/>
  <c r="H763" i="4"/>
  <c r="H738" i="4"/>
  <c r="H717" i="4"/>
  <c r="H527" i="4"/>
  <c r="H509" i="4"/>
  <c r="H266" i="4"/>
  <c r="H262" i="4"/>
  <c r="H211" i="4"/>
  <c r="H168" i="4"/>
  <c r="H891" i="4"/>
  <c r="H880" i="4"/>
  <c r="H851" i="4"/>
  <c r="H730" i="4"/>
  <c r="H642" i="4"/>
  <c r="H633" i="4"/>
  <c r="H617" i="4"/>
  <c r="H577" i="4"/>
  <c r="H400" i="4"/>
  <c r="H304" i="4"/>
  <c r="H296" i="4"/>
  <c r="H141" i="4"/>
  <c r="H80" i="4"/>
  <c r="H45" i="4"/>
  <c r="H13" i="4"/>
  <c r="H696" i="4"/>
  <c r="H343" i="4"/>
  <c r="H313" i="4"/>
  <c r="H310" i="4"/>
  <c r="H233" i="4"/>
  <c r="H222" i="4"/>
  <c r="H109" i="4"/>
  <c r="H52" i="4"/>
  <c r="H33" i="4"/>
  <c r="H924" i="4"/>
  <c r="H685" i="4"/>
  <c r="H635" i="4"/>
  <c r="H466" i="4"/>
  <c r="H136" i="4"/>
  <c r="H133" i="4"/>
  <c r="H79" i="4"/>
  <c r="H28" i="4"/>
  <c r="H20" i="4"/>
  <c r="H1115" i="4"/>
  <c r="H1093" i="4"/>
  <c r="H1088" i="4"/>
  <c r="H933" i="4"/>
  <c r="H930" i="4"/>
  <c r="H927" i="4"/>
  <c r="H893" i="4"/>
  <c r="H875" i="4"/>
  <c r="H864" i="4"/>
  <c r="H836" i="4"/>
  <c r="H830" i="4"/>
  <c r="H783" i="4"/>
  <c r="H715" i="4"/>
  <c r="H698" i="4"/>
  <c r="H681" i="4"/>
  <c r="H660" i="4"/>
  <c r="H586" i="4"/>
  <c r="H579" i="4"/>
  <c r="H567" i="4"/>
  <c r="H528" i="4"/>
  <c r="H506" i="4"/>
  <c r="H457" i="4"/>
  <c r="H420" i="4"/>
  <c r="H286" i="4"/>
  <c r="H271" i="4"/>
  <c r="H232" i="4"/>
  <c r="H228" i="4"/>
  <c r="H216" i="4"/>
  <c r="H191" i="4"/>
  <c r="H82" i="4"/>
  <c r="H58" i="4"/>
  <c r="H24" i="4"/>
  <c r="H541" i="4"/>
  <c r="H71" i="4"/>
  <c r="H35" i="4"/>
  <c r="H1507" i="4"/>
  <c r="H1444" i="4"/>
  <c r="H1386" i="4"/>
  <c r="H1382" i="4"/>
  <c r="H1340" i="4"/>
  <c r="H1333" i="4"/>
  <c r="H1297" i="4"/>
  <c r="H1270" i="4"/>
  <c r="H1256" i="4"/>
  <c r="H1238" i="4"/>
  <c r="H1520" i="4"/>
  <c r="H1510" i="4"/>
  <c r="H1499" i="4"/>
  <c r="H1487" i="4"/>
  <c r="H1452" i="4"/>
  <c r="H1410" i="4"/>
  <c r="H1354" i="4"/>
  <c r="H1343" i="4"/>
  <c r="H1304" i="4"/>
  <c r="H1300" i="4"/>
  <c r="H1252" i="4"/>
  <c r="H1241" i="4"/>
  <c r="H1235" i="4"/>
  <c r="H1217" i="4"/>
  <c r="H1182" i="4"/>
  <c r="H1468" i="4"/>
  <c r="H1429" i="4"/>
  <c r="H1413" i="4"/>
  <c r="H1325" i="4"/>
  <c r="H1293" i="4"/>
  <c r="H1286" i="4"/>
  <c r="H1283" i="4"/>
  <c r="H1280" i="4"/>
  <c r="H1172" i="4"/>
  <c r="H1132" i="4"/>
  <c r="H1530" i="4"/>
  <c r="H1512" i="4"/>
  <c r="H1494" i="4"/>
  <c r="H1522" i="4"/>
  <c r="H1483" i="4"/>
  <c r="H1479" i="4"/>
  <c r="H1417" i="4"/>
  <c r="H1381" i="4"/>
  <c r="H1378" i="4"/>
  <c r="H1332" i="4"/>
  <c r="H1296" i="4"/>
  <c r="H1276" i="4"/>
  <c r="H1265" i="4"/>
  <c r="H1227" i="4"/>
  <c r="H1223" i="4"/>
  <c r="H1144" i="4"/>
  <c r="H1140" i="4"/>
  <c r="H1113" i="4"/>
  <c r="H1109" i="4"/>
  <c r="H1105" i="4"/>
  <c r="H1101" i="4"/>
  <c r="H1442" i="4"/>
  <c r="H1404" i="4"/>
  <c r="H1396" i="4"/>
  <c r="H1388" i="4"/>
  <c r="H1302" i="4"/>
  <c r="H1254" i="4"/>
  <c r="H1164" i="4"/>
  <c r="H1485" i="4"/>
  <c r="H1306" i="4"/>
  <c r="H1298" i="4"/>
  <c r="H1268" i="4"/>
  <c r="H1233" i="4"/>
  <c r="H1219" i="4"/>
  <c r="H1174" i="4"/>
  <c r="H1518" i="4"/>
  <c r="H1458" i="4"/>
  <c r="H1419" i="4"/>
  <c r="H1415" i="4"/>
  <c r="H1380" i="4"/>
  <c r="H1377" i="4"/>
  <c r="H1352" i="4"/>
  <c r="H1348" i="4"/>
  <c r="H1327" i="4"/>
  <c r="H1313" i="4"/>
  <c r="H1278" i="4"/>
  <c r="H1275" i="4"/>
  <c r="H1236" i="4"/>
  <c r="H1138" i="4"/>
  <c r="H1134" i="4"/>
  <c r="H1087" i="4"/>
  <c r="H1084" i="4"/>
  <c r="H1053" i="4"/>
  <c r="H1004" i="4"/>
  <c r="H928" i="4"/>
  <c r="H890" i="4"/>
  <c r="H874" i="4"/>
  <c r="H858" i="4"/>
  <c r="H852" i="4"/>
  <c r="H840" i="4"/>
  <c r="H824" i="4"/>
  <c r="H805" i="4"/>
  <c r="H802" i="4"/>
  <c r="H765" i="4"/>
  <c r="H762" i="4"/>
  <c r="H756" i="4"/>
  <c r="H749" i="4"/>
  <c r="H746" i="4"/>
  <c r="H716" i="4"/>
  <c r="H700" i="4"/>
  <c r="H674" i="4"/>
  <c r="H611" i="4"/>
  <c r="H1097" i="4"/>
  <c r="H1077" i="4"/>
  <c r="H1071" i="4"/>
  <c r="H1034" i="4"/>
  <c r="H1027" i="4"/>
  <c r="H1007" i="4"/>
  <c r="H996" i="4"/>
  <c r="H990" i="4"/>
  <c r="H971" i="4"/>
  <c r="H909" i="4"/>
  <c r="H906" i="4"/>
  <c r="H900" i="4"/>
  <c r="H877" i="4"/>
  <c r="H861" i="4"/>
  <c r="H855" i="4"/>
  <c r="H808" i="4"/>
  <c r="H789" i="4"/>
  <c r="H786" i="4"/>
  <c r="H780" i="4"/>
  <c r="H774" i="4"/>
  <c r="H768" i="4"/>
  <c r="H759" i="4"/>
  <c r="H725" i="4"/>
  <c r="H722" i="4"/>
  <c r="H709" i="4"/>
  <c r="H706" i="4"/>
  <c r="H693" i="4"/>
  <c r="H690" i="4"/>
  <c r="H677" i="4"/>
  <c r="H1052" i="4"/>
  <c r="H989" i="4"/>
  <c r="H944" i="4"/>
  <c r="H940" i="4"/>
  <c r="H848" i="4"/>
  <c r="H813" i="4"/>
  <c r="H810" i="4"/>
  <c r="H804" i="4"/>
  <c r="H773" i="4"/>
  <c r="H770" i="4"/>
  <c r="H764" i="4"/>
  <c r="H755" i="4"/>
  <c r="H748" i="4"/>
  <c r="H1160" i="4"/>
  <c r="H1148" i="4"/>
  <c r="H1069" i="4"/>
  <c r="H1044" i="4"/>
  <c r="H1036" i="4"/>
  <c r="H1033" i="4"/>
  <c r="H998" i="4"/>
  <c r="H995" i="4"/>
  <c r="H992" i="4"/>
  <c r="H951" i="4"/>
  <c r="H917" i="4"/>
  <c r="H914" i="4"/>
  <c r="H908" i="4"/>
  <c r="H902" i="4"/>
  <c r="H899" i="4"/>
  <c r="H896" i="4"/>
  <c r="H882" i="4"/>
  <c r="H866" i="4"/>
  <c r="H860" i="4"/>
  <c r="H797" i="4"/>
  <c r="H794" i="4"/>
  <c r="H788" i="4"/>
  <c r="H782" i="4"/>
  <c r="H779" i="4"/>
  <c r="H776" i="4"/>
  <c r="H751" i="4"/>
  <c r="H727" i="4"/>
  <c r="H724" i="4"/>
  <c r="H721" i="4"/>
  <c r="H711" i="4"/>
  <c r="H708" i="4"/>
  <c r="H692" i="4"/>
  <c r="H676" i="4"/>
  <c r="H669" i="4"/>
  <c r="H666" i="4"/>
  <c r="H655" i="4"/>
  <c r="H589" i="4"/>
  <c r="H1085" i="4"/>
  <c r="H1082" i="4"/>
  <c r="H1079" i="4"/>
  <c r="H1005" i="4"/>
  <c r="H932" i="4"/>
  <c r="H926" i="4"/>
  <c r="H923" i="4"/>
  <c r="H920" i="4"/>
  <c r="H911" i="4"/>
  <c r="H885" i="4"/>
  <c r="H869" i="4"/>
  <c r="H853" i="4"/>
  <c r="H850" i="4"/>
  <c r="H844" i="4"/>
  <c r="H835" i="4"/>
  <c r="H832" i="4"/>
  <c r="H822" i="4"/>
  <c r="H816" i="4"/>
  <c r="H791" i="4"/>
  <c r="H757" i="4"/>
  <c r="H744" i="4"/>
  <c r="H737" i="4"/>
  <c r="H1028" i="4"/>
  <c r="H1008" i="4"/>
  <c r="H997" i="4"/>
  <c r="H994" i="4"/>
  <c r="H965" i="4"/>
  <c r="H946" i="4"/>
  <c r="H901" i="4"/>
  <c r="H898" i="4"/>
  <c r="H888" i="4"/>
  <c r="H872" i="4"/>
  <c r="H856" i="4"/>
  <c r="H828" i="4"/>
  <c r="H812" i="4"/>
  <c r="H800" i="4"/>
  <c r="H781" i="4"/>
  <c r="H778" i="4"/>
  <c r="H772" i="4"/>
  <c r="H760" i="4"/>
  <c r="H740" i="4"/>
  <c r="H658" i="4"/>
  <c r="H1136" i="4"/>
  <c r="H1125" i="4"/>
  <c r="H1095" i="4"/>
  <c r="H1075" i="4"/>
  <c r="H1061" i="4"/>
  <c r="H1043" i="4"/>
  <c r="H1035" i="4"/>
  <c r="H949" i="4"/>
  <c r="H938" i="4"/>
  <c r="H925" i="4"/>
  <c r="H922" i="4"/>
  <c r="H916" i="4"/>
  <c r="H907" i="4"/>
  <c r="H904" i="4"/>
  <c r="H895" i="4"/>
  <c r="H878" i="4"/>
  <c r="H862" i="4"/>
  <c r="H837" i="4"/>
  <c r="H834" i="4"/>
  <c r="H821" i="4"/>
  <c r="H818" i="4"/>
  <c r="H796" i="4"/>
  <c r="H790" i="4"/>
  <c r="H787" i="4"/>
  <c r="H784" i="4"/>
  <c r="H775" i="4"/>
  <c r="H707" i="4"/>
  <c r="H671" i="4"/>
  <c r="H668" i="4"/>
  <c r="H665" i="4"/>
  <c r="H645" i="4"/>
  <c r="H596" i="4"/>
  <c r="H588" i="4"/>
  <c r="H530" i="4"/>
  <c r="H508" i="4"/>
  <c r="H500" i="4"/>
  <c r="H490" i="4"/>
  <c r="H480" i="4"/>
  <c r="H476" i="4"/>
  <c r="H419" i="4"/>
  <c r="H416" i="4"/>
  <c r="H412" i="4"/>
  <c r="H395" i="4"/>
  <c r="H392" i="4"/>
  <c r="H388" i="4"/>
  <c r="H380" i="4"/>
  <c r="H356" i="4"/>
  <c r="H322" i="4"/>
  <c r="H172" i="4"/>
  <c r="H144" i="4"/>
  <c r="H118" i="4"/>
  <c r="H44" i="4"/>
  <c r="H40" i="4"/>
  <c r="H6" i="4"/>
  <c r="H652" i="4"/>
  <c r="H644" i="4"/>
  <c r="H629" i="4"/>
  <c r="H619" i="4"/>
  <c r="H615" i="4"/>
  <c r="H585" i="4"/>
  <c r="H572" i="4"/>
  <c r="H565" i="4"/>
  <c r="H562" i="4"/>
  <c r="H554" i="4"/>
  <c r="H547" i="4"/>
  <c r="H522" i="4"/>
  <c r="H497" i="4"/>
  <c r="H493" i="4"/>
  <c r="H472" i="4"/>
  <c r="H452" i="4"/>
  <c r="H449" i="4"/>
  <c r="H445" i="4"/>
  <c r="H409" i="4"/>
  <c r="H376" i="4"/>
  <c r="H359" i="4"/>
  <c r="H281" i="4"/>
  <c r="H260" i="4"/>
  <c r="H220" i="4"/>
  <c r="H217" i="4"/>
  <c r="H200" i="4"/>
  <c r="H189" i="4"/>
  <c r="H175" i="4"/>
  <c r="H157" i="4"/>
  <c r="H124" i="4"/>
  <c r="H120" i="4"/>
  <c r="H103" i="4"/>
  <c r="H100" i="4"/>
  <c r="H96" i="4"/>
  <c r="H72" i="4"/>
  <c r="H60" i="4"/>
  <c r="H47" i="4"/>
  <c r="H12" i="4"/>
  <c r="H597" i="4"/>
  <c r="H581" i="4"/>
  <c r="H569" i="4"/>
  <c r="H536" i="4"/>
  <c r="H429" i="4"/>
  <c r="H365" i="4"/>
  <c r="H352" i="4"/>
  <c r="H334" i="4"/>
  <c r="H328" i="4"/>
  <c r="H306" i="4"/>
  <c r="H284" i="4"/>
  <c r="H238" i="4"/>
  <c r="H234" i="4"/>
  <c r="H207" i="4"/>
  <c r="H184" i="4"/>
  <c r="H178" i="4"/>
  <c r="H160" i="4"/>
  <c r="H150" i="4"/>
  <c r="H147" i="4"/>
  <c r="H134" i="4"/>
  <c r="H110" i="4"/>
  <c r="H107" i="4"/>
  <c r="H93" i="4"/>
  <c r="H56" i="4"/>
  <c r="H53" i="4"/>
  <c r="H50" i="4"/>
  <c r="H36" i="4"/>
  <c r="H8" i="4"/>
  <c r="H5" i="4"/>
  <c r="H600" i="4"/>
  <c r="H594" i="4"/>
  <c r="H587" i="4"/>
  <c r="H584" i="4"/>
  <c r="H578" i="4"/>
  <c r="H518" i="4"/>
  <c r="H511" i="4"/>
  <c r="H499" i="4"/>
  <c r="H496" i="4"/>
  <c r="H492" i="4"/>
  <c r="H482" i="4"/>
  <c r="H448" i="4"/>
  <c r="H440" i="4"/>
  <c r="H436" i="4"/>
  <c r="H433" i="4"/>
  <c r="H418" i="4"/>
  <c r="H415" i="4"/>
  <c r="H411" i="4"/>
  <c r="H408" i="4"/>
  <c r="H404" i="4"/>
  <c r="H397" i="4"/>
  <c r="H337" i="4"/>
  <c r="H324" i="4"/>
  <c r="H321" i="4"/>
  <c r="H318" i="4"/>
  <c r="H312" i="4"/>
  <c r="H298" i="4"/>
  <c r="H273" i="4"/>
  <c r="H270" i="4"/>
  <c r="H252" i="4"/>
  <c r="H244" i="4"/>
  <c r="H241" i="4"/>
  <c r="H213" i="4"/>
  <c r="H181" i="4"/>
  <c r="H171" i="4"/>
  <c r="H167" i="4"/>
  <c r="H140" i="4"/>
  <c r="H117" i="4"/>
  <c r="H68" i="4"/>
  <c r="H63" i="4"/>
  <c r="H43" i="4"/>
  <c r="H39" i="4"/>
  <c r="H32" i="4"/>
  <c r="H25" i="4"/>
  <c r="H18" i="4"/>
  <c r="H571" i="4"/>
  <c r="H564" i="4"/>
  <c r="H549" i="4"/>
  <c r="H546" i="4"/>
  <c r="H524" i="4"/>
  <c r="H514" i="4"/>
  <c r="H502" i="4"/>
  <c r="H488" i="4"/>
  <c r="H428" i="4"/>
  <c r="H375" i="4"/>
  <c r="H364" i="4"/>
  <c r="H361" i="4"/>
  <c r="H330" i="4"/>
  <c r="H173" i="4"/>
  <c r="H159" i="4"/>
  <c r="H7" i="4"/>
  <c r="H573" i="4"/>
  <c r="H555" i="4"/>
  <c r="H548" i="4"/>
  <c r="H520" i="4"/>
  <c r="H516" i="4"/>
  <c r="H450" i="4"/>
  <c r="H403" i="4"/>
  <c r="H350" i="4"/>
  <c r="H336" i="4"/>
  <c r="H320" i="4"/>
  <c r="H272" i="4"/>
  <c r="H254" i="4"/>
  <c r="H236" i="4"/>
  <c r="H218" i="4"/>
  <c r="H205" i="4"/>
  <c r="H125" i="4"/>
  <c r="H104" i="4"/>
  <c r="H101" i="4"/>
  <c r="H3" i="4"/>
  <c r="H627" i="4"/>
  <c r="H623" i="4"/>
  <c r="H592" i="4"/>
  <c r="H570" i="4"/>
  <c r="H545" i="4"/>
  <c r="H487" i="4"/>
  <c r="H460" i="4"/>
  <c r="H453" i="4"/>
  <c r="H442" i="4"/>
  <c r="H431" i="4"/>
  <c r="H427" i="4"/>
  <c r="H373" i="4"/>
  <c r="H369" i="4"/>
  <c r="H366" i="4"/>
  <c r="H353" i="4"/>
  <c r="H346" i="4"/>
  <c r="H332" i="4"/>
  <c r="H329" i="4"/>
  <c r="H326" i="4"/>
  <c r="H300" i="4"/>
  <c r="H279" i="4"/>
  <c r="H250" i="4"/>
  <c r="H225" i="4"/>
  <c r="H215" i="4"/>
  <c r="H208" i="4"/>
  <c r="H151" i="4"/>
  <c r="H135" i="4"/>
  <c r="H111" i="4"/>
  <c r="H94" i="4"/>
  <c r="H91" i="4"/>
  <c r="H16" i="4"/>
  <c r="H9" i="4"/>
  <c r="H729" i="4"/>
  <c r="H543" i="4"/>
  <c r="H1221" i="4"/>
  <c r="H694" i="4"/>
  <c r="H483" i="4"/>
  <c r="H309" i="4"/>
  <c r="H1245" i="4"/>
  <c r="H1229" i="4"/>
  <c r="H833" i="4"/>
  <c r="H801" i="4"/>
  <c r="H769" i="4"/>
  <c r="H710" i="4"/>
  <c r="H1503" i="4"/>
  <c r="H97" i="4"/>
  <c r="H929" i="4"/>
  <c r="H825" i="4"/>
  <c r="H750" i="4"/>
  <c r="H556" i="4"/>
  <c r="H1470" i="4"/>
  <c r="H921" i="4"/>
  <c r="H849" i="4"/>
  <c r="H785" i="4"/>
  <c r="H678" i="4"/>
  <c r="H662" i="4"/>
  <c r="H638" i="4"/>
  <c r="H590" i="4"/>
  <c r="H531" i="4"/>
  <c r="H283" i="4"/>
  <c r="H253" i="4"/>
  <c r="H227" i="4"/>
  <c r="H1334" i="4"/>
  <c r="H1454" i="4"/>
  <c r="H1446" i="4"/>
  <c r="H1438" i="4"/>
  <c r="H1318" i="4"/>
  <c r="H897" i="4"/>
  <c r="H809" i="4"/>
  <c r="H614" i="4"/>
  <c r="H598" i="4"/>
  <c r="H341" i="4"/>
  <c r="H317" i="4"/>
  <c r="H269" i="4"/>
  <c r="H201" i="4"/>
  <c r="H169" i="4"/>
  <c r="H121" i="4"/>
  <c r="H1089" i="4"/>
  <c r="H742" i="4"/>
  <c r="H726" i="4"/>
  <c r="H582" i="4"/>
  <c r="H574" i="4"/>
  <c r="H307" i="4"/>
  <c r="H285" i="4"/>
  <c r="H277" i="4"/>
  <c r="H229" i="4"/>
  <c r="H180" i="4"/>
  <c r="H985" i="4"/>
  <c r="H953" i="4"/>
  <c r="H913" i="4"/>
  <c r="H841" i="4"/>
  <c r="H777" i="4"/>
  <c r="H718" i="4"/>
  <c r="H459" i="4"/>
  <c r="H363" i="4"/>
  <c r="H291" i="4"/>
  <c r="H219" i="4"/>
  <c r="H1342" i="4"/>
  <c r="H1237" i="4"/>
  <c r="H1181" i="4"/>
  <c r="H993" i="4"/>
  <c r="H355" i="4"/>
  <c r="H331" i="4"/>
  <c r="H323" i="4"/>
  <c r="H1009" i="4"/>
  <c r="H857" i="4"/>
  <c r="H793" i="4"/>
  <c r="H761" i="4"/>
  <c r="H702" i="4"/>
  <c r="H349" i="4"/>
  <c r="H89" i="4"/>
  <c r="H1213" i="4"/>
  <c r="H905" i="4"/>
  <c r="H889" i="4"/>
  <c r="H881" i="4"/>
  <c r="H873" i="4"/>
  <c r="H865" i="4"/>
  <c r="H357" i="4"/>
  <c r="H333" i="4"/>
  <c r="H243" i="4"/>
  <c r="H237" i="4"/>
  <c r="H193" i="4"/>
  <c r="H153" i="4"/>
  <c r="H137" i="4"/>
  <c r="H129" i="4"/>
  <c r="H81" i="4"/>
  <c r="H73" i="4"/>
  <c r="H1462" i="4"/>
  <c r="H969" i="4"/>
  <c r="H817" i="4"/>
  <c r="H686" i="4"/>
  <c r="H670" i="4"/>
  <c r="H515" i="4"/>
  <c r="H315" i="4"/>
  <c r="H161" i="4"/>
  <c r="H145" i="4"/>
  <c r="H1501" i="4"/>
  <c r="H1516" i="4"/>
  <c r="H1524" i="4"/>
  <c r="H1509" i="4"/>
  <c r="H1495" i="4"/>
  <c r="H1435" i="4"/>
  <c r="H1403" i="4"/>
  <c r="H1383" i="4"/>
  <c r="H1321" i="4"/>
  <c r="H1312" i="4"/>
  <c r="H1309" i="4"/>
  <c r="H1353" i="4"/>
  <c r="H1336" i="4"/>
  <c r="H1331" i="4"/>
  <c r="H1463" i="4"/>
  <c r="H1335" i="4"/>
  <c r="H1330" i="4"/>
  <c r="H1472" i="4"/>
  <c r="H1456" i="4"/>
  <c r="H1448" i="4"/>
  <c r="H1440" i="4"/>
  <c r="H1376" i="4"/>
  <c r="H1319" i="4"/>
  <c r="H1314" i="4"/>
  <c r="H1379" i="4"/>
  <c r="H1351" i="4"/>
  <c r="H1344" i="4"/>
  <c r="H1329" i="4"/>
  <c r="H1323" i="4"/>
  <c r="H1392" i="4"/>
  <c r="H1384" i="4"/>
  <c r="H1399" i="4"/>
  <c r="H1081" i="4"/>
  <c r="H1170" i="4"/>
  <c r="H1119" i="4"/>
  <c r="H1099" i="4"/>
  <c r="H1243" i="4"/>
  <c r="H1240" i="4"/>
  <c r="H1231" i="4"/>
  <c r="H1176" i="4"/>
  <c r="H1267" i="4"/>
  <c r="H1234" i="4"/>
  <c r="H1263" i="4"/>
  <c r="H1242" i="4"/>
  <c r="H1239" i="4"/>
  <c r="H1178" i="4"/>
  <c r="H1162" i="4"/>
  <c r="H1111" i="4"/>
  <c r="H1202" i="4"/>
  <c r="H1146" i="4"/>
  <c r="H1130" i="4"/>
  <c r="H1168" i="4"/>
  <c r="H1103" i="4"/>
  <c r="H811" i="4"/>
  <c r="H806" i="4"/>
  <c r="H1073" i="4"/>
  <c r="H991" i="4"/>
  <c r="H934" i="4"/>
  <c r="H823" i="4"/>
  <c r="H799" i="4"/>
  <c r="H767" i="4"/>
  <c r="H754" i="4"/>
  <c r="H915" i="4"/>
  <c r="H910" i="4"/>
  <c r="H843" i="4"/>
  <c r="H838" i="4"/>
  <c r="H903" i="4"/>
  <c r="H887" i="4"/>
  <c r="H884" i="4"/>
  <c r="H879" i="4"/>
  <c r="H876" i="4"/>
  <c r="H871" i="4"/>
  <c r="H868" i="4"/>
  <c r="H863" i="4"/>
  <c r="H831" i="4"/>
  <c r="H771" i="4"/>
  <c r="H766" i="4"/>
  <c r="H753" i="4"/>
  <c r="H1006" i="4"/>
  <c r="H814" i="4"/>
  <c r="H942" i="4"/>
  <c r="H819" i="4"/>
  <c r="H807" i="4"/>
  <c r="H1063" i="4"/>
  <c r="H703" i="4"/>
  <c r="H691" i="4"/>
  <c r="H688" i="4"/>
  <c r="H672" i="4"/>
  <c r="H631" i="4"/>
  <c r="H608" i="4"/>
  <c r="H601" i="4"/>
  <c r="H731" i="4"/>
  <c r="H695" i="4"/>
  <c r="H683" i="4"/>
  <c r="H680" i="4"/>
  <c r="H667" i="4"/>
  <c r="H664" i="4"/>
  <c r="H561" i="4"/>
  <c r="H747" i="4"/>
  <c r="H607" i="4"/>
  <c r="H551" i="4"/>
  <c r="H679" i="4"/>
  <c r="H663" i="4"/>
  <c r="H625" i="4"/>
  <c r="H563" i="4"/>
  <c r="H723" i="4"/>
  <c r="H720" i="4"/>
  <c r="H705" i="4"/>
  <c r="H657" i="4"/>
  <c r="H649" i="4"/>
  <c r="H599" i="4"/>
  <c r="H583" i="4"/>
  <c r="H704" i="4"/>
  <c r="H689" i="4"/>
  <c r="H673" i="4"/>
  <c r="H609" i="4"/>
  <c r="H479" i="4"/>
  <c r="H544" i="4"/>
  <c r="H533" i="4"/>
  <c r="H494" i="4"/>
  <c r="H447" i="4"/>
  <c r="H399" i="4"/>
  <c r="H391" i="4"/>
  <c r="H478" i="4"/>
  <c r="H471" i="4"/>
  <c r="H439" i="4"/>
  <c r="H383" i="4"/>
  <c r="H552" i="4"/>
  <c r="H393" i="4"/>
  <c r="H390" i="4"/>
  <c r="H519" i="4"/>
  <c r="H513" i="4"/>
  <c r="H470" i="4"/>
  <c r="H455" i="4"/>
  <c r="H438" i="4"/>
  <c r="H406" i="4"/>
  <c r="H538" i="4"/>
  <c r="H535" i="4"/>
  <c r="H529" i="4"/>
  <c r="H501" i="4"/>
  <c r="H486" i="4"/>
  <c r="H421" i="4"/>
  <c r="H413" i="4"/>
  <c r="H405" i="4"/>
  <c r="H378" i="4"/>
  <c r="H553" i="4"/>
  <c r="H534" i="4"/>
  <c r="H521" i="4"/>
  <c r="H367" i="4"/>
  <c r="H327" i="4"/>
  <c r="H295" i="4"/>
  <c r="H239" i="4"/>
  <c r="H214" i="4"/>
  <c r="H362" i="4"/>
  <c r="H223" i="4"/>
  <c r="H370" i="4"/>
  <c r="H342" i="4"/>
  <c r="H311" i="4"/>
  <c r="H368" i="4"/>
  <c r="H263" i="4"/>
  <c r="H247" i="4"/>
  <c r="H231" i="4"/>
  <c r="H203" i="4"/>
  <c r="H75" i="4"/>
  <c r="H57" i="4"/>
  <c r="H17" i="4"/>
  <c r="H26" i="4"/>
  <c r="H54" i="4"/>
  <c r="H182" i="4"/>
  <c r="H177" i="4"/>
  <c r="H115" i="4"/>
  <c r="H51" i="4"/>
  <c r="H148" i="4"/>
  <c r="C2" i="11" a="1"/>
  <c r="C2" i="11" s="1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A797" i="10"/>
  <c r="A798" i="10"/>
  <c r="A799" i="10"/>
  <c r="A800" i="10"/>
  <c r="A801" i="10"/>
  <c r="A802" i="10"/>
  <c r="A803" i="10"/>
  <c r="A804" i="10"/>
  <c r="A805" i="10"/>
  <c r="A806" i="10"/>
  <c r="A807" i="10"/>
  <c r="A808" i="10"/>
  <c r="A809" i="10"/>
  <c r="A810" i="10"/>
  <c r="A811" i="10"/>
  <c r="A812" i="10"/>
  <c r="A813" i="10"/>
  <c r="A814" i="10"/>
  <c r="A815" i="10"/>
  <c r="A816" i="10"/>
  <c r="A817" i="10"/>
  <c r="A818" i="10"/>
  <c r="A819" i="10"/>
  <c r="A820" i="10"/>
  <c r="A821" i="10"/>
  <c r="A822" i="10"/>
  <c r="A823" i="10"/>
  <c r="A824" i="10"/>
  <c r="A825" i="10"/>
  <c r="A826" i="10"/>
  <c r="A827" i="10"/>
  <c r="A828" i="10"/>
  <c r="A829" i="10"/>
  <c r="A830" i="10"/>
  <c r="A831" i="10"/>
  <c r="A832" i="10"/>
  <c r="A833" i="10"/>
  <c r="A834" i="10"/>
  <c r="A835" i="10"/>
  <c r="A836" i="10"/>
  <c r="A837" i="10"/>
  <c r="A838" i="10"/>
  <c r="A839" i="10"/>
  <c r="A840" i="10"/>
  <c r="A841" i="10"/>
  <c r="A842" i="10"/>
  <c r="A843" i="10"/>
  <c r="A844" i="10"/>
  <c r="A845" i="10"/>
  <c r="A846" i="10"/>
  <c r="A847" i="10"/>
  <c r="A848" i="10"/>
  <c r="A849" i="10"/>
  <c r="A850" i="10"/>
  <c r="A851" i="10"/>
  <c r="A852" i="10"/>
  <c r="A853" i="10"/>
  <c r="A854" i="10"/>
  <c r="A855" i="10"/>
  <c r="A856" i="10"/>
  <c r="A857" i="10"/>
  <c r="A858" i="10"/>
  <c r="A859" i="10"/>
  <c r="A860" i="10"/>
  <c r="A861" i="10"/>
  <c r="A862" i="10"/>
  <c r="A863" i="10"/>
  <c r="A864" i="10"/>
  <c r="A865" i="10"/>
  <c r="A866" i="10"/>
  <c r="A867" i="10"/>
  <c r="A868" i="10"/>
  <c r="A869" i="10"/>
  <c r="A870" i="10"/>
  <c r="A871" i="10"/>
  <c r="A872" i="10"/>
  <c r="A873" i="10"/>
  <c r="A874" i="10"/>
  <c r="A875" i="10"/>
  <c r="A876" i="10"/>
  <c r="A877" i="10"/>
  <c r="A878" i="10"/>
  <c r="A879" i="10"/>
  <c r="A880" i="10"/>
  <c r="A881" i="10"/>
  <c r="A882" i="10"/>
  <c r="A883" i="10"/>
  <c r="A884" i="10"/>
  <c r="A885" i="10"/>
  <c r="A886" i="10"/>
  <c r="A887" i="10"/>
  <c r="A888" i="10"/>
  <c r="A889" i="10"/>
  <c r="A890" i="10"/>
  <c r="A891" i="10"/>
  <c r="A892" i="10"/>
  <c r="A893" i="10"/>
  <c r="A894" i="10"/>
  <c r="A895" i="10"/>
  <c r="A896" i="10"/>
  <c r="A897" i="10"/>
  <c r="A898" i="10"/>
  <c r="A899" i="10"/>
  <c r="A900" i="10"/>
  <c r="A901" i="10"/>
  <c r="A902" i="10"/>
  <c r="A903" i="10"/>
  <c r="A904" i="10"/>
  <c r="A905" i="10"/>
  <c r="A906" i="10"/>
  <c r="A907" i="10"/>
  <c r="A908" i="10"/>
  <c r="A909" i="10"/>
  <c r="A910" i="10"/>
  <c r="A911" i="10"/>
  <c r="A912" i="10"/>
  <c r="A913" i="10"/>
  <c r="A914" i="10"/>
  <c r="A915" i="10"/>
  <c r="A916" i="10"/>
  <c r="A917" i="10"/>
  <c r="A918" i="10"/>
  <c r="A919" i="10"/>
  <c r="A920" i="10"/>
  <c r="A921" i="10"/>
  <c r="A922" i="10"/>
  <c r="A923" i="10"/>
  <c r="A924" i="10"/>
  <c r="A925" i="10"/>
  <c r="A926" i="10"/>
  <c r="A927" i="10"/>
  <c r="A928" i="10"/>
  <c r="A929" i="10"/>
  <c r="A930" i="10"/>
  <c r="A931" i="10"/>
  <c r="A932" i="10"/>
  <c r="A933" i="10"/>
  <c r="A934" i="10"/>
  <c r="A935" i="10"/>
  <c r="A936" i="10"/>
  <c r="A937" i="10"/>
  <c r="A938" i="10"/>
  <c r="A939" i="10"/>
  <c r="A940" i="10"/>
  <c r="A941" i="10"/>
  <c r="A942" i="10"/>
  <c r="A943" i="10"/>
  <c r="A944" i="10"/>
  <c r="A945" i="10"/>
  <c r="A946" i="10"/>
  <c r="A947" i="10"/>
  <c r="A948" i="10"/>
  <c r="A949" i="10"/>
  <c r="A950" i="10"/>
  <c r="A951" i="10"/>
  <c r="A952" i="10"/>
  <c r="A953" i="10"/>
  <c r="A954" i="10"/>
  <c r="A955" i="10"/>
  <c r="A956" i="10"/>
  <c r="A957" i="10"/>
  <c r="A958" i="10"/>
  <c r="A959" i="10"/>
  <c r="A960" i="10"/>
  <c r="A961" i="10"/>
  <c r="A962" i="10"/>
  <c r="A963" i="10"/>
  <c r="A964" i="10"/>
  <c r="A965" i="10"/>
  <c r="A966" i="10"/>
  <c r="A967" i="10"/>
  <c r="A968" i="10"/>
  <c r="A969" i="10"/>
  <c r="A970" i="10"/>
  <c r="A971" i="10"/>
  <c r="A972" i="10"/>
  <c r="A973" i="10"/>
  <c r="A974" i="10"/>
  <c r="A975" i="10"/>
  <c r="A976" i="10"/>
  <c r="A977" i="10"/>
  <c r="A978" i="10"/>
  <c r="A979" i="10"/>
  <c r="A980" i="10"/>
  <c r="A981" i="10"/>
  <c r="A982" i="10"/>
  <c r="A983" i="10"/>
  <c r="A984" i="10"/>
  <c r="A985" i="10"/>
  <c r="A986" i="10"/>
  <c r="A987" i="10"/>
  <c r="A988" i="10"/>
  <c r="A989" i="10"/>
  <c r="A990" i="10"/>
  <c r="A991" i="10"/>
  <c r="A992" i="10"/>
  <c r="A993" i="10"/>
  <c r="A994" i="10"/>
  <c r="A995" i="10"/>
  <c r="A996" i="10"/>
  <c r="A997" i="10"/>
  <c r="A998" i="10"/>
  <c r="A999" i="10"/>
  <c r="A1000" i="10"/>
  <c r="A1001" i="10"/>
  <c r="A1002" i="10"/>
  <c r="A1003" i="10"/>
  <c r="A1004" i="10"/>
  <c r="A1005" i="10"/>
  <c r="A1006" i="10"/>
  <c r="A1007" i="10"/>
  <c r="A1008" i="10"/>
  <c r="A1009" i="10"/>
  <c r="A1010" i="10"/>
  <c r="A1011" i="10"/>
  <c r="A1012" i="10"/>
  <c r="A1013" i="10"/>
  <c r="A1014" i="10"/>
  <c r="A1015" i="10"/>
  <c r="A1016" i="10"/>
  <c r="A1017" i="10"/>
  <c r="A1018" i="10"/>
  <c r="A1019" i="10"/>
  <c r="A1020" i="10"/>
  <c r="A1021" i="10"/>
  <c r="A1022" i="10"/>
  <c r="A1023" i="10"/>
  <c r="A1024" i="10"/>
  <c r="A1025" i="10"/>
  <c r="A1026" i="10"/>
  <c r="A1027" i="10"/>
  <c r="A1028" i="10"/>
  <c r="A1029" i="10"/>
  <c r="A1030" i="10"/>
  <c r="A1031" i="10"/>
  <c r="A1032" i="10"/>
  <c r="A1033" i="10"/>
  <c r="A1034" i="10"/>
  <c r="A1035" i="10"/>
  <c r="A1036" i="10"/>
  <c r="A1037" i="10"/>
  <c r="A1038" i="10"/>
  <c r="A1039" i="10"/>
  <c r="A1040" i="10"/>
  <c r="A1041" i="10"/>
  <c r="A1042" i="10"/>
  <c r="A1043" i="10"/>
  <c r="A1044" i="10"/>
  <c r="A1045" i="10"/>
  <c r="A1046" i="10"/>
  <c r="A1047" i="10"/>
  <c r="A1048" i="10"/>
  <c r="A1049" i="10"/>
  <c r="A1050" i="10"/>
  <c r="A1051" i="10"/>
  <c r="A1052" i="10"/>
  <c r="A1053" i="10"/>
  <c r="A1054" i="10"/>
  <c r="A1055" i="10"/>
  <c r="A1056" i="10"/>
  <c r="A1057" i="10"/>
  <c r="A1058" i="10"/>
  <c r="A1059" i="10"/>
  <c r="A1060" i="10"/>
  <c r="A1061" i="10"/>
  <c r="A1062" i="10"/>
  <c r="A1063" i="10"/>
  <c r="A1064" i="10"/>
  <c r="A1065" i="10"/>
  <c r="A1066" i="10"/>
  <c r="A1067" i="10"/>
  <c r="A1068" i="10"/>
  <c r="A1069" i="10"/>
  <c r="A1070" i="10"/>
  <c r="A1071" i="10"/>
  <c r="A1072" i="10"/>
  <c r="A1073" i="10"/>
  <c r="A1074" i="10"/>
  <c r="A1075" i="10"/>
  <c r="A1076" i="10"/>
  <c r="A1077" i="10"/>
  <c r="A1078" i="10"/>
  <c r="A1079" i="10"/>
  <c r="A1080" i="10"/>
  <c r="A1081" i="10"/>
  <c r="A1082" i="10"/>
  <c r="A1083" i="10"/>
  <c r="A1084" i="10"/>
  <c r="A1085" i="10"/>
  <c r="A1086" i="10"/>
  <c r="A1087" i="10"/>
  <c r="A1088" i="10"/>
  <c r="A1089" i="10"/>
  <c r="A1090" i="10"/>
  <c r="A1091" i="10"/>
  <c r="A1092" i="10"/>
  <c r="A1093" i="10"/>
  <c r="A1094" i="10"/>
  <c r="A1095" i="10"/>
  <c r="A1096" i="10"/>
  <c r="A1097" i="10"/>
  <c r="A1098" i="10"/>
  <c r="A1099" i="10"/>
  <c r="A1100" i="10"/>
  <c r="A1101" i="10"/>
  <c r="A1102" i="10"/>
  <c r="A1103" i="10"/>
  <c r="A1104" i="10"/>
  <c r="A1105" i="10"/>
  <c r="A1106" i="10"/>
  <c r="A1107" i="10"/>
  <c r="A1108" i="10"/>
  <c r="A1109" i="10"/>
  <c r="A1110" i="10"/>
  <c r="A1111" i="10"/>
  <c r="A1112" i="10"/>
  <c r="A1113" i="10"/>
  <c r="A1114" i="10"/>
  <c r="A1115" i="10"/>
  <c r="A1116" i="10"/>
  <c r="A1117" i="10"/>
  <c r="A1118" i="10"/>
  <c r="A1119" i="10"/>
  <c r="A1120" i="10"/>
  <c r="A1121" i="10"/>
  <c r="A1122" i="10"/>
  <c r="A1123" i="10"/>
  <c r="A1124" i="10"/>
  <c r="A1125" i="10"/>
  <c r="A1126" i="10"/>
  <c r="A1127" i="10"/>
  <c r="A1128" i="10"/>
  <c r="A1129" i="10"/>
  <c r="A1130" i="10"/>
  <c r="A1131" i="10"/>
  <c r="A1132" i="10"/>
  <c r="A1133" i="10"/>
  <c r="A1134" i="10"/>
  <c r="A1135" i="10"/>
  <c r="A1136" i="10"/>
  <c r="A1137" i="10"/>
  <c r="A1138" i="10"/>
  <c r="A1139" i="10"/>
  <c r="A1140" i="10"/>
  <c r="A1141" i="10"/>
  <c r="A1142" i="10"/>
  <c r="A1143" i="10"/>
  <c r="A1144" i="10"/>
  <c r="A1145" i="10"/>
  <c r="A1146" i="10"/>
  <c r="A1147" i="10"/>
  <c r="A1148" i="10"/>
  <c r="A1149" i="10"/>
  <c r="A1150" i="10"/>
  <c r="A1151" i="10"/>
  <c r="A1152" i="10"/>
  <c r="A1153" i="10"/>
  <c r="A1154" i="10"/>
  <c r="A1155" i="10"/>
  <c r="A1156" i="10"/>
  <c r="A1157" i="10"/>
  <c r="A1158" i="10"/>
  <c r="A1159" i="10"/>
  <c r="A1160" i="10"/>
  <c r="A1161" i="10"/>
  <c r="A1162" i="10"/>
  <c r="A1163" i="10"/>
  <c r="A1164" i="10"/>
  <c r="A1165" i="10"/>
  <c r="A1166" i="10"/>
  <c r="A1167" i="10"/>
  <c r="A1168" i="10"/>
  <c r="A1169" i="10"/>
  <c r="A1170" i="10"/>
  <c r="A1171" i="10"/>
  <c r="A1172" i="10"/>
  <c r="A1173" i="10"/>
  <c r="A1174" i="10"/>
  <c r="A1175" i="10"/>
  <c r="A1176" i="10"/>
  <c r="A1177" i="10"/>
  <c r="A1178" i="10"/>
  <c r="A1179" i="10"/>
  <c r="A1180" i="10"/>
  <c r="A1181" i="10"/>
  <c r="A1182" i="10"/>
  <c r="A1183" i="10"/>
  <c r="A1184" i="10"/>
  <c r="A1185" i="10"/>
  <c r="A1186" i="10"/>
  <c r="A1187" i="10"/>
  <c r="A1188" i="10"/>
  <c r="A1189" i="10"/>
  <c r="A1190" i="10"/>
  <c r="A1191" i="10"/>
  <c r="A1192" i="10"/>
  <c r="A1193" i="10"/>
  <c r="A1194" i="10"/>
  <c r="A1195" i="10"/>
  <c r="A1196" i="10"/>
  <c r="A1197" i="10"/>
  <c r="A1198" i="10"/>
  <c r="A1199" i="10"/>
  <c r="A1200" i="10"/>
  <c r="A1201" i="10"/>
  <c r="A1202" i="10"/>
  <c r="A1203" i="10"/>
  <c r="A1204" i="10"/>
  <c r="A1205" i="10"/>
  <c r="A1206" i="10"/>
  <c r="A1207" i="10"/>
  <c r="A1208" i="10"/>
  <c r="A1209" i="10"/>
  <c r="A1210" i="10"/>
  <c r="A1211" i="10"/>
  <c r="A1212" i="10"/>
  <c r="A1213" i="10"/>
  <c r="A1214" i="10"/>
  <c r="A1215" i="10"/>
  <c r="A1216" i="10"/>
  <c r="A1217" i="10"/>
  <c r="A1218" i="10"/>
  <c r="A1219" i="10"/>
  <c r="A1220" i="10"/>
  <c r="A1221" i="10"/>
  <c r="A1222" i="10"/>
  <c r="A1223" i="10"/>
  <c r="A1224" i="10"/>
  <c r="A1225" i="10"/>
  <c r="A1226" i="10"/>
  <c r="A1227" i="10"/>
  <c r="A1228" i="10"/>
  <c r="A1229" i="10"/>
  <c r="A1230" i="10"/>
  <c r="A1231" i="10"/>
  <c r="D2" i="11" a="1"/>
  <c r="D2" i="11" s="1"/>
  <c r="B2" i="11" a="1"/>
  <c r="B2" i="11" s="1"/>
  <c r="B73" i="2"/>
  <c r="C73" i="2"/>
  <c r="B72" i="2" l="1"/>
  <c r="C72" i="2"/>
  <c r="B71" i="2"/>
  <c r="C71" i="2"/>
  <c r="B70" i="2" l="1"/>
  <c r="C70" i="2"/>
  <c r="B69" i="2"/>
  <c r="C69" i="2"/>
  <c r="B68" i="2"/>
  <c r="C68" i="2"/>
  <c r="B67" i="2"/>
  <c r="C67" i="2"/>
  <c r="B66" i="2"/>
  <c r="C66" i="2"/>
  <c r="B65" i="2"/>
  <c r="C65" i="2"/>
  <c r="B64" i="2"/>
  <c r="C64" i="2"/>
  <c r="B63" i="2"/>
  <c r="C63" i="2"/>
  <c r="I2" i="4" a="1"/>
  <c r="I2" i="4" s="1"/>
  <c r="B62" i="2" l="1"/>
  <c r="C62" i="2"/>
  <c r="Q12" i="10" l="1"/>
  <c r="C10" i="6"/>
  <c r="C12" i="10"/>
  <c r="J12" i="10"/>
  <c r="J14" i="10"/>
  <c r="Q14" i="10"/>
  <c r="B2" i="2" l="1"/>
  <c r="C2" i="2"/>
  <c r="K74" i="2"/>
  <c r="Q74" i="2"/>
  <c r="C14" i="10"/>
  <c r="D11" i="10" a="1"/>
  <c r="D11" i="10" s="1"/>
  <c r="C12" i="6"/>
  <c r="B4" i="2"/>
  <c r="C4" i="2"/>
  <c r="B11" i="2"/>
  <c r="C11" i="2"/>
  <c r="B28" i="2"/>
  <c r="C28" i="2"/>
  <c r="B29" i="2"/>
  <c r="C29" i="2"/>
  <c r="B3" i="7" l="1"/>
  <c r="G2" i="4" a="1"/>
  <c r="G2" i="4" s="1"/>
  <c r="E2" i="4"/>
  <c r="B53" i="2"/>
  <c r="C53" i="2"/>
  <c r="B50" i="2"/>
  <c r="C50" i="2"/>
  <c r="B49" i="2"/>
  <c r="C49" i="2"/>
  <c r="B48" i="2"/>
  <c r="C48" i="2"/>
  <c r="B47" i="2"/>
  <c r="C47" i="2"/>
  <c r="B44" i="2"/>
  <c r="C44" i="2"/>
  <c r="B42" i="2"/>
  <c r="C42" i="2"/>
  <c r="B37" i="2"/>
  <c r="C37" i="2"/>
  <c r="B25" i="2"/>
  <c r="C25" i="2"/>
  <c r="B23" i="2"/>
  <c r="C23" i="2"/>
  <c r="B18" i="2"/>
  <c r="C18" i="2"/>
  <c r="B5" i="2"/>
  <c r="C5" i="2"/>
  <c r="B6" i="2"/>
  <c r="C6" i="2"/>
  <c r="B7" i="2"/>
  <c r="C7" i="2"/>
  <c r="B8" i="2"/>
  <c r="C8" i="2"/>
  <c r="B9" i="2"/>
  <c r="C9" i="2"/>
  <c r="B10" i="2"/>
  <c r="C10" i="2"/>
  <c r="B12" i="2"/>
  <c r="C12" i="2"/>
  <c r="B13" i="2"/>
  <c r="C13" i="2"/>
  <c r="B14" i="2"/>
  <c r="C14" i="2"/>
  <c r="B16" i="2"/>
  <c r="C16" i="2"/>
  <c r="B17" i="2"/>
  <c r="C17" i="2"/>
  <c r="B15" i="2"/>
  <c r="C15" i="2"/>
  <c r="B19" i="2"/>
  <c r="C19" i="2"/>
  <c r="B20" i="2"/>
  <c r="C20" i="2"/>
  <c r="B21" i="2"/>
  <c r="C21" i="2"/>
  <c r="B22" i="2"/>
  <c r="C22" i="2"/>
  <c r="B24" i="2"/>
  <c r="C24" i="2"/>
  <c r="B26" i="2"/>
  <c r="C26" i="2"/>
  <c r="B27" i="2"/>
  <c r="C27" i="2"/>
  <c r="B30" i="2"/>
  <c r="C30" i="2"/>
  <c r="B31" i="2"/>
  <c r="C31" i="2"/>
  <c r="B32" i="2"/>
  <c r="C32" i="2"/>
  <c r="B34" i="2"/>
  <c r="C34" i="2"/>
  <c r="B33" i="2"/>
  <c r="C33" i="2"/>
  <c r="B35" i="2"/>
  <c r="C35" i="2"/>
  <c r="B36" i="2"/>
  <c r="C36" i="2"/>
  <c r="B38" i="2"/>
  <c r="C38" i="2"/>
  <c r="B39" i="2"/>
  <c r="C39" i="2"/>
  <c r="B40" i="2"/>
  <c r="C40" i="2"/>
  <c r="B41" i="2"/>
  <c r="C41" i="2"/>
  <c r="B43" i="2"/>
  <c r="C43" i="2"/>
  <c r="B45" i="2"/>
  <c r="C45" i="2"/>
  <c r="B46" i="2"/>
  <c r="C46" i="2"/>
  <c r="B51" i="2"/>
  <c r="C51" i="2"/>
  <c r="B52" i="2"/>
  <c r="C52" i="2"/>
  <c r="B54" i="2"/>
  <c r="C54" i="2"/>
  <c r="B55" i="2"/>
  <c r="C55" i="2"/>
  <c r="B56" i="2"/>
  <c r="C56" i="2"/>
  <c r="B57" i="2"/>
  <c r="C57" i="2"/>
  <c r="B58" i="2"/>
  <c r="C58" i="2"/>
  <c r="B59" i="2"/>
  <c r="C59" i="2"/>
  <c r="B60" i="2"/>
  <c r="C60" i="2"/>
  <c r="B61" i="2"/>
  <c r="C61" i="2"/>
  <c r="H2" i="4" l="1"/>
  <c r="D9" i="6" a="1"/>
  <c r="D9" i="6" s="1"/>
  <c r="C3" i="2"/>
  <c r="A73" i="2" s="1" a="1"/>
  <c r="A73" i="2" s="1"/>
  <c r="B3" i="2"/>
  <c r="B3" i="1"/>
  <c r="A71" i="2" l="1" a="1"/>
  <c r="A71" i="2" s="1"/>
  <c r="A72" i="2" a="1"/>
  <c r="A72" i="2" s="1"/>
  <c r="A68" i="2" a="1"/>
  <c r="A68" i="2" s="1"/>
  <c r="A69" i="2" a="1"/>
  <c r="A69" i="2" s="1"/>
  <c r="A67" i="2" a="1"/>
  <c r="A67" i="2" s="1"/>
  <c r="A65" i="2" a="1"/>
  <c r="A65" i="2" s="1"/>
  <c r="A66" i="2" a="1"/>
  <c r="A66" i="2" s="1"/>
  <c r="A63" i="2" a="1"/>
  <c r="A63" i="2" s="1"/>
  <c r="A64" i="2" a="1"/>
  <c r="A64" i="2" s="1"/>
  <c r="A4" i="2" a="1"/>
  <c r="A4" i="2" s="1"/>
  <c r="A62" i="2" a="1"/>
  <c r="A62" i="2" s="1"/>
  <c r="A2" i="2" a="1"/>
  <c r="A2" i="2" s="1"/>
  <c r="A28" i="2" a="1"/>
  <c r="A28" i="2" s="1"/>
  <c r="A11" i="2" a="1"/>
  <c r="A11" i="2" s="1"/>
  <c r="A29" i="2" a="1"/>
  <c r="A29" i="2" s="1"/>
  <c r="A53" i="2" a="1"/>
  <c r="A53" i="2" s="1"/>
  <c r="A50" i="2" a="1"/>
  <c r="A50" i="2" s="1"/>
  <c r="A48" i="2" a="1"/>
  <c r="A48" i="2" s="1"/>
  <c r="A47" i="2" a="1"/>
  <c r="A47" i="2" s="1"/>
  <c r="A44" i="2" a="1"/>
  <c r="A44" i="2" s="1"/>
  <c r="A42" i="2" a="1"/>
  <c r="A42" i="2" s="1"/>
  <c r="A23" i="2" a="1"/>
  <c r="A23" i="2" s="1"/>
  <c r="A18" i="2" a="1"/>
  <c r="A18" i="2" s="1"/>
  <c r="A13" i="2" a="1"/>
  <c r="A13" i="2" s="1"/>
  <c r="A58" i="2" a="1"/>
  <c r="A58" i="2" s="1"/>
  <c r="A35" i="2" a="1"/>
  <c r="A35" i="2" s="1"/>
  <c r="A7" i="2" a="1"/>
  <c r="A7" i="2" s="1"/>
  <c r="A41" i="2" a="1"/>
  <c r="A41" i="2" s="1"/>
  <c r="A16" i="2" a="1"/>
  <c r="A16" i="2" s="1"/>
  <c r="A34" i="2" a="1"/>
  <c r="A34" i="2" s="1"/>
  <c r="A57" i="2" a="1"/>
  <c r="A57" i="2" s="1"/>
  <c r="A40" i="2" a="1"/>
  <c r="A40" i="2" s="1"/>
  <c r="A21" i="2" a="1"/>
  <c r="A21" i="2" s="1"/>
  <c r="A32" i="2" a="1"/>
  <c r="A32" i="2" s="1"/>
  <c r="A3" i="2" a="1"/>
  <c r="A3" i="2" s="1"/>
  <c r="A6" i="2" a="1"/>
  <c r="A6" i="2" s="1"/>
  <c r="A17" i="2" a="1"/>
  <c r="A17" i="2" s="1"/>
  <c r="A14" i="2" a="1"/>
  <c r="A14" i="2" s="1"/>
  <c r="A54" i="2" a="1"/>
  <c r="A54" i="2" s="1"/>
  <c r="A55" i="2" a="1"/>
  <c r="A55" i="2" s="1"/>
  <c r="A38" i="2" a="1"/>
  <c r="A38" i="2" s="1"/>
  <c r="A9" i="2" a="1"/>
  <c r="A9" i="2" s="1"/>
  <c r="A12" i="2" a="1"/>
  <c r="A12" i="2" s="1"/>
  <c r="A5" i="2" a="1"/>
  <c r="A5" i="2" s="1"/>
  <c r="A22" i="2" a="1"/>
  <c r="A22" i="2" s="1"/>
  <c r="A39" i="2" a="1"/>
  <c r="A39" i="2" s="1"/>
  <c r="A24" i="2" a="1"/>
  <c r="A24" i="2" s="1"/>
  <c r="A15" i="2" a="1"/>
  <c r="A15" i="2" s="1"/>
  <c r="A61" i="2" a="1"/>
  <c r="A61" i="2" s="1"/>
  <c r="A56" i="2" a="1"/>
  <c r="A56" i="2" s="1"/>
  <c r="A8" i="2" a="1"/>
  <c r="A8" i="2" s="1"/>
  <c r="A45" i="2" a="1"/>
  <c r="A45" i="2" s="1"/>
  <c r="A27" i="2" a="1"/>
  <c r="A27" i="2" s="1"/>
  <c r="A51" i="2" a="1"/>
  <c r="A51" i="2" s="1"/>
  <c r="A20" i="2" a="1"/>
  <c r="A20" i="2" s="1"/>
  <c r="A10" i="2" a="1"/>
  <c r="A10" i="2" s="1"/>
  <c r="A46" i="2" a="1"/>
  <c r="A46" i="2" s="1"/>
  <c r="A19" i="2" a="1"/>
  <c r="A19" i="2" s="1"/>
  <c r="A43" i="2" a="1"/>
  <c r="A43" i="2" s="1"/>
  <c r="A52" i="2" a="1"/>
  <c r="A52" i="2" s="1"/>
  <c r="C1531" i="4" l="1" a="1"/>
  <c r="C1531" i="4" s="1"/>
  <c r="C1532" i="4" a="1"/>
  <c r="C1532" i="4" s="1"/>
  <c r="C1533" i="4" a="1"/>
  <c r="C1533" i="4" s="1"/>
  <c r="C1534" i="4" a="1"/>
  <c r="C1534" i="4" s="1"/>
  <c r="C1535" i="4" a="1"/>
  <c r="C1535" i="4" s="1"/>
  <c r="C1536" i="4" a="1"/>
  <c r="C1536" i="4" s="1"/>
  <c r="C1537" i="4" a="1"/>
  <c r="C1537" i="4" s="1"/>
  <c r="C614" i="4" a="1"/>
  <c r="C614" i="4" s="1"/>
  <c r="C621" i="4" a="1"/>
  <c r="C621" i="4" s="1"/>
  <c r="C628" i="4" a="1"/>
  <c r="C628" i="4" s="1"/>
  <c r="C636" i="4" a="1"/>
  <c r="C636" i="4" s="1"/>
  <c r="C642" i="4" a="1"/>
  <c r="C642" i="4" s="1"/>
  <c r="C649" i="4" a="1"/>
  <c r="C649" i="4" s="1"/>
  <c r="C656" i="4" a="1"/>
  <c r="C656" i="4" s="1"/>
  <c r="C664" i="4" a="1"/>
  <c r="C664" i="4" s="1"/>
  <c r="C671" i="4" a="1"/>
  <c r="C671" i="4" s="1"/>
  <c r="C678" i="4" a="1"/>
  <c r="C678" i="4" s="1"/>
  <c r="C693" i="4" a="1"/>
  <c r="C693" i="4" s="1"/>
  <c r="C701" i="4" a="1"/>
  <c r="C701" i="4" s="1"/>
  <c r="C707" i="4" a="1"/>
  <c r="C707" i="4" s="1"/>
  <c r="C714" i="4" a="1"/>
  <c r="C714" i="4" s="1"/>
  <c r="C722" i="4" a="1"/>
  <c r="C722" i="4" s="1"/>
  <c r="C730" i="4" a="1"/>
  <c r="C730" i="4" s="1"/>
  <c r="C737" i="4" a="1"/>
  <c r="C737" i="4" s="1"/>
  <c r="C743" i="4" a="1"/>
  <c r="C743" i="4" s="1"/>
  <c r="C751" i="4" a="1"/>
  <c r="C751" i="4" s="1"/>
  <c r="C759" i="4" a="1"/>
  <c r="C759" i="4" s="1"/>
  <c r="C766" i="4" a="1"/>
  <c r="C766" i="4" s="1"/>
  <c r="C773" i="4" a="1"/>
  <c r="C773" i="4" s="1"/>
  <c r="C780" i="4" a="1"/>
  <c r="C780" i="4" s="1"/>
  <c r="C788" i="4" a="1"/>
  <c r="C788" i="4" s="1"/>
  <c r="C796" i="4" a="1"/>
  <c r="C796" i="4" s="1"/>
  <c r="C802" i="4" a="1"/>
  <c r="C802" i="4" s="1"/>
  <c r="C809" i="4" a="1"/>
  <c r="C809" i="4" s="1"/>
  <c r="C816" i="4" a="1"/>
  <c r="C816" i="4" s="1"/>
  <c r="C824" i="4" a="1"/>
  <c r="C824" i="4" s="1"/>
  <c r="C831" i="4" a="1"/>
  <c r="C831" i="4" s="1"/>
  <c r="C838" i="4" a="1"/>
  <c r="C838" i="4" s="1"/>
  <c r="C846" i="4" a="1"/>
  <c r="C846" i="4" s="1"/>
  <c r="C854" i="4" a="1"/>
  <c r="C854" i="4" s="1"/>
  <c r="C869" i="4" a="1"/>
  <c r="C869" i="4" s="1"/>
  <c r="C875" i="4" a="1"/>
  <c r="C875" i="4" s="1"/>
  <c r="C883" i="4" a="1"/>
  <c r="C883" i="4" s="1"/>
  <c r="C891" i="4" a="1"/>
  <c r="C891" i="4" s="1"/>
  <c r="C898" i="4" a="1"/>
  <c r="C898" i="4" s="1"/>
  <c r="C905" i="4" a="1"/>
  <c r="C905" i="4" s="1"/>
  <c r="C912" i="4" a="1"/>
  <c r="C912" i="4" s="1"/>
  <c r="C920" i="4" a="1"/>
  <c r="C920" i="4" s="1"/>
  <c r="C926" i="4" a="1"/>
  <c r="C926" i="4" s="1"/>
  <c r="C932" i="4" a="1"/>
  <c r="C932" i="4" s="1"/>
  <c r="C945" i="4" a="1"/>
  <c r="C945" i="4" s="1"/>
  <c r="C952" i="4" a="1"/>
  <c r="C952" i="4" s="1"/>
  <c r="C959" i="4" a="1"/>
  <c r="C959" i="4" s="1"/>
  <c r="C965" i="4" a="1"/>
  <c r="C965" i="4" s="1"/>
  <c r="C972" i="4" a="1"/>
  <c r="C972" i="4" s="1"/>
  <c r="C978" i="4" a="1"/>
  <c r="C978" i="4" s="1"/>
  <c r="C985" i="4" a="1"/>
  <c r="C985" i="4" s="1"/>
  <c r="C999" i="4" a="1"/>
  <c r="C999" i="4" s="1"/>
  <c r="C1005" i="4" a="1"/>
  <c r="C1005" i="4" s="1"/>
  <c r="C1013" i="4" a="1"/>
  <c r="C1013" i="4" s="1"/>
  <c r="C1021" i="4" a="1"/>
  <c r="C1021" i="4" s="1"/>
  <c r="C1028" i="4" a="1"/>
  <c r="C1028" i="4" s="1"/>
  <c r="C1034" i="4" a="1"/>
  <c r="C1034" i="4" s="1"/>
  <c r="C1048" i="4" a="1"/>
  <c r="C1048" i="4" s="1"/>
  <c r="C1056" i="4" a="1"/>
  <c r="C1056" i="4" s="1"/>
  <c r="C1062" i="4" a="1"/>
  <c r="C1062" i="4" s="1"/>
  <c r="C1069" i="4" a="1"/>
  <c r="C1069" i="4" s="1"/>
  <c r="C1077" i="4" a="1"/>
  <c r="C1077" i="4" s="1"/>
  <c r="C1085" i="4" a="1"/>
  <c r="C1085" i="4" s="1"/>
  <c r="C1092" i="4" a="1"/>
  <c r="C1092" i="4" s="1"/>
  <c r="C1098" i="4" a="1"/>
  <c r="C1098" i="4" s="1"/>
  <c r="C1106" i="4" a="1"/>
  <c r="C1106" i="4" s="1"/>
  <c r="C1113" i="4" a="1"/>
  <c r="C1113" i="4" s="1"/>
  <c r="C1121" i="4" a="1"/>
  <c r="C1121" i="4" s="1"/>
  <c r="C1128" i="4" a="1"/>
  <c r="C1128" i="4" s="1"/>
  <c r="C1134" i="4" a="1"/>
  <c r="C1134" i="4" s="1"/>
  <c r="C1141" i="4" a="1"/>
  <c r="C1141" i="4" s="1"/>
  <c r="C1149" i="4" a="1"/>
  <c r="C1149" i="4" s="1"/>
  <c r="C1163" i="4" a="1"/>
  <c r="C1163" i="4" s="1"/>
  <c r="C1170" i="4" a="1"/>
  <c r="C1170" i="4" s="1"/>
  <c r="C1177" i="4" a="1"/>
  <c r="C1177" i="4" s="1"/>
  <c r="C1184" i="4" a="1"/>
  <c r="C1184" i="4" s="1"/>
  <c r="C1191" i="4" a="1"/>
  <c r="C1191" i="4" s="1"/>
  <c r="C1198" i="4" a="1"/>
  <c r="C1198" i="4" s="1"/>
  <c r="C1205" i="4" a="1"/>
  <c r="C1205" i="4" s="1"/>
  <c r="C1212" i="4" a="1"/>
  <c r="C1212" i="4" s="1"/>
  <c r="C615" i="4" a="1"/>
  <c r="C615" i="4" s="1"/>
  <c r="C622" i="4" a="1"/>
  <c r="C622" i="4" s="1"/>
  <c r="C631" i="4" a="1"/>
  <c r="C631" i="4" s="1"/>
  <c r="C639" i="4" a="1"/>
  <c r="C639" i="4" s="1"/>
  <c r="C646" i="4" a="1"/>
  <c r="C646" i="4" s="1"/>
  <c r="C654" i="4" a="1"/>
  <c r="C654" i="4" s="1"/>
  <c r="C663" i="4" a="1"/>
  <c r="C663" i="4" s="1"/>
  <c r="C672" i="4" a="1"/>
  <c r="C672" i="4" s="1"/>
  <c r="C680" i="4" a="1"/>
  <c r="C680" i="4" s="1"/>
  <c r="C688" i="4" a="1"/>
  <c r="C688" i="4" s="1"/>
  <c r="C697" i="4" a="1"/>
  <c r="C697" i="4" s="1"/>
  <c r="C705" i="4" a="1"/>
  <c r="C705" i="4" s="1"/>
  <c r="C712" i="4" a="1"/>
  <c r="C712" i="4" s="1"/>
  <c r="C721" i="4" a="1"/>
  <c r="C721" i="4" s="1"/>
  <c r="C731" i="4" a="1"/>
  <c r="C731" i="4" s="1"/>
  <c r="C738" i="4" a="1"/>
  <c r="C738" i="4" s="1"/>
  <c r="C746" i="4" a="1"/>
  <c r="C746" i="4" s="1"/>
  <c r="C755" i="4" a="1"/>
  <c r="C755" i="4" s="1"/>
  <c r="C764" i="4" a="1"/>
  <c r="C764" i="4" s="1"/>
  <c r="C771" i="4" a="1"/>
  <c r="C771" i="4" s="1"/>
  <c r="C779" i="4" a="1"/>
  <c r="C779" i="4" s="1"/>
  <c r="C789" i="4" a="1"/>
  <c r="C789" i="4" s="1"/>
  <c r="C805" i="4" a="1"/>
  <c r="C805" i="4" s="1"/>
  <c r="C813" i="4" a="1"/>
  <c r="C813" i="4" s="1"/>
  <c r="C821" i="4" a="1"/>
  <c r="C821" i="4" s="1"/>
  <c r="C847" i="4" a="1"/>
  <c r="C847" i="4" s="1"/>
  <c r="C856" i="4" a="1"/>
  <c r="C856" i="4" s="1"/>
  <c r="C864" i="4" a="1"/>
  <c r="C864" i="4" s="1"/>
  <c r="C872" i="4" a="1"/>
  <c r="C872" i="4" s="1"/>
  <c r="C880" i="4" a="1"/>
  <c r="C880" i="4" s="1"/>
  <c r="C889" i="4" a="1"/>
  <c r="C889" i="4" s="1"/>
  <c r="C897" i="4" a="1"/>
  <c r="C897" i="4" s="1"/>
  <c r="C914" i="4" a="1"/>
  <c r="C914" i="4" s="1"/>
  <c r="C923" i="4" a="1"/>
  <c r="C923" i="4" s="1"/>
  <c r="C929" i="4" a="1"/>
  <c r="C929" i="4" s="1"/>
  <c r="C937" i="4" a="1"/>
  <c r="C937" i="4" s="1"/>
  <c r="C951" i="4" a="1"/>
  <c r="C951" i="4" s="1"/>
  <c r="C960" i="4" a="1"/>
  <c r="C960" i="4" s="1"/>
  <c r="C967" i="4" a="1"/>
  <c r="C967" i="4" s="1"/>
  <c r="C974" i="4" a="1"/>
  <c r="C974" i="4" s="1"/>
  <c r="C981" i="4" a="1"/>
  <c r="C981" i="4" s="1"/>
  <c r="C990" i="4" a="1"/>
  <c r="C990" i="4" s="1"/>
  <c r="C997" i="4" a="1"/>
  <c r="C997" i="4" s="1"/>
  <c r="C1014" i="4" a="1"/>
  <c r="C1014" i="4" s="1"/>
  <c r="C1023" i="4" a="1"/>
  <c r="C1023" i="4" s="1"/>
  <c r="C1030" i="4" a="1"/>
  <c r="C1030" i="4" s="1"/>
  <c r="C1037" i="4" a="1"/>
  <c r="C1037" i="4" s="1"/>
  <c r="C1045" i="4" a="1"/>
  <c r="C1045" i="4" s="1"/>
  <c r="C1054" i="4" a="1"/>
  <c r="C1054" i="4" s="1"/>
  <c r="C1061" i="4" a="1"/>
  <c r="C1061" i="4" s="1"/>
  <c r="C1070" i="4" a="1"/>
  <c r="C1070" i="4" s="1"/>
  <c r="C1079" i="4" a="1"/>
  <c r="C1079" i="4" s="1"/>
  <c r="C1088" i="4" a="1"/>
  <c r="C1088" i="4" s="1"/>
  <c r="C1095" i="4" a="1"/>
  <c r="C1095" i="4" s="1"/>
  <c r="C1103" i="4" a="1"/>
  <c r="C1103" i="4" s="1"/>
  <c r="C1111" i="4" a="1"/>
  <c r="C1111" i="4" s="1"/>
  <c r="C1120" i="4" a="1"/>
  <c r="C1120" i="4" s="1"/>
  <c r="C1136" i="4" a="1"/>
  <c r="C1136" i="4" s="1"/>
  <c r="C1144" i="4" a="1"/>
  <c r="C1144" i="4" s="1"/>
  <c r="C1153" i="4" a="1"/>
  <c r="C1153" i="4" s="1"/>
  <c r="C1168" i="4" a="1"/>
  <c r="C1168" i="4" s="1"/>
  <c r="C1176" i="4" a="1"/>
  <c r="C1176" i="4" s="1"/>
  <c r="C1193" i="4" a="1"/>
  <c r="C1193" i="4" s="1"/>
  <c r="C1209" i="4" a="1"/>
  <c r="C1209" i="4" s="1"/>
  <c r="C1224" i="4" a="1"/>
  <c r="C1224" i="4" s="1"/>
  <c r="C1231" i="4" a="1"/>
  <c r="C1231" i="4" s="1"/>
  <c r="C1238" i="4" a="1"/>
  <c r="C1238" i="4" s="1"/>
  <c r="C1245" i="4" a="1"/>
  <c r="C1245" i="4" s="1"/>
  <c r="C1250" i="4" a="1"/>
  <c r="C1250" i="4" s="1"/>
  <c r="C1259" i="4" a="1"/>
  <c r="C1259" i="4" s="1"/>
  <c r="C1268" i="4" a="1"/>
  <c r="C1268" i="4" s="1"/>
  <c r="C1273" i="4" a="1"/>
  <c r="C1273" i="4" s="1"/>
  <c r="C1282" i="4" a="1"/>
  <c r="C1282" i="4" s="1"/>
  <c r="C1291" i="4" a="1"/>
  <c r="C1291" i="4" s="1"/>
  <c r="C1296" i="4" a="1"/>
  <c r="C1296" i="4" s="1"/>
  <c r="C1308" i="4" a="1"/>
  <c r="C1308" i="4" s="1"/>
  <c r="C1314" i="4" a="1"/>
  <c r="C1314" i="4" s="1"/>
  <c r="C1321" i="4" a="1"/>
  <c r="C1321" i="4" s="1"/>
  <c r="C1327" i="4" a="1"/>
  <c r="C1327" i="4" s="1"/>
  <c r="C1340" i="4" a="1"/>
  <c r="C1340" i="4" s="1"/>
  <c r="C1346" i="4" a="1"/>
  <c r="C1346" i="4" s="1"/>
  <c r="C1353" i="4" a="1"/>
  <c r="C1353" i="4" s="1"/>
  <c r="C1359" i="4" a="1"/>
  <c r="C1359" i="4" s="1"/>
  <c r="C1372" i="4" a="1"/>
  <c r="C1372" i="4" s="1"/>
  <c r="C1378" i="4" a="1"/>
  <c r="C1378" i="4" s="1"/>
  <c r="C1385" i="4" a="1"/>
  <c r="C1385" i="4" s="1"/>
  <c r="C1391" i="4" a="1"/>
  <c r="C1391" i="4" s="1"/>
  <c r="C1404" i="4" a="1"/>
  <c r="C1404" i="4" s="1"/>
  <c r="C1410" i="4" a="1"/>
  <c r="C1410" i="4" s="1"/>
  <c r="C1417" i="4" a="1"/>
  <c r="C1417" i="4" s="1"/>
  <c r="C1423" i="4" a="1"/>
  <c r="C1423" i="4" s="1"/>
  <c r="C1436" i="4" a="1"/>
  <c r="C1436" i="4" s="1"/>
  <c r="C1442" i="4" a="1"/>
  <c r="C1442" i="4" s="1"/>
  <c r="C1449" i="4" a="1"/>
  <c r="C1449" i="4" s="1"/>
  <c r="C1455" i="4" a="1"/>
  <c r="C1455" i="4" s="1"/>
  <c r="C1468" i="4" a="1"/>
  <c r="C1468" i="4" s="1"/>
  <c r="C1474" i="4" a="1"/>
  <c r="C1474" i="4" s="1"/>
  <c r="C1481" i="4" a="1"/>
  <c r="C1481" i="4" s="1"/>
  <c r="C1487" i="4" a="1"/>
  <c r="C1487" i="4" s="1"/>
  <c r="C1500" i="4" a="1"/>
  <c r="C1500" i="4" s="1"/>
  <c r="C1506" i="4" a="1"/>
  <c r="C1506" i="4" s="1"/>
  <c r="C1513" i="4" a="1"/>
  <c r="C1513" i="4" s="1"/>
  <c r="C1519" i="4" a="1"/>
  <c r="C1519" i="4" s="1"/>
  <c r="C617" i="4" a="1"/>
  <c r="C617" i="4" s="1"/>
  <c r="C624" i="4" a="1"/>
  <c r="C624" i="4" s="1"/>
  <c r="C633" i="4" a="1"/>
  <c r="C633" i="4" s="1"/>
  <c r="C641" i="4" a="1"/>
  <c r="C641" i="4" s="1"/>
  <c r="C648" i="4" a="1"/>
  <c r="C648" i="4" s="1"/>
  <c r="C657" i="4" a="1"/>
  <c r="C657" i="4" s="1"/>
  <c r="C666" i="4" a="1"/>
  <c r="C666" i="4" s="1"/>
  <c r="C674" i="4" a="1"/>
  <c r="C674" i="4" s="1"/>
  <c r="C682" i="4" a="1"/>
  <c r="C682" i="4" s="1"/>
  <c r="C690" i="4" a="1"/>
  <c r="C690" i="4" s="1"/>
  <c r="C699" i="4" a="1"/>
  <c r="C699" i="4" s="1"/>
  <c r="C706" i="4" a="1"/>
  <c r="C706" i="4" s="1"/>
  <c r="C715" i="4" a="1"/>
  <c r="C715" i="4" s="1"/>
  <c r="C724" i="4" a="1"/>
  <c r="C724" i="4" s="1"/>
  <c r="C733" i="4" a="1"/>
  <c r="C733" i="4" s="1"/>
  <c r="C740" i="4" a="1"/>
  <c r="C740" i="4" s="1"/>
  <c r="C748" i="4" a="1"/>
  <c r="C748" i="4" s="1"/>
  <c r="C757" i="4" a="1"/>
  <c r="C757" i="4" s="1"/>
  <c r="C782" i="4" a="1"/>
  <c r="C782" i="4" s="1"/>
  <c r="C791" i="4" a="1"/>
  <c r="C791" i="4" s="1"/>
  <c r="C799" i="4" a="1"/>
  <c r="C799" i="4" s="1"/>
  <c r="C806" i="4" a="1"/>
  <c r="C806" i="4" s="1"/>
  <c r="C814" i="4" a="1"/>
  <c r="C814" i="4" s="1"/>
  <c r="C823" i="4" a="1"/>
  <c r="C823" i="4" s="1"/>
  <c r="C832" i="4" a="1"/>
  <c r="C832" i="4" s="1"/>
  <c r="C840" i="4" a="1"/>
  <c r="C840" i="4" s="1"/>
  <c r="C849" i="4" a="1"/>
  <c r="C849" i="4" s="1"/>
  <c r="C858" i="4" a="1"/>
  <c r="C858" i="4" s="1"/>
  <c r="C866" i="4" a="1"/>
  <c r="C866" i="4" s="1"/>
  <c r="C882" i="4" a="1"/>
  <c r="C882" i="4" s="1"/>
  <c r="C892" i="4" a="1"/>
  <c r="C892" i="4" s="1"/>
  <c r="C900" i="4" a="1"/>
  <c r="C900" i="4" s="1"/>
  <c r="C907" i="4" a="1"/>
  <c r="C907" i="4" s="1"/>
  <c r="C916" i="4" a="1"/>
  <c r="C916" i="4" s="1"/>
  <c r="C924" i="4" a="1"/>
  <c r="C924" i="4" s="1"/>
  <c r="C930" i="4" a="1"/>
  <c r="C930" i="4" s="1"/>
  <c r="C939" i="4" a="1"/>
  <c r="C939" i="4" s="1"/>
  <c r="C954" i="4" a="1"/>
  <c r="C954" i="4" s="1"/>
  <c r="C961" i="4" a="1"/>
  <c r="C961" i="4" s="1"/>
  <c r="C976" i="4" a="1"/>
  <c r="C976" i="4" s="1"/>
  <c r="C983" i="4" a="1"/>
  <c r="C983" i="4" s="1"/>
  <c r="C992" i="4" a="1"/>
  <c r="C992" i="4" s="1"/>
  <c r="C1000" i="4" a="1"/>
  <c r="C1000" i="4" s="1"/>
  <c r="C1007" i="4" a="1"/>
  <c r="C1007" i="4" s="1"/>
  <c r="C1016" i="4" a="1"/>
  <c r="C1016" i="4" s="1"/>
  <c r="C1032" i="4" a="1"/>
  <c r="C1032" i="4" s="1"/>
  <c r="C1039" i="4" a="1"/>
  <c r="C1039" i="4" s="1"/>
  <c r="C1047" i="4" a="1"/>
  <c r="C1047" i="4" s="1"/>
  <c r="C1064" i="4" a="1"/>
  <c r="C1064" i="4" s="1"/>
  <c r="C1072" i="4" a="1"/>
  <c r="C1072" i="4" s="1"/>
  <c r="C1081" i="4" a="1"/>
  <c r="C1081" i="4" s="1"/>
  <c r="C1089" i="4" a="1"/>
  <c r="C1089" i="4" s="1"/>
  <c r="C1105" i="4" a="1"/>
  <c r="C1105" i="4" s="1"/>
  <c r="C1114" i="4" a="1"/>
  <c r="C1114" i="4" s="1"/>
  <c r="C1123" i="4" a="1"/>
  <c r="C1123" i="4" s="1"/>
  <c r="C1130" i="4" a="1"/>
  <c r="C1130" i="4" s="1"/>
  <c r="C1138" i="4" a="1"/>
  <c r="C1138" i="4" s="1"/>
  <c r="C1146" i="4" a="1"/>
  <c r="C1146" i="4" s="1"/>
  <c r="C1155" i="4" a="1"/>
  <c r="C1155" i="4" s="1"/>
  <c r="C1162" i="4" a="1"/>
  <c r="C1162" i="4" s="1"/>
  <c r="C1171" i="4" a="1"/>
  <c r="C1171" i="4" s="1"/>
  <c r="C1179" i="4" a="1"/>
  <c r="C1179" i="4" s="1"/>
  <c r="C1186" i="4" a="1"/>
  <c r="C1186" i="4" s="1"/>
  <c r="C1195" i="4" a="1"/>
  <c r="C1195" i="4" s="1"/>
  <c r="C1202" i="4" a="1"/>
  <c r="C1202" i="4" s="1"/>
  <c r="C1211" i="4" a="1"/>
  <c r="C1211" i="4" s="1"/>
  <c r="C1218" i="4" a="1"/>
  <c r="C1218" i="4" s="1"/>
  <c r="C1226" i="4" a="1"/>
  <c r="C1226" i="4" s="1"/>
  <c r="C1240" i="4" a="1"/>
  <c r="C1240" i="4" s="1"/>
  <c r="C1251" i="4" a="1"/>
  <c r="C1251" i="4" s="1"/>
  <c r="C1260" i="4" a="1"/>
  <c r="C1260" i="4" s="1"/>
  <c r="C1265" i="4" a="1"/>
  <c r="C1265" i="4" s="1"/>
  <c r="C1274" i="4" a="1"/>
  <c r="C1274" i="4" s="1"/>
  <c r="C616" i="4" a="1"/>
  <c r="C616" i="4" s="1"/>
  <c r="C626" i="4" a="1"/>
  <c r="C626" i="4" s="1"/>
  <c r="C647" i="4" a="1"/>
  <c r="C647" i="4" s="1"/>
  <c r="C659" i="4" a="1"/>
  <c r="C659" i="4" s="1"/>
  <c r="C681" i="4" a="1"/>
  <c r="C681" i="4" s="1"/>
  <c r="C692" i="4" a="1"/>
  <c r="C692" i="4" s="1"/>
  <c r="C703" i="4" a="1"/>
  <c r="C703" i="4" s="1"/>
  <c r="C713" i="4" a="1"/>
  <c r="C713" i="4" s="1"/>
  <c r="C726" i="4" a="1"/>
  <c r="C726" i="4" s="1"/>
  <c r="C736" i="4" a="1"/>
  <c r="C736" i="4" s="1"/>
  <c r="C747" i="4" a="1"/>
  <c r="C747" i="4" s="1"/>
  <c r="C760" i="4" a="1"/>
  <c r="C760" i="4" s="1"/>
  <c r="C781" i="4" a="1"/>
  <c r="C781" i="4" s="1"/>
  <c r="C793" i="4" a="1"/>
  <c r="C793" i="4" s="1"/>
  <c r="C803" i="4" a="1"/>
  <c r="C803" i="4" s="1"/>
  <c r="C826" i="4" a="1"/>
  <c r="C826" i="4" s="1"/>
  <c r="C836" i="4" a="1"/>
  <c r="C836" i="4" s="1"/>
  <c r="C848" i="4" a="1"/>
  <c r="C848" i="4" s="1"/>
  <c r="C860" i="4" a="1"/>
  <c r="C860" i="4" s="1"/>
  <c r="C870" i="4" a="1"/>
  <c r="C870" i="4" s="1"/>
  <c r="C881" i="4" a="1"/>
  <c r="C881" i="4" s="1"/>
  <c r="C903" i="4" a="1"/>
  <c r="C903" i="4" s="1"/>
  <c r="C915" i="4" a="1"/>
  <c r="C915" i="4" s="1"/>
  <c r="C935" i="4" a="1"/>
  <c r="C935" i="4" s="1"/>
  <c r="C944" i="4" a="1"/>
  <c r="C944" i="4" s="1"/>
  <c r="C956" i="4" a="1"/>
  <c r="C956" i="4" s="1"/>
  <c r="C975" i="4" a="1"/>
  <c r="C975" i="4" s="1"/>
  <c r="C986" i="4" a="1"/>
  <c r="C986" i="4" s="1"/>
  <c r="C996" i="4" a="1"/>
  <c r="C996" i="4" s="1"/>
  <c r="C1006" i="4" a="1"/>
  <c r="C1006" i="4" s="1"/>
  <c r="C1018" i="4" a="1"/>
  <c r="C1018" i="4" s="1"/>
  <c r="C1038" i="4" a="1"/>
  <c r="C1038" i="4" s="1"/>
  <c r="C1050" i="4" a="1"/>
  <c r="C1050" i="4" s="1"/>
  <c r="C1060" i="4" a="1"/>
  <c r="C1060" i="4" s="1"/>
  <c r="C1071" i="4" a="1"/>
  <c r="C1071" i="4" s="1"/>
  <c r="C1083" i="4" a="1"/>
  <c r="C1083" i="4" s="1"/>
  <c r="C1093" i="4" a="1"/>
  <c r="C1093" i="4" s="1"/>
  <c r="C1104" i="4" a="1"/>
  <c r="C1104" i="4" s="1"/>
  <c r="C1116" i="4" a="1"/>
  <c r="C1116" i="4" s="1"/>
  <c r="C1126" i="4" a="1"/>
  <c r="C1126" i="4" s="1"/>
  <c r="C1137" i="4" a="1"/>
  <c r="C1137" i="4" s="1"/>
  <c r="C1148" i="4" a="1"/>
  <c r="C1148" i="4" s="1"/>
  <c r="C1159" i="4" a="1"/>
  <c r="C1159" i="4" s="1"/>
  <c r="C1169" i="4" a="1"/>
  <c r="C1169" i="4" s="1"/>
  <c r="C1180" i="4" a="1"/>
  <c r="C1180" i="4" s="1"/>
  <c r="C1190" i="4" a="1"/>
  <c r="C1190" i="4" s="1"/>
  <c r="C1201" i="4" a="1"/>
  <c r="C1201" i="4" s="1"/>
  <c r="C1213" i="4" a="1"/>
  <c r="C1213" i="4" s="1"/>
  <c r="C1222" i="4" a="1"/>
  <c r="C1222" i="4" s="1"/>
  <c r="C1232" i="4" a="1"/>
  <c r="C1232" i="4" s="1"/>
  <c r="C1242" i="4" a="1"/>
  <c r="C1242" i="4" s="1"/>
  <c r="C1249" i="4" a="1"/>
  <c r="C1249" i="4" s="1"/>
  <c r="C1255" i="4" a="1"/>
  <c r="C1255" i="4" s="1"/>
  <c r="C1267" i="4" a="1"/>
  <c r="C1267" i="4" s="1"/>
  <c r="C1279" i="4" a="1"/>
  <c r="C1279" i="4" s="1"/>
  <c r="C1284" i="4" a="1"/>
  <c r="C1284" i="4" s="1"/>
  <c r="C1301" i="4" a="1"/>
  <c r="C1301" i="4" s="1"/>
  <c r="C1309" i="4" a="1"/>
  <c r="C1309" i="4" s="1"/>
  <c r="C1316" i="4" a="1"/>
  <c r="C1316" i="4" s="1"/>
  <c r="C1323" i="4" a="1"/>
  <c r="C1323" i="4" s="1"/>
  <c r="C1330" i="4" a="1"/>
  <c r="C1330" i="4" s="1"/>
  <c r="C1345" i="4" a="1"/>
  <c r="C1345" i="4" s="1"/>
  <c r="C1352" i="4" a="1"/>
  <c r="C1352" i="4" s="1"/>
  <c r="C1360" i="4" a="1"/>
  <c r="C1360" i="4" s="1"/>
  <c r="C1367" i="4" a="1"/>
  <c r="C1367" i="4" s="1"/>
  <c r="C1374" i="4" a="1"/>
  <c r="C1374" i="4" s="1"/>
  <c r="C1389" i="4" a="1"/>
  <c r="C1389" i="4" s="1"/>
  <c r="C1396" i="4" a="1"/>
  <c r="C1396" i="4" s="1"/>
  <c r="C1403" i="4" a="1"/>
  <c r="C1403" i="4" s="1"/>
  <c r="C1411" i="4" a="1"/>
  <c r="C1411" i="4" s="1"/>
  <c r="C1418" i="4" a="1"/>
  <c r="C1418" i="4" s="1"/>
  <c r="C1433" i="4" a="1"/>
  <c r="C1433" i="4" s="1"/>
  <c r="C1440" i="4" a="1"/>
  <c r="C1440" i="4" s="1"/>
  <c r="C1447" i="4" a="1"/>
  <c r="C1447" i="4" s="1"/>
  <c r="C1454" i="4" a="1"/>
  <c r="C1454" i="4" s="1"/>
  <c r="C1462" i="4" a="1"/>
  <c r="C1462" i="4" s="1"/>
  <c r="C1477" i="4" a="1"/>
  <c r="C1477" i="4" s="1"/>
  <c r="C1484" i="4" a="1"/>
  <c r="C1484" i="4" s="1"/>
  <c r="C1491" i="4" a="1"/>
  <c r="C1491" i="4" s="1"/>
  <c r="C1498" i="4" a="1"/>
  <c r="C1498" i="4" s="1"/>
  <c r="C1521" i="4" a="1"/>
  <c r="C1521" i="4" s="1"/>
  <c r="C1528" i="4" a="1"/>
  <c r="C1528" i="4" s="1"/>
  <c r="C618" i="4" a="1"/>
  <c r="C618" i="4" s="1"/>
  <c r="C629" i="4" a="1"/>
  <c r="C629" i="4" s="1"/>
  <c r="C640" i="4" a="1"/>
  <c r="C640" i="4" s="1"/>
  <c r="C650" i="4" a="1"/>
  <c r="C650" i="4" s="1"/>
  <c r="C661" i="4" a="1"/>
  <c r="C661" i="4" s="1"/>
  <c r="C673" i="4" a="1"/>
  <c r="C673" i="4" s="1"/>
  <c r="C684" i="4" a="1"/>
  <c r="C684" i="4" s="1"/>
  <c r="C695" i="4" a="1"/>
  <c r="C695" i="4" s="1"/>
  <c r="C717" i="4" a="1"/>
  <c r="C717" i="4" s="1"/>
  <c r="C728" i="4" a="1"/>
  <c r="C728" i="4" s="1"/>
  <c r="C739" i="4" a="1"/>
  <c r="C739" i="4" s="1"/>
  <c r="C750" i="4" a="1"/>
  <c r="C750" i="4" s="1"/>
  <c r="C762" i="4" a="1"/>
  <c r="C762" i="4" s="1"/>
  <c r="C772" i="4" a="1"/>
  <c r="C772" i="4" s="1"/>
  <c r="C784" i="4" a="1"/>
  <c r="C784" i="4" s="1"/>
  <c r="C795" i="4" a="1"/>
  <c r="C795" i="4" s="1"/>
  <c r="C817" i="4" a="1"/>
  <c r="C817" i="4" s="1"/>
  <c r="C828" i="4" a="1"/>
  <c r="C828" i="4" s="1"/>
  <c r="C839" i="4" a="1"/>
  <c r="C839" i="4" s="1"/>
  <c r="C851" i="4" a="1"/>
  <c r="C851" i="4" s="1"/>
  <c r="C862" i="4" a="1"/>
  <c r="C862" i="4" s="1"/>
  <c r="C873" i="4" a="1"/>
  <c r="C873" i="4" s="1"/>
  <c r="C885" i="4" a="1"/>
  <c r="C885" i="4" s="1"/>
  <c r="C895" i="4" a="1"/>
  <c r="C895" i="4" s="1"/>
  <c r="C906" i="4" a="1"/>
  <c r="C906" i="4" s="1"/>
  <c r="C918" i="4" a="1"/>
  <c r="C918" i="4" s="1"/>
  <c r="C938" i="4" a="1"/>
  <c r="C938" i="4" s="1"/>
  <c r="C947" i="4" a="1"/>
  <c r="C947" i="4" s="1"/>
  <c r="C957" i="4" a="1"/>
  <c r="C957" i="4" s="1"/>
  <c r="C968" i="4" a="1"/>
  <c r="C968" i="4" s="1"/>
  <c r="C977" i="4" a="1"/>
  <c r="C977" i="4" s="1"/>
  <c r="C988" i="4" a="1"/>
  <c r="C988" i="4" s="1"/>
  <c r="C998" i="4" a="1"/>
  <c r="C998" i="4" s="1"/>
  <c r="C1009" i="4" a="1"/>
  <c r="C1009" i="4" s="1"/>
  <c r="C1020" i="4" a="1"/>
  <c r="C1020" i="4" s="1"/>
  <c r="C1031" i="4" a="1"/>
  <c r="C1031" i="4" s="1"/>
  <c r="C1041" i="4" a="1"/>
  <c r="C1041" i="4" s="1"/>
  <c r="C1052" i="4" a="1"/>
  <c r="C1052" i="4" s="1"/>
  <c r="C1063" i="4" a="1"/>
  <c r="C1063" i="4" s="1"/>
  <c r="C1074" i="4" a="1"/>
  <c r="C1074" i="4" s="1"/>
  <c r="C1086" i="4" a="1"/>
  <c r="C1086" i="4" s="1"/>
  <c r="C1096" i="4" a="1"/>
  <c r="C1096" i="4" s="1"/>
  <c r="C1108" i="4" a="1"/>
  <c r="C1108" i="4" s="1"/>
  <c r="C1118" i="4" a="1"/>
  <c r="C1118" i="4" s="1"/>
  <c r="C1129" i="4" a="1"/>
  <c r="C1129" i="4" s="1"/>
  <c r="C1140" i="4" a="1"/>
  <c r="C1140" i="4" s="1"/>
  <c r="C1151" i="4" a="1"/>
  <c r="C1151" i="4" s="1"/>
  <c r="C1161" i="4" a="1"/>
  <c r="C1161" i="4" s="1"/>
  <c r="C1182" i="4" a="1"/>
  <c r="C1182" i="4" s="1"/>
  <c r="C1194" i="4" a="1"/>
  <c r="C1194" i="4" s="1"/>
  <c r="C1204" i="4" a="1"/>
  <c r="C1204" i="4" s="1"/>
  <c r="C1215" i="4" a="1"/>
  <c r="C1215" i="4" s="1"/>
  <c r="C1225" i="4" a="1"/>
  <c r="C1225" i="4" s="1"/>
  <c r="C1234" i="4" a="1"/>
  <c r="C1234" i="4" s="1"/>
  <c r="C1257" i="4" a="1"/>
  <c r="C1257" i="4" s="1"/>
  <c r="C1269" i="4" a="1"/>
  <c r="C1269" i="4" s="1"/>
  <c r="C1275" i="4" a="1"/>
  <c r="C1275" i="4" s="1"/>
  <c r="C1280" i="4" a="1"/>
  <c r="C1280" i="4" s="1"/>
  <c r="C1297" i="4" a="1"/>
  <c r="C1297" i="4" s="1"/>
  <c r="C1303" i="4" a="1"/>
  <c r="C1303" i="4" s="1"/>
  <c r="C1310" i="4" a="1"/>
  <c r="C1310" i="4" s="1"/>
  <c r="C1325" i="4" a="1"/>
  <c r="C1325" i="4" s="1"/>
  <c r="C1332" i="4" a="1"/>
  <c r="C1332" i="4" s="1"/>
  <c r="C1339" i="4" a="1"/>
  <c r="C1339" i="4" s="1"/>
  <c r="C1347" i="4" a="1"/>
  <c r="C1347" i="4" s="1"/>
  <c r="C1354" i="4" a="1"/>
  <c r="C1354" i="4" s="1"/>
  <c r="C1369" i="4" a="1"/>
  <c r="C1369" i="4" s="1"/>
  <c r="C1376" i="4" a="1"/>
  <c r="C1376" i="4" s="1"/>
  <c r="C1383" i="4" a="1"/>
  <c r="C1383" i="4" s="1"/>
  <c r="C1390" i="4" a="1"/>
  <c r="C1390" i="4" s="1"/>
  <c r="C1398" i="4" a="1"/>
  <c r="C1398" i="4" s="1"/>
  <c r="C1413" i="4" a="1"/>
  <c r="C1413" i="4" s="1"/>
  <c r="C1420" i="4" a="1"/>
  <c r="C1420" i="4" s="1"/>
  <c r="C1427" i="4" a="1"/>
  <c r="C1427" i="4" s="1"/>
  <c r="C1434" i="4" a="1"/>
  <c r="C1434" i="4" s="1"/>
  <c r="C1457" i="4" a="1"/>
  <c r="C1457" i="4" s="1"/>
  <c r="C1464" i="4" a="1"/>
  <c r="C1464" i="4" s="1"/>
  <c r="C1471" i="4" a="1"/>
  <c r="C1471" i="4" s="1"/>
  <c r="C1478" i="4" a="1"/>
  <c r="C1478" i="4" s="1"/>
  <c r="C1493" i="4" a="1"/>
  <c r="C1493" i="4" s="1"/>
  <c r="C1501" i="4" a="1"/>
  <c r="C1501" i="4" s="1"/>
  <c r="C1508" i="4" a="1"/>
  <c r="C1508" i="4" s="1"/>
  <c r="C1515" i="4" a="1"/>
  <c r="C1515" i="4" s="1"/>
  <c r="C1522" i="4" a="1"/>
  <c r="C1522" i="4" s="1"/>
  <c r="C634" i="4" a="1"/>
  <c r="C634" i="4" s="1"/>
  <c r="C644" i="4" a="1"/>
  <c r="C644" i="4" s="1"/>
  <c r="C653" i="4" a="1"/>
  <c r="C653" i="4" s="1"/>
  <c r="C667" i="4" a="1"/>
  <c r="C667" i="4" s="1"/>
  <c r="C677" i="4" a="1"/>
  <c r="C677" i="4" s="1"/>
  <c r="C687" i="4" a="1"/>
  <c r="C687" i="4" s="1"/>
  <c r="C700" i="4" a="1"/>
  <c r="C700" i="4" s="1"/>
  <c r="C720" i="4" a="1"/>
  <c r="C720" i="4" s="1"/>
  <c r="C742" i="4" a="1"/>
  <c r="C742" i="4" s="1"/>
  <c r="C754" i="4" a="1"/>
  <c r="C754" i="4" s="1"/>
  <c r="C767" i="4" a="1"/>
  <c r="C767" i="4" s="1"/>
  <c r="C776" i="4" a="1"/>
  <c r="C776" i="4" s="1"/>
  <c r="C787" i="4" a="1"/>
  <c r="C787" i="4" s="1"/>
  <c r="C800" i="4" a="1"/>
  <c r="C800" i="4" s="1"/>
  <c r="C810" i="4" a="1"/>
  <c r="C810" i="4" s="1"/>
  <c r="C820" i="4" a="1"/>
  <c r="C820" i="4" s="1"/>
  <c r="C833" i="4" a="1"/>
  <c r="C833" i="4" s="1"/>
  <c r="C843" i="4" a="1"/>
  <c r="C843" i="4" s="1"/>
  <c r="C855" i="4" a="1"/>
  <c r="C855" i="4" s="1"/>
  <c r="C867" i="4" a="1"/>
  <c r="C867" i="4" s="1"/>
  <c r="C877" i="4" a="1"/>
  <c r="C877" i="4" s="1"/>
  <c r="C888" i="4" a="1"/>
  <c r="C888" i="4" s="1"/>
  <c r="C901" i="4" a="1"/>
  <c r="C901" i="4" s="1"/>
  <c r="C910" i="4" a="1"/>
  <c r="C910" i="4" s="1"/>
  <c r="C922" i="4" a="1"/>
  <c r="C922" i="4" s="1"/>
  <c r="C931" i="4" a="1"/>
  <c r="C931" i="4" s="1"/>
  <c r="C950" i="4" a="1"/>
  <c r="C950" i="4" s="1"/>
  <c r="C962" i="4" a="1"/>
  <c r="C962" i="4" s="1"/>
  <c r="C971" i="4" a="1"/>
  <c r="C971" i="4" s="1"/>
  <c r="C993" i="4" a="1"/>
  <c r="C993" i="4" s="1"/>
  <c r="C1002" i="4" a="1"/>
  <c r="C1002" i="4" s="1"/>
  <c r="C1012" i="4" a="1"/>
  <c r="C1012" i="4" s="1"/>
  <c r="C1025" i="4" a="1"/>
  <c r="C1025" i="4" s="1"/>
  <c r="C1035" i="4" a="1"/>
  <c r="C1035" i="4" s="1"/>
  <c r="C1044" i="4" a="1"/>
  <c r="C1044" i="4" s="1"/>
  <c r="C1057" i="4" a="1"/>
  <c r="C1057" i="4" s="1"/>
  <c r="C1066" i="4" a="1"/>
  <c r="C1066" i="4" s="1"/>
  <c r="C1078" i="4" a="1"/>
  <c r="C1078" i="4" s="1"/>
  <c r="C1090" i="4" a="1"/>
  <c r="C1090" i="4" s="1"/>
  <c r="C1100" i="4" a="1"/>
  <c r="C1100" i="4" s="1"/>
  <c r="C1110" i="4" a="1"/>
  <c r="C1110" i="4" s="1"/>
  <c r="C1124" i="4" a="1"/>
  <c r="C1124" i="4" s="1"/>
  <c r="C1143" i="4" a="1"/>
  <c r="C1143" i="4" s="1"/>
  <c r="C1156" i="4" a="1"/>
  <c r="C1156" i="4" s="1"/>
  <c r="C1165" i="4" a="1"/>
  <c r="C1165" i="4" s="1"/>
  <c r="C1175" i="4" a="1"/>
  <c r="C1175" i="4" s="1"/>
  <c r="C1187" i="4" a="1"/>
  <c r="C1187" i="4" s="1"/>
  <c r="C1197" i="4" a="1"/>
  <c r="C1197" i="4" s="1"/>
  <c r="C1208" i="4" a="1"/>
  <c r="C1208" i="4" s="1"/>
  <c r="C1219" i="4" a="1"/>
  <c r="C1219" i="4" s="1"/>
  <c r="C1228" i="4" a="1"/>
  <c r="C1228" i="4" s="1"/>
  <c r="C1237" i="4" a="1"/>
  <c r="C1237" i="4" s="1"/>
  <c r="C1247" i="4" a="1"/>
  <c r="C1247" i="4" s="1"/>
  <c r="C1253" i="4" a="1"/>
  <c r="C1253" i="4" s="1"/>
  <c r="C1271" i="4" a="1"/>
  <c r="C1271" i="4" s="1"/>
  <c r="C1277" i="4" a="1"/>
  <c r="C1277" i="4" s="1"/>
  <c r="C1293" i="4" a="1"/>
  <c r="C1293" i="4" s="1"/>
  <c r="C1313" i="4" a="1"/>
  <c r="C1313" i="4" s="1"/>
  <c r="C1320" i="4" a="1"/>
  <c r="C1320" i="4" s="1"/>
  <c r="C1328" i="4" a="1"/>
  <c r="C1328" i="4" s="1"/>
  <c r="C1335" i="4" a="1"/>
  <c r="C1335" i="4" s="1"/>
  <c r="C1342" i="4" a="1"/>
  <c r="C1342" i="4" s="1"/>
  <c r="C1357" i="4" a="1"/>
  <c r="C1357" i="4" s="1"/>
  <c r="C1364" i="4" a="1"/>
  <c r="C1364" i="4" s="1"/>
  <c r="C1371" i="4" a="1"/>
  <c r="C1371" i="4" s="1"/>
  <c r="C1379" i="4" a="1"/>
  <c r="C1379" i="4" s="1"/>
  <c r="C1386" i="4" a="1"/>
  <c r="C1386" i="4" s="1"/>
  <c r="C1401" i="4" a="1"/>
  <c r="C1401" i="4" s="1"/>
  <c r="C1408" i="4" a="1"/>
  <c r="C1408" i="4" s="1"/>
  <c r="C1415" i="4" a="1"/>
  <c r="C1415" i="4" s="1"/>
  <c r="C1422" i="4" a="1"/>
  <c r="C1422" i="4" s="1"/>
  <c r="C632" i="4" a="1"/>
  <c r="C632" i="4" s="1"/>
  <c r="C668" i="4" a="1"/>
  <c r="C668" i="4" s="1"/>
  <c r="C685" i="4" a="1"/>
  <c r="C685" i="4" s="1"/>
  <c r="C702" i="4" a="1"/>
  <c r="C702" i="4" s="1"/>
  <c r="C719" i="4" a="1"/>
  <c r="C719" i="4" s="1"/>
  <c r="C756" i="4" a="1"/>
  <c r="C756" i="4" s="1"/>
  <c r="C774" i="4" a="1"/>
  <c r="C774" i="4" s="1"/>
  <c r="C792" i="4" a="1"/>
  <c r="C792" i="4" s="1"/>
  <c r="C808" i="4" a="1"/>
  <c r="C808" i="4" s="1"/>
  <c r="C827" i="4" a="1"/>
  <c r="C827" i="4" s="1"/>
  <c r="C844" i="4" a="1"/>
  <c r="C844" i="4" s="1"/>
  <c r="C863" i="4" a="1"/>
  <c r="C863" i="4" s="1"/>
  <c r="C879" i="4" a="1"/>
  <c r="C879" i="4" s="1"/>
  <c r="C899" i="4" a="1"/>
  <c r="C899" i="4" s="1"/>
  <c r="C917" i="4" a="1"/>
  <c r="C917" i="4" s="1"/>
  <c r="C933" i="4" a="1"/>
  <c r="C933" i="4" s="1"/>
  <c r="C948" i="4" a="1"/>
  <c r="C948" i="4" s="1"/>
  <c r="C964" i="4" a="1"/>
  <c r="C964" i="4" s="1"/>
  <c r="C980" i="4" a="1"/>
  <c r="C980" i="4" s="1"/>
  <c r="C1015" i="4" a="1"/>
  <c r="C1015" i="4" s="1"/>
  <c r="C1049" i="4" a="1"/>
  <c r="C1049" i="4" s="1"/>
  <c r="C1065" i="4" a="1"/>
  <c r="C1065" i="4" s="1"/>
  <c r="C1084" i="4" a="1"/>
  <c r="C1084" i="4" s="1"/>
  <c r="C1101" i="4" a="1"/>
  <c r="C1101" i="4" s="1"/>
  <c r="C1119" i="4" a="1"/>
  <c r="C1119" i="4" s="1"/>
  <c r="C1135" i="4" a="1"/>
  <c r="C1135" i="4" s="1"/>
  <c r="C1154" i="4" a="1"/>
  <c r="C1154" i="4" s="1"/>
  <c r="C1172" i="4" a="1"/>
  <c r="C1172" i="4" s="1"/>
  <c r="C1188" i="4" a="1"/>
  <c r="C1188" i="4" s="1"/>
  <c r="C1206" i="4" a="1"/>
  <c r="C1206" i="4" s="1"/>
  <c r="C1221" i="4" a="1"/>
  <c r="C1221" i="4" s="1"/>
  <c r="C1236" i="4" a="1"/>
  <c r="C1236" i="4" s="1"/>
  <c r="C1270" i="4" a="1"/>
  <c r="C1270" i="4" s="1"/>
  <c r="C1287" i="4" a="1"/>
  <c r="C1287" i="4" s="1"/>
  <c r="C1295" i="4" a="1"/>
  <c r="C1295" i="4" s="1"/>
  <c r="C1306" i="4" a="1"/>
  <c r="C1306" i="4" s="1"/>
  <c r="C1318" i="4" a="1"/>
  <c r="C1318" i="4" s="1"/>
  <c r="C1365" i="4" a="1"/>
  <c r="C1365" i="4" s="1"/>
  <c r="C1377" i="4" a="1"/>
  <c r="C1377" i="4" s="1"/>
  <c r="C1388" i="4" a="1"/>
  <c r="C1388" i="4" s="1"/>
  <c r="C1400" i="4" a="1"/>
  <c r="C1400" i="4" s="1"/>
  <c r="C1412" i="4" a="1"/>
  <c r="C1412" i="4" s="1"/>
  <c r="C1424" i="4" a="1"/>
  <c r="C1424" i="4" s="1"/>
  <c r="C1444" i="4" a="1"/>
  <c r="C1444" i="4" s="1"/>
  <c r="C1453" i="4" a="1"/>
  <c r="C1453" i="4" s="1"/>
  <c r="C1463" i="4" a="1"/>
  <c r="C1463" i="4" s="1"/>
  <c r="C1473" i="4" a="1"/>
  <c r="C1473" i="4" s="1"/>
  <c r="C1482" i="4" a="1"/>
  <c r="C1482" i="4" s="1"/>
  <c r="C1492" i="4" a="1"/>
  <c r="C1492" i="4" s="1"/>
  <c r="C1502" i="4" a="1"/>
  <c r="C1502" i="4" s="1"/>
  <c r="C1511" i="4" a="1"/>
  <c r="C1511" i="4" s="1"/>
  <c r="C623" i="4" a="1"/>
  <c r="C623" i="4" s="1"/>
  <c r="C658" i="4" a="1"/>
  <c r="C658" i="4" s="1"/>
  <c r="C676" i="4" a="1"/>
  <c r="C676" i="4" s="1"/>
  <c r="C694" i="4" a="1"/>
  <c r="C694" i="4" s="1"/>
  <c r="C710" i="4" a="1"/>
  <c r="C710" i="4" s="1"/>
  <c r="C729" i="4" a="1"/>
  <c r="C729" i="4" s="1"/>
  <c r="C745" i="4" a="1"/>
  <c r="C745" i="4" s="1"/>
  <c r="C765" i="4" a="1"/>
  <c r="C765" i="4" s="1"/>
  <c r="C783" i="4" a="1"/>
  <c r="C783" i="4" s="1"/>
  <c r="C801" i="4" a="1"/>
  <c r="C801" i="4" s="1"/>
  <c r="C818" i="4" a="1"/>
  <c r="C818" i="4" s="1"/>
  <c r="C835" i="4" a="1"/>
  <c r="C835" i="4" s="1"/>
  <c r="C853" i="4" a="1"/>
  <c r="C853" i="4" s="1"/>
  <c r="C871" i="4" a="1"/>
  <c r="C871" i="4" s="1"/>
  <c r="C890" i="4" a="1"/>
  <c r="C890" i="4" s="1"/>
  <c r="C908" i="4" a="1"/>
  <c r="C908" i="4" s="1"/>
  <c r="C925" i="4" a="1"/>
  <c r="C925" i="4" s="1"/>
  <c r="C941" i="4" a="1"/>
  <c r="C941" i="4" s="1"/>
  <c r="C635" i="4" a="1"/>
  <c r="C635" i="4" s="1"/>
  <c r="C651" i="4" a="1"/>
  <c r="C651" i="4" s="1"/>
  <c r="C669" i="4" a="1"/>
  <c r="C669" i="4" s="1"/>
  <c r="C686" i="4" a="1"/>
  <c r="C686" i="4" s="1"/>
  <c r="C704" i="4" a="1"/>
  <c r="C704" i="4" s="1"/>
  <c r="C723" i="4" a="1"/>
  <c r="C723" i="4" s="1"/>
  <c r="C741" i="4" a="1"/>
  <c r="C741" i="4" s="1"/>
  <c r="C758" i="4" a="1"/>
  <c r="C758" i="4" s="1"/>
  <c r="C775" i="4" a="1"/>
  <c r="C775" i="4" s="1"/>
  <c r="C794" i="4" a="1"/>
  <c r="C794" i="4" s="1"/>
  <c r="C811" i="4" a="1"/>
  <c r="C811" i="4" s="1"/>
  <c r="C829" i="4" a="1"/>
  <c r="C829" i="4" s="1"/>
  <c r="C845" i="4" a="1"/>
  <c r="C845" i="4" s="1"/>
  <c r="C865" i="4" a="1"/>
  <c r="C865" i="4" s="1"/>
  <c r="C884" i="4" a="1"/>
  <c r="C884" i="4" s="1"/>
  <c r="C919" i="4" a="1"/>
  <c r="C919" i="4" s="1"/>
  <c r="C934" i="4" a="1"/>
  <c r="C934" i="4" s="1"/>
  <c r="C949" i="4" a="1"/>
  <c r="C949" i="4" s="1"/>
  <c r="C966" i="4" a="1"/>
  <c r="C966" i="4" s="1"/>
  <c r="C982" i="4" a="1"/>
  <c r="C982" i="4" s="1"/>
  <c r="C1017" i="4" a="1"/>
  <c r="C1017" i="4" s="1"/>
  <c r="C1033" i="4" a="1"/>
  <c r="C1033" i="4" s="1"/>
  <c r="C1051" i="4" a="1"/>
  <c r="C1051" i="4" s="1"/>
  <c r="C1067" i="4" a="1"/>
  <c r="C1067" i="4" s="1"/>
  <c r="C1087" i="4" a="1"/>
  <c r="C1087" i="4" s="1"/>
  <c r="C1102" i="4" a="1"/>
  <c r="C1102" i="4" s="1"/>
  <c r="C1122" i="4" a="1"/>
  <c r="C1122" i="4" s="1"/>
  <c r="C1139" i="4" a="1"/>
  <c r="C1139" i="4" s="1"/>
  <c r="C1157" i="4" a="1"/>
  <c r="C1157" i="4" s="1"/>
  <c r="C1173" i="4" a="1"/>
  <c r="C1173" i="4" s="1"/>
  <c r="C1189" i="4" a="1"/>
  <c r="C1189" i="4" s="1"/>
  <c r="C1207" i="4" a="1"/>
  <c r="C1207" i="4" s="1"/>
  <c r="C1223" i="4" a="1"/>
  <c r="C1223" i="4" s="1"/>
  <c r="C1239" i="4" a="1"/>
  <c r="C1239" i="4" s="1"/>
  <c r="C1261" i="4" a="1"/>
  <c r="C1261" i="4" s="1"/>
  <c r="C1288" i="4" a="1"/>
  <c r="C1288" i="4" s="1"/>
  <c r="C1307" i="4" a="1"/>
  <c r="C1307" i="4" s="1"/>
  <c r="C1319" i="4" a="1"/>
  <c r="C1319" i="4" s="1"/>
  <c r="C1331" i="4" a="1"/>
  <c r="C1331" i="4" s="1"/>
  <c r="C1343" i="4" a="1"/>
  <c r="C1343" i="4" s="1"/>
  <c r="C1355" i="4" a="1"/>
  <c r="C1355" i="4" s="1"/>
  <c r="C1366" i="4" a="1"/>
  <c r="C1366" i="4" s="1"/>
  <c r="C1425" i="4" a="1"/>
  <c r="C1425" i="4" s="1"/>
  <c r="C1435" i="4" a="1"/>
  <c r="C1435" i="4" s="1"/>
  <c r="C1445" i="4" a="1"/>
  <c r="C1445" i="4" s="1"/>
  <c r="C1465" i="4" a="1"/>
  <c r="C1465" i="4" s="1"/>
  <c r="C1483" i="4" a="1"/>
  <c r="C1483" i="4" s="1"/>
  <c r="C1494" i="4" a="1"/>
  <c r="C1494" i="4" s="1"/>
  <c r="C1503" i="4" a="1"/>
  <c r="C1503" i="4" s="1"/>
  <c r="C1512" i="4" a="1"/>
  <c r="C1512" i="4" s="1"/>
  <c r="C1523" i="4" a="1"/>
  <c r="C1523" i="4" s="1"/>
  <c r="C619" i="4" a="1"/>
  <c r="C619" i="4" s="1"/>
  <c r="C637" i="4" a="1"/>
  <c r="C637" i="4" s="1"/>
  <c r="C652" i="4" a="1"/>
  <c r="C652" i="4" s="1"/>
  <c r="C670" i="4" a="1"/>
  <c r="C670" i="4" s="1"/>
  <c r="C689" i="4" a="1"/>
  <c r="C689" i="4" s="1"/>
  <c r="C708" i="4" a="1"/>
  <c r="C708" i="4" s="1"/>
  <c r="C725" i="4" a="1"/>
  <c r="C725" i="4" s="1"/>
  <c r="C761" i="4" a="1"/>
  <c r="C761" i="4" s="1"/>
  <c r="C777" i="4" a="1"/>
  <c r="C777" i="4" s="1"/>
  <c r="C797" i="4" a="1"/>
  <c r="C797" i="4" s="1"/>
  <c r="C812" i="4" a="1"/>
  <c r="C812" i="4" s="1"/>
  <c r="C830" i="4" a="1"/>
  <c r="C830" i="4" s="1"/>
  <c r="C850" i="4" a="1"/>
  <c r="C850" i="4" s="1"/>
  <c r="C868" i="4" a="1"/>
  <c r="C868" i="4" s="1"/>
  <c r="C886" i="4" a="1"/>
  <c r="C886" i="4" s="1"/>
  <c r="C902" i="4" a="1"/>
  <c r="C902" i="4" s="1"/>
  <c r="C921" i="4" a="1"/>
  <c r="C921" i="4" s="1"/>
  <c r="C936" i="4" a="1"/>
  <c r="C936" i="4" s="1"/>
  <c r="C953" i="4" a="1"/>
  <c r="C953" i="4" s="1"/>
  <c r="C969" i="4" a="1"/>
  <c r="C969" i="4" s="1"/>
  <c r="C984" i="4" a="1"/>
  <c r="C984" i="4" s="1"/>
  <c r="C1001" i="4" a="1"/>
  <c r="C1001" i="4" s="1"/>
  <c r="C1019" i="4" a="1"/>
  <c r="C1019" i="4" s="1"/>
  <c r="C1036" i="4" a="1"/>
  <c r="C1036" i="4" s="1"/>
  <c r="C1053" i="4" a="1"/>
  <c r="C1053" i="4" s="1"/>
  <c r="C1068" i="4" a="1"/>
  <c r="C1068" i="4" s="1"/>
  <c r="C1107" i="4" a="1"/>
  <c r="C1107" i="4" s="1"/>
  <c r="C1158" i="4" a="1"/>
  <c r="C1158" i="4" s="1"/>
  <c r="C1174" i="4" a="1"/>
  <c r="C1174" i="4" s="1"/>
  <c r="C1192" i="4" a="1"/>
  <c r="C1192" i="4" s="1"/>
  <c r="C1210" i="4" a="1"/>
  <c r="C1210" i="4" s="1"/>
  <c r="C1227" i="4" a="1"/>
  <c r="C1227" i="4" s="1"/>
  <c r="C1241" i="4" a="1"/>
  <c r="C1241" i="4" s="1"/>
  <c r="C1252" i="4" a="1"/>
  <c r="C1252" i="4" s="1"/>
  <c r="C1262" i="4" a="1"/>
  <c r="C1262" i="4" s="1"/>
  <c r="C1281" i="4" a="1"/>
  <c r="C1281" i="4" s="1"/>
  <c r="C1289" i="4" a="1"/>
  <c r="C1289" i="4" s="1"/>
  <c r="C1298" i="4" a="1"/>
  <c r="C1298" i="4" s="1"/>
  <c r="C1333" i="4" a="1"/>
  <c r="C1333" i="4" s="1"/>
  <c r="C1344" i="4" a="1"/>
  <c r="C1344" i="4" s="1"/>
  <c r="C1356" i="4" a="1"/>
  <c r="C1356" i="4" s="1"/>
  <c r="C1368" i="4" a="1"/>
  <c r="C1368" i="4" s="1"/>
  <c r="C1380" i="4" a="1"/>
  <c r="C1380" i="4" s="1"/>
  <c r="C1392" i="4" a="1"/>
  <c r="C1392" i="4" s="1"/>
  <c r="C1402" i="4" a="1"/>
  <c r="C1402" i="4" s="1"/>
  <c r="C1414" i="4" a="1"/>
  <c r="C1414" i="4" s="1"/>
  <c r="C1426" i="4" a="1"/>
  <c r="C1426" i="4" s="1"/>
  <c r="C1437" i="4" a="1"/>
  <c r="C1437" i="4" s="1"/>
  <c r="C1456" i="4" a="1"/>
  <c r="C1456" i="4" s="1"/>
  <c r="C1475" i="4" a="1"/>
  <c r="C1475" i="4" s="1"/>
  <c r="C1485" i="4" a="1"/>
  <c r="C1485" i="4" s="1"/>
  <c r="C1495" i="4" a="1"/>
  <c r="C1495" i="4" s="1"/>
  <c r="C1504" i="4" a="1"/>
  <c r="C1504" i="4" s="1"/>
  <c r="C1514" i="4" a="1"/>
  <c r="C1514" i="4" s="1"/>
  <c r="C1524" i="4" a="1"/>
  <c r="C1524" i="4" s="1"/>
  <c r="C620" i="4" a="1"/>
  <c r="C620" i="4" s="1"/>
  <c r="C638" i="4" a="1"/>
  <c r="C638" i="4" s="1"/>
  <c r="C655" i="4" a="1"/>
  <c r="C655" i="4" s="1"/>
  <c r="C675" i="4" a="1"/>
  <c r="C675" i="4" s="1"/>
  <c r="C691" i="4" a="1"/>
  <c r="C691" i="4" s="1"/>
  <c r="C709" i="4" a="1"/>
  <c r="C709" i="4" s="1"/>
  <c r="C727" i="4" a="1"/>
  <c r="C727" i="4" s="1"/>
  <c r="C744" i="4" a="1"/>
  <c r="C744" i="4" s="1"/>
  <c r="C763" i="4" a="1"/>
  <c r="C763" i="4" s="1"/>
  <c r="C778" i="4" a="1"/>
  <c r="C778" i="4" s="1"/>
  <c r="C798" i="4" a="1"/>
  <c r="C798" i="4" s="1"/>
  <c r="C815" i="4" a="1"/>
  <c r="C815" i="4" s="1"/>
  <c r="C834" i="4" a="1"/>
  <c r="C834" i="4" s="1"/>
  <c r="C852" i="4" a="1"/>
  <c r="C852" i="4" s="1"/>
  <c r="C887" i="4" a="1"/>
  <c r="C887" i="4" s="1"/>
  <c r="C904" i="4" a="1"/>
  <c r="C904" i="4" s="1"/>
  <c r="C940" i="4" a="1"/>
  <c r="C940" i="4" s="1"/>
  <c r="C955" i="4" a="1"/>
  <c r="C955" i="4" s="1"/>
  <c r="C970" i="4" a="1"/>
  <c r="C970" i="4" s="1"/>
  <c r="C987" i="4" a="1"/>
  <c r="C987" i="4" s="1"/>
  <c r="C1003" i="4" a="1"/>
  <c r="C1003" i="4" s="1"/>
  <c r="C1022" i="4" a="1"/>
  <c r="C1022" i="4" s="1"/>
  <c r="C1055" i="4" a="1"/>
  <c r="C1055" i="4" s="1"/>
  <c r="C1073" i="4" a="1"/>
  <c r="C1073" i="4" s="1"/>
  <c r="C1091" i="4" a="1"/>
  <c r="C1091" i="4" s="1"/>
  <c r="C1125" i="4" a="1"/>
  <c r="C1125" i="4" s="1"/>
  <c r="C1142" i="4" a="1"/>
  <c r="C1142" i="4" s="1"/>
  <c r="C1160" i="4" a="1"/>
  <c r="C1160" i="4" s="1"/>
  <c r="C1178" i="4" a="1"/>
  <c r="C1178" i="4" s="1"/>
  <c r="C1243" i="4" a="1"/>
  <c r="C1243" i="4" s="1"/>
  <c r="C1263" i="4" a="1"/>
  <c r="C1263" i="4" s="1"/>
  <c r="C1272" i="4" a="1"/>
  <c r="C1272" i="4" s="1"/>
  <c r="C1290" i="4" a="1"/>
  <c r="C1290" i="4" s="1"/>
  <c r="C1299" i="4" a="1"/>
  <c r="C1299" i="4" s="1"/>
  <c r="C1311" i="4" a="1"/>
  <c r="C1311" i="4" s="1"/>
  <c r="C1322" i="4" a="1"/>
  <c r="C1322" i="4" s="1"/>
  <c r="C1334" i="4" a="1"/>
  <c r="C1334" i="4" s="1"/>
  <c r="C1381" i="4" a="1"/>
  <c r="C1381" i="4" s="1"/>
  <c r="C1393" i="4" a="1"/>
  <c r="C1393" i="4" s="1"/>
  <c r="C1405" i="4" a="1"/>
  <c r="C1405" i="4" s="1"/>
  <c r="C1416" i="4" a="1"/>
  <c r="C1416" i="4" s="1"/>
  <c r="C1428" i="4" a="1"/>
  <c r="C1428" i="4" s="1"/>
  <c r="C1446" i="4" a="1"/>
  <c r="C1446" i="4" s="1"/>
  <c r="C1466" i="4" a="1"/>
  <c r="C1466" i="4" s="1"/>
  <c r="C1476" i="4" a="1"/>
  <c r="C1476" i="4" s="1"/>
  <c r="C1486" i="4" a="1"/>
  <c r="C1486" i="4" s="1"/>
  <c r="C1496" i="4" a="1"/>
  <c r="C1496" i="4" s="1"/>
  <c r="C1505" i="4" a="1"/>
  <c r="C1505" i="4" s="1"/>
  <c r="C1516" i="4" a="1"/>
  <c r="C1516" i="4" s="1"/>
  <c r="C1525" i="4" a="1"/>
  <c r="C1525" i="4" s="1"/>
  <c r="C627" i="4" a="1"/>
  <c r="C627" i="4" s="1"/>
  <c r="C645" i="4" a="1"/>
  <c r="C645" i="4" s="1"/>
  <c r="C662" i="4" a="1"/>
  <c r="C662" i="4" s="1"/>
  <c r="C679" i="4" a="1"/>
  <c r="C679" i="4" s="1"/>
  <c r="C698" i="4" a="1"/>
  <c r="C698" i="4" s="1"/>
  <c r="C716" i="4" a="1"/>
  <c r="C716" i="4" s="1"/>
  <c r="C734" i="4" a="1"/>
  <c r="C734" i="4" s="1"/>
  <c r="C752" i="4" a="1"/>
  <c r="C752" i="4" s="1"/>
  <c r="C769" i="4" a="1"/>
  <c r="C769" i="4" s="1"/>
  <c r="C786" i="4" a="1"/>
  <c r="C786" i="4" s="1"/>
  <c r="C804" i="4" a="1"/>
  <c r="C804" i="4" s="1"/>
  <c r="C822" i="4" a="1"/>
  <c r="C822" i="4" s="1"/>
  <c r="C841" i="4" a="1"/>
  <c r="C841" i="4" s="1"/>
  <c r="C859" i="4" a="1"/>
  <c r="C859" i="4" s="1"/>
  <c r="C876" i="4" a="1"/>
  <c r="C876" i="4" s="1"/>
  <c r="C894" i="4" a="1"/>
  <c r="C894" i="4" s="1"/>
  <c r="C911" i="4" a="1"/>
  <c r="C911" i="4" s="1"/>
  <c r="C928" i="4" a="1"/>
  <c r="C928" i="4" s="1"/>
  <c r="C943" i="4" a="1"/>
  <c r="C943" i="4" s="1"/>
  <c r="C994" i="4" a="1"/>
  <c r="C994" i="4" s="1"/>
  <c r="C1010" i="4" a="1"/>
  <c r="C1010" i="4" s="1"/>
  <c r="C1027" i="4" a="1"/>
  <c r="C1027" i="4" s="1"/>
  <c r="C1043" i="4" a="1"/>
  <c r="C1043" i="4" s="1"/>
  <c r="C1080" i="4" a="1"/>
  <c r="C1080" i="4" s="1"/>
  <c r="C1097" i="4" a="1"/>
  <c r="C1097" i="4" s="1"/>
  <c r="C1115" i="4" a="1"/>
  <c r="C1115" i="4" s="1"/>
  <c r="C1132" i="4" a="1"/>
  <c r="C1132" i="4" s="1"/>
  <c r="C1150" i="4" a="1"/>
  <c r="C1150" i="4" s="1"/>
  <c r="C1166" i="4" a="1"/>
  <c r="C1166" i="4" s="1"/>
  <c r="C1183" i="4" a="1"/>
  <c r="C1183" i="4" s="1"/>
  <c r="C1200" i="4" a="1"/>
  <c r="C1200" i="4" s="1"/>
  <c r="C1217" i="4" a="1"/>
  <c r="C1217" i="4" s="1"/>
  <c r="C1233" i="4" a="1"/>
  <c r="C1233" i="4" s="1"/>
  <c r="C1276" i="4" a="1"/>
  <c r="C1276" i="4" s="1"/>
  <c r="C1285" i="4" a="1"/>
  <c r="C1285" i="4" s="1"/>
  <c r="C1304" i="4" a="1"/>
  <c r="C1304" i="4" s="1"/>
  <c r="C1315" i="4" a="1"/>
  <c r="C1315" i="4" s="1"/>
  <c r="C1326" i="4" a="1"/>
  <c r="C1326" i="4" s="1"/>
  <c r="C1338" i="4" a="1"/>
  <c r="C1338" i="4" s="1"/>
  <c r="C1350" i="4" a="1"/>
  <c r="C1350" i="4" s="1"/>
  <c r="C1362" i="4" a="1"/>
  <c r="C1362" i="4" s="1"/>
  <c r="C1397" i="4" a="1"/>
  <c r="C1397" i="4" s="1"/>
  <c r="C1409" i="4" a="1"/>
  <c r="C1409" i="4" s="1"/>
  <c r="C1421" i="4" a="1"/>
  <c r="C1421" i="4" s="1"/>
  <c r="C1431" i="4" a="1"/>
  <c r="C1431" i="4" s="1"/>
  <c r="C1441" i="4" a="1"/>
  <c r="C1441" i="4" s="1"/>
  <c r="C1451" i="4" a="1"/>
  <c r="C1451" i="4" s="1"/>
  <c r="C1460" i="4" a="1"/>
  <c r="C1460" i="4" s="1"/>
  <c r="C1470" i="4" a="1"/>
  <c r="C1470" i="4" s="1"/>
  <c r="C1480" i="4" a="1"/>
  <c r="C1480" i="4" s="1"/>
  <c r="C1499" i="4" a="1"/>
  <c r="C1499" i="4" s="1"/>
  <c r="C1518" i="4" a="1"/>
  <c r="C1518" i="4" s="1"/>
  <c r="C1529" i="4" a="1"/>
  <c r="C1529" i="4" s="1"/>
  <c r="C683" i="4" a="1"/>
  <c r="C683" i="4" s="1"/>
  <c r="C753" i="4" a="1"/>
  <c r="C753" i="4" s="1"/>
  <c r="C825" i="4" a="1"/>
  <c r="C825" i="4" s="1"/>
  <c r="C896" i="4" a="1"/>
  <c r="C896" i="4" s="1"/>
  <c r="C963" i="4" a="1"/>
  <c r="C963" i="4" s="1"/>
  <c r="C1011" i="4" a="1"/>
  <c r="C1011" i="4" s="1"/>
  <c r="C1059" i="4" a="1"/>
  <c r="C1059" i="4" s="1"/>
  <c r="C1109" i="4" a="1"/>
  <c r="C1109" i="4" s="1"/>
  <c r="C1152" i="4" a="1"/>
  <c r="C1152" i="4" s="1"/>
  <c r="C1199" i="4" a="1"/>
  <c r="C1199" i="4" s="1"/>
  <c r="C1244" i="4" a="1"/>
  <c r="C1244" i="4" s="1"/>
  <c r="C1292" i="4" a="1"/>
  <c r="C1292" i="4" s="1"/>
  <c r="C1324" i="4" a="1"/>
  <c r="C1324" i="4" s="1"/>
  <c r="C1351" i="4" a="1"/>
  <c r="C1351" i="4" s="1"/>
  <c r="C1384" i="4" a="1"/>
  <c r="C1384" i="4" s="1"/>
  <c r="C1443" i="4" a="1"/>
  <c r="C1443" i="4" s="1"/>
  <c r="C1469" i="4" a="1"/>
  <c r="C1469" i="4" s="1"/>
  <c r="C1497" i="4" a="1"/>
  <c r="C1497" i="4" s="1"/>
  <c r="C732" i="4" a="1"/>
  <c r="C732" i="4" s="1"/>
  <c r="C1181" i="4" a="1"/>
  <c r="C1181" i="4" s="1"/>
  <c r="C1312" i="4" a="1"/>
  <c r="C1312" i="4" s="1"/>
  <c r="C1432" i="4" a="1"/>
  <c r="C1432" i="4" s="1"/>
  <c r="C1510" i="4" a="1"/>
  <c r="C1510" i="4" s="1"/>
  <c r="C625" i="4" a="1"/>
  <c r="C625" i="4" s="1"/>
  <c r="C696" i="4" a="1"/>
  <c r="C696" i="4" s="1"/>
  <c r="C768" i="4" a="1"/>
  <c r="C768" i="4" s="1"/>
  <c r="C837" i="4" a="1"/>
  <c r="C837" i="4" s="1"/>
  <c r="C909" i="4" a="1"/>
  <c r="C909" i="4" s="1"/>
  <c r="C973" i="4" a="1"/>
  <c r="C973" i="4" s="1"/>
  <c r="C1024" i="4" a="1"/>
  <c r="C1024" i="4" s="1"/>
  <c r="C1112" i="4" a="1"/>
  <c r="C1112" i="4" s="1"/>
  <c r="C1164" i="4" a="1"/>
  <c r="C1164" i="4" s="1"/>
  <c r="C1203" i="4" a="1"/>
  <c r="C1203" i="4" s="1"/>
  <c r="C1246" i="4" a="1"/>
  <c r="C1246" i="4" s="1"/>
  <c r="C1294" i="4" a="1"/>
  <c r="C1294" i="4" s="1"/>
  <c r="C1358" i="4" a="1"/>
  <c r="C1358" i="4" s="1"/>
  <c r="C1387" i="4" a="1"/>
  <c r="C1387" i="4" s="1"/>
  <c r="C1419" i="4" a="1"/>
  <c r="C1419" i="4" s="1"/>
  <c r="C1448" i="4" a="1"/>
  <c r="C1448" i="4" s="1"/>
  <c r="C1472" i="4" a="1"/>
  <c r="C1472" i="4" s="1"/>
  <c r="C1526" i="4" a="1"/>
  <c r="C1526" i="4" s="1"/>
  <c r="C660" i="4" a="1"/>
  <c r="C660" i="4" s="1"/>
  <c r="C942" i="4" a="1"/>
  <c r="C942" i="4" s="1"/>
  <c r="C1042" i="4" a="1"/>
  <c r="C1042" i="4" s="1"/>
  <c r="C1229" i="4" a="1"/>
  <c r="C1229" i="4" s="1"/>
  <c r="C1341" i="4" a="1"/>
  <c r="C1341" i="4" s="1"/>
  <c r="C1406" i="4" a="1"/>
  <c r="C1406" i="4" s="1"/>
  <c r="C1488" i="4" a="1"/>
  <c r="C1488" i="4" s="1"/>
  <c r="C630" i="4" a="1"/>
  <c r="C630" i="4" s="1"/>
  <c r="C770" i="4" a="1"/>
  <c r="C770" i="4" s="1"/>
  <c r="C842" i="4" a="1"/>
  <c r="C842" i="4" s="1"/>
  <c r="C913" i="4" a="1"/>
  <c r="C913" i="4" s="1"/>
  <c r="C979" i="4" a="1"/>
  <c r="C979" i="4" s="1"/>
  <c r="C1026" i="4" a="1"/>
  <c r="C1026" i="4" s="1"/>
  <c r="C1075" i="4" a="1"/>
  <c r="C1075" i="4" s="1"/>
  <c r="C1117" i="4" a="1"/>
  <c r="C1117" i="4" s="1"/>
  <c r="C1214" i="4" a="1"/>
  <c r="C1214" i="4" s="1"/>
  <c r="C1248" i="4" a="1"/>
  <c r="C1248" i="4" s="1"/>
  <c r="C1300" i="4" a="1"/>
  <c r="C1300" i="4" s="1"/>
  <c r="C1329" i="4" a="1"/>
  <c r="C1329" i="4" s="1"/>
  <c r="C1361" i="4" a="1"/>
  <c r="C1361" i="4" s="1"/>
  <c r="C1394" i="4" a="1"/>
  <c r="C1394" i="4" s="1"/>
  <c r="C1450" i="4" a="1"/>
  <c r="C1450" i="4" s="1"/>
  <c r="C1527" i="4" a="1"/>
  <c r="C1527" i="4" s="1"/>
  <c r="C1452" i="4" a="1"/>
  <c r="C1452" i="4" s="1"/>
  <c r="C1507" i="4" a="1"/>
  <c r="C1507" i="4" s="1"/>
  <c r="C643" i="4" a="1"/>
  <c r="C643" i="4" s="1"/>
  <c r="C711" i="4" a="1"/>
  <c r="C711" i="4" s="1"/>
  <c r="C785" i="4" a="1"/>
  <c r="C785" i="4" s="1"/>
  <c r="C857" i="4" a="1"/>
  <c r="C857" i="4" s="1"/>
  <c r="C927" i="4" a="1"/>
  <c r="C927" i="4" s="1"/>
  <c r="C989" i="4" a="1"/>
  <c r="C989" i="4" s="1"/>
  <c r="C1029" i="4" a="1"/>
  <c r="C1029" i="4" s="1"/>
  <c r="C1076" i="4" a="1"/>
  <c r="C1076" i="4" s="1"/>
  <c r="C1127" i="4" a="1"/>
  <c r="C1127" i="4" s="1"/>
  <c r="C1167" i="4" a="1"/>
  <c r="C1167" i="4" s="1"/>
  <c r="C1216" i="4" a="1"/>
  <c r="C1216" i="4" s="1"/>
  <c r="C1254" i="4" a="1"/>
  <c r="C1254" i="4" s="1"/>
  <c r="C1278" i="4" a="1"/>
  <c r="C1278" i="4" s="1"/>
  <c r="C1302" i="4" a="1"/>
  <c r="C1302" i="4" s="1"/>
  <c r="C1336" i="4" a="1"/>
  <c r="C1336" i="4" s="1"/>
  <c r="C1363" i="4" a="1"/>
  <c r="C1363" i="4" s="1"/>
  <c r="C1395" i="4" a="1"/>
  <c r="C1395" i="4" s="1"/>
  <c r="C1429" i="4" a="1"/>
  <c r="C1429" i="4" s="1"/>
  <c r="C1479" i="4" a="1"/>
  <c r="C1479" i="4" s="1"/>
  <c r="C1530" i="4" a="1"/>
  <c r="C1530" i="4" s="1"/>
  <c r="C718" i="4" a="1"/>
  <c r="C718" i="4" s="1"/>
  <c r="C790" i="4" a="1"/>
  <c r="C790" i="4" s="1"/>
  <c r="C861" i="4" a="1"/>
  <c r="C861" i="4" s="1"/>
  <c r="C991" i="4" a="1"/>
  <c r="C991" i="4" s="1"/>
  <c r="C1040" i="4" a="1"/>
  <c r="C1040" i="4" s="1"/>
  <c r="C1082" i="4" a="1"/>
  <c r="C1082" i="4" s="1"/>
  <c r="C1131" i="4" a="1"/>
  <c r="C1131" i="4" s="1"/>
  <c r="C1220" i="4" a="1"/>
  <c r="C1220" i="4" s="1"/>
  <c r="C1256" i="4" a="1"/>
  <c r="C1256" i="4" s="1"/>
  <c r="C1283" i="4" a="1"/>
  <c r="C1283" i="4" s="1"/>
  <c r="C1305" i="4" a="1"/>
  <c r="C1305" i="4" s="1"/>
  <c r="C1337" i="4" a="1"/>
  <c r="C1337" i="4" s="1"/>
  <c r="C1370" i="4" a="1"/>
  <c r="C1370" i="4" s="1"/>
  <c r="C1399" i="4" a="1"/>
  <c r="C1399" i="4" s="1"/>
  <c r="C1430" i="4" a="1"/>
  <c r="C1430" i="4" s="1"/>
  <c r="C1458" i="4" a="1"/>
  <c r="C1458" i="4" s="1"/>
  <c r="C1509" i="4" a="1"/>
  <c r="C1509" i="4" s="1"/>
  <c r="C995" i="4" a="1"/>
  <c r="C995" i="4" s="1"/>
  <c r="C665" i="4" a="1"/>
  <c r="C665" i="4" s="1"/>
  <c r="C735" i="4" a="1"/>
  <c r="C735" i="4" s="1"/>
  <c r="C807" i="4" a="1"/>
  <c r="C807" i="4" s="1"/>
  <c r="C878" i="4" a="1"/>
  <c r="C878" i="4" s="1"/>
  <c r="C946" i="4" a="1"/>
  <c r="C946" i="4" s="1"/>
  <c r="C1004" i="4" a="1"/>
  <c r="C1004" i="4" s="1"/>
  <c r="C1046" i="4" a="1"/>
  <c r="C1046" i="4" s="1"/>
  <c r="C1094" i="4" a="1"/>
  <c r="C1094" i="4" s="1"/>
  <c r="C1145" i="4" a="1"/>
  <c r="C1145" i="4" s="1"/>
  <c r="C1185" i="4" a="1"/>
  <c r="C1185" i="4" s="1"/>
  <c r="C1230" i="4" a="1"/>
  <c r="C1230" i="4" s="1"/>
  <c r="C1264" i="4" a="1"/>
  <c r="C1264" i="4" s="1"/>
  <c r="C1286" i="4" a="1"/>
  <c r="C1286" i="4" s="1"/>
  <c r="C1348" i="4" a="1"/>
  <c r="C1348" i="4" s="1"/>
  <c r="C1375" i="4" a="1"/>
  <c r="C1375" i="4" s="1"/>
  <c r="C1407" i="4" a="1"/>
  <c r="C1407" i="4" s="1"/>
  <c r="C1438" i="4" a="1"/>
  <c r="C1438" i="4" s="1"/>
  <c r="C1461" i="4" a="1"/>
  <c r="C1461" i="4" s="1"/>
  <c r="C1489" i="4" a="1"/>
  <c r="C1489" i="4" s="1"/>
  <c r="C1517" i="4" a="1"/>
  <c r="C1517" i="4" s="1"/>
  <c r="C874" i="4" a="1"/>
  <c r="C874" i="4" s="1"/>
  <c r="C1133" i="4" a="1"/>
  <c r="C1133" i="4" s="1"/>
  <c r="C1258" i="4" a="1"/>
  <c r="C1258" i="4" s="1"/>
  <c r="C1373" i="4" a="1"/>
  <c r="C1373" i="4" s="1"/>
  <c r="C1459" i="4" a="1"/>
  <c r="C1459" i="4" s="1"/>
  <c r="C749" i="4" a="1"/>
  <c r="C749" i="4" s="1"/>
  <c r="C819" i="4" a="1"/>
  <c r="C819" i="4" s="1"/>
  <c r="C893" i="4" a="1"/>
  <c r="C893" i="4" s="1"/>
  <c r="C958" i="4" a="1"/>
  <c r="C958" i="4" s="1"/>
  <c r="C1008" i="4" a="1"/>
  <c r="C1008" i="4" s="1"/>
  <c r="C1058" i="4" a="1"/>
  <c r="C1058" i="4" s="1"/>
  <c r="C1099" i="4" a="1"/>
  <c r="C1099" i="4" s="1"/>
  <c r="C1147" i="4" a="1"/>
  <c r="C1147" i="4" s="1"/>
  <c r="C1196" i="4" a="1"/>
  <c r="C1196" i="4" s="1"/>
  <c r="C1235" i="4" a="1"/>
  <c r="C1235" i="4" s="1"/>
  <c r="C1266" i="4" a="1"/>
  <c r="C1266" i="4" s="1"/>
  <c r="C1317" i="4" a="1"/>
  <c r="C1317" i="4" s="1"/>
  <c r="C1349" i="4" a="1"/>
  <c r="C1349" i="4" s="1"/>
  <c r="C1382" i="4" a="1"/>
  <c r="C1382" i="4" s="1"/>
  <c r="C1439" i="4" a="1"/>
  <c r="C1439" i="4" s="1"/>
  <c r="C1467" i="4" a="1"/>
  <c r="C1467" i="4" s="1"/>
  <c r="C1490" i="4" a="1"/>
  <c r="C1490" i="4" s="1"/>
  <c r="C1520" i="4" a="1"/>
  <c r="C1520" i="4" s="1"/>
  <c r="F44" i="10"/>
  <c r="F48" i="10"/>
  <c r="F52" i="10"/>
  <c r="F56" i="10"/>
  <c r="F60" i="10"/>
  <c r="F64" i="10"/>
  <c r="F68" i="10"/>
  <c r="F72" i="10"/>
  <c r="F76" i="10"/>
  <c r="F80" i="10"/>
  <c r="F84" i="10"/>
  <c r="F88" i="10"/>
  <c r="F92" i="10"/>
  <c r="F96" i="10"/>
  <c r="F100" i="10"/>
  <c r="F104" i="10"/>
  <c r="F108" i="10"/>
  <c r="F112" i="10"/>
  <c r="F116" i="10"/>
  <c r="F120" i="10"/>
  <c r="F124" i="10"/>
  <c r="F128" i="10"/>
  <c r="F132" i="10"/>
  <c r="F136" i="10"/>
  <c r="F140" i="10"/>
  <c r="F144" i="10"/>
  <c r="F148" i="10"/>
  <c r="F152" i="10"/>
  <c r="F156" i="10"/>
  <c r="F160" i="10"/>
  <c r="F164" i="10"/>
  <c r="F168" i="10"/>
  <c r="F172" i="10"/>
  <c r="F176" i="10"/>
  <c r="F180" i="10"/>
  <c r="F184" i="10"/>
  <c r="F188" i="10"/>
  <c r="F192" i="10"/>
  <c r="F196" i="10"/>
  <c r="F200" i="10"/>
  <c r="F204" i="10"/>
  <c r="F208" i="10"/>
  <c r="F212" i="10"/>
  <c r="F216" i="10"/>
  <c r="F220" i="10"/>
  <c r="F224" i="10"/>
  <c r="F228" i="10"/>
  <c r="F232" i="10"/>
  <c r="F236" i="10"/>
  <c r="F240" i="10"/>
  <c r="F244" i="10"/>
  <c r="F248" i="10"/>
  <c r="F252" i="10"/>
  <c r="F256" i="10"/>
  <c r="F260" i="10"/>
  <c r="F264" i="10"/>
  <c r="F268" i="10"/>
  <c r="F272" i="10"/>
  <c r="F276" i="10"/>
  <c r="F280" i="10"/>
  <c r="F284" i="10"/>
  <c r="F288" i="10"/>
  <c r="F292" i="10"/>
  <c r="F296" i="10"/>
  <c r="F300" i="10"/>
  <c r="F304" i="10"/>
  <c r="F308" i="10"/>
  <c r="F312" i="10"/>
  <c r="F316" i="10"/>
  <c r="F320" i="10"/>
  <c r="F324" i="10"/>
  <c r="F328" i="10"/>
  <c r="F332" i="10"/>
  <c r="F336" i="10"/>
  <c r="F42" i="10"/>
  <c r="F47" i="10"/>
  <c r="F53" i="10"/>
  <c r="F58" i="10"/>
  <c r="F63" i="10"/>
  <c r="F69" i="10"/>
  <c r="F74" i="10"/>
  <c r="F79" i="10"/>
  <c r="F85" i="10"/>
  <c r="F90" i="10"/>
  <c r="F95" i="10"/>
  <c r="F101" i="10"/>
  <c r="F106" i="10"/>
  <c r="F111" i="10"/>
  <c r="F117" i="10"/>
  <c r="F122" i="10"/>
  <c r="F127" i="10"/>
  <c r="F133" i="10"/>
  <c r="F138" i="10"/>
  <c r="F143" i="10"/>
  <c r="F149" i="10"/>
  <c r="F154" i="10"/>
  <c r="F159" i="10"/>
  <c r="F165" i="10"/>
  <c r="F170" i="10"/>
  <c r="F175" i="10"/>
  <c r="F181" i="10"/>
  <c r="F186" i="10"/>
  <c r="F191" i="10"/>
  <c r="F197" i="10"/>
  <c r="F202" i="10"/>
  <c r="F207" i="10"/>
  <c r="F213" i="10"/>
  <c r="F218" i="10"/>
  <c r="F223" i="10"/>
  <c r="F229" i="10"/>
  <c r="F234" i="10"/>
  <c r="F239" i="10"/>
  <c r="F245" i="10"/>
  <c r="F250" i="10"/>
  <c r="F255" i="10"/>
  <c r="F261" i="10"/>
  <c r="F266" i="10"/>
  <c r="F271" i="10"/>
  <c r="F277" i="10"/>
  <c r="F282" i="10"/>
  <c r="F287" i="10"/>
  <c r="F293" i="10"/>
  <c r="F298" i="10"/>
  <c r="F303" i="10"/>
  <c r="F309" i="10"/>
  <c r="F314" i="10"/>
  <c r="F319" i="10"/>
  <c r="F325" i="10"/>
  <c r="F330" i="10"/>
  <c r="F335" i="10"/>
  <c r="F340" i="10"/>
  <c r="F344" i="10"/>
  <c r="F348" i="10"/>
  <c r="F352" i="10"/>
  <c r="F356" i="10"/>
  <c r="F360" i="10"/>
  <c r="F364" i="10"/>
  <c r="F368" i="10"/>
  <c r="F372" i="10"/>
  <c r="F376" i="10"/>
  <c r="F380" i="10"/>
  <c r="F384" i="10"/>
  <c r="F388" i="10"/>
  <c r="F392" i="10"/>
  <c r="F396" i="10"/>
  <c r="F400" i="10"/>
  <c r="F404" i="10"/>
  <c r="F408" i="10"/>
  <c r="F412" i="10"/>
  <c r="F416" i="10"/>
  <c r="F420" i="10"/>
  <c r="F424" i="10"/>
  <c r="F428" i="10"/>
  <c r="F46" i="10"/>
  <c r="F54" i="10"/>
  <c r="F61" i="10"/>
  <c r="F67" i="10"/>
  <c r="F75" i="10"/>
  <c r="F82" i="10"/>
  <c r="F89" i="10"/>
  <c r="F97" i="10"/>
  <c r="F103" i="10"/>
  <c r="F110" i="10"/>
  <c r="F118" i="10"/>
  <c r="F125" i="10"/>
  <c r="F131" i="10"/>
  <c r="F139" i="10"/>
  <c r="F146" i="10"/>
  <c r="F153" i="10"/>
  <c r="F161" i="10"/>
  <c r="F167" i="10"/>
  <c r="F174" i="10"/>
  <c r="F182" i="10"/>
  <c r="F189" i="10"/>
  <c r="F195" i="10"/>
  <c r="F203" i="10"/>
  <c r="F210" i="10"/>
  <c r="F217" i="10"/>
  <c r="F225" i="10"/>
  <c r="F231" i="10"/>
  <c r="F238" i="10"/>
  <c r="F246" i="10"/>
  <c r="F253" i="10"/>
  <c r="F259" i="10"/>
  <c r="F267" i="10"/>
  <c r="F274" i="10"/>
  <c r="F281" i="10"/>
  <c r="F289" i="10"/>
  <c r="F295" i="10"/>
  <c r="F302" i="10"/>
  <c r="F310" i="10"/>
  <c r="F317" i="10"/>
  <c r="F323" i="10"/>
  <c r="F331" i="10"/>
  <c r="F338" i="10"/>
  <c r="F343" i="10"/>
  <c r="F349" i="10"/>
  <c r="F354" i="10"/>
  <c r="F359" i="10"/>
  <c r="F365" i="10"/>
  <c r="F370" i="10"/>
  <c r="F375" i="10"/>
  <c r="F381" i="10"/>
  <c r="F386" i="10"/>
  <c r="F391" i="10"/>
  <c r="F397" i="10"/>
  <c r="F402" i="10"/>
  <c r="F407" i="10"/>
  <c r="F413" i="10"/>
  <c r="F418" i="10"/>
  <c r="F423" i="10"/>
  <c r="F429" i="10"/>
  <c r="F433" i="10"/>
  <c r="F437" i="10"/>
  <c r="F441" i="10"/>
  <c r="F445" i="10"/>
  <c r="F449" i="10"/>
  <c r="F453" i="10"/>
  <c r="F457" i="10"/>
  <c r="F461" i="10"/>
  <c r="F465" i="10"/>
  <c r="F469" i="10"/>
  <c r="F473" i="10"/>
  <c r="F477" i="10"/>
  <c r="F481" i="10"/>
  <c r="F485" i="10"/>
  <c r="F489" i="10"/>
  <c r="F493" i="10"/>
  <c r="F497" i="10"/>
  <c r="F501" i="10"/>
  <c r="F505" i="10"/>
  <c r="F509" i="10"/>
  <c r="F513" i="10"/>
  <c r="F41" i="10"/>
  <c r="F50" i="10"/>
  <c r="F59" i="10"/>
  <c r="F70" i="10"/>
  <c r="F78" i="10"/>
  <c r="F87" i="10"/>
  <c r="F98" i="10"/>
  <c r="F107" i="10"/>
  <c r="F115" i="10"/>
  <c r="F126" i="10"/>
  <c r="F135" i="10"/>
  <c r="F145" i="10"/>
  <c r="F155" i="10"/>
  <c r="F163" i="10"/>
  <c r="F173" i="10"/>
  <c r="F183" i="10"/>
  <c r="F193" i="10"/>
  <c r="F201" i="10"/>
  <c r="F211" i="10"/>
  <c r="F221" i="10"/>
  <c r="F230" i="10"/>
  <c r="F241" i="10"/>
  <c r="F249" i="10"/>
  <c r="F258" i="10"/>
  <c r="F269" i="10"/>
  <c r="F278" i="10"/>
  <c r="F286" i="10"/>
  <c r="F297" i="10"/>
  <c r="F306" i="10"/>
  <c r="F315" i="10"/>
  <c r="F326" i="10"/>
  <c r="F334" i="10"/>
  <c r="F342" i="10"/>
  <c r="F350" i="10"/>
  <c r="F357" i="10"/>
  <c r="F363" i="10"/>
  <c r="F371" i="10"/>
  <c r="F378" i="10"/>
  <c r="F385" i="10"/>
  <c r="F393" i="10"/>
  <c r="F399" i="10"/>
  <c r="F406" i="10"/>
  <c r="F414" i="10"/>
  <c r="F421" i="10"/>
  <c r="F427" i="10"/>
  <c r="F434" i="10"/>
  <c r="F439" i="10"/>
  <c r="F444" i="10"/>
  <c r="F450" i="10"/>
  <c r="F455" i="10"/>
  <c r="F460" i="10"/>
  <c r="F466" i="10"/>
  <c r="F471" i="10"/>
  <c r="F476" i="10"/>
  <c r="F482" i="10"/>
  <c r="F487" i="10"/>
  <c r="F492" i="10"/>
  <c r="F498" i="10"/>
  <c r="F503" i="10"/>
  <c r="F508" i="10"/>
  <c r="F514" i="10"/>
  <c r="F518" i="10"/>
  <c r="F522" i="10"/>
  <c r="F526" i="10"/>
  <c r="F530" i="10"/>
  <c r="F534" i="10"/>
  <c r="F538" i="10"/>
  <c r="F542" i="10"/>
  <c r="F546" i="10"/>
  <c r="F550" i="10"/>
  <c r="F554" i="10"/>
  <c r="F558" i="10"/>
  <c r="F562" i="10"/>
  <c r="F566" i="10"/>
  <c r="F570" i="10"/>
  <c r="F574" i="10"/>
  <c r="F578" i="10"/>
  <c r="F582" i="10"/>
  <c r="F586" i="10"/>
  <c r="F590" i="10"/>
  <c r="F594" i="10"/>
  <c r="F598" i="10"/>
  <c r="F602" i="10"/>
  <c r="F606" i="10"/>
  <c r="F610" i="10"/>
  <c r="F614" i="10"/>
  <c r="F618" i="10"/>
  <c r="F622" i="10"/>
  <c r="F626" i="10"/>
  <c r="F630" i="10"/>
  <c r="F634" i="10"/>
  <c r="F638" i="10"/>
  <c r="F642" i="10"/>
  <c r="F646" i="10"/>
  <c r="F650" i="10"/>
  <c r="F654" i="10"/>
  <c r="F658" i="10"/>
  <c r="F662" i="10"/>
  <c r="F666" i="10"/>
  <c r="F670" i="10"/>
  <c r="F674" i="10"/>
  <c r="F678" i="10"/>
  <c r="F682" i="10"/>
  <c r="F686" i="10"/>
  <c r="F690" i="10"/>
  <c r="F694" i="10"/>
  <c r="F698" i="10"/>
  <c r="F702" i="10"/>
  <c r="F706" i="10"/>
  <c r="F710" i="10"/>
  <c r="F714" i="10"/>
  <c r="F718" i="10"/>
  <c r="F722" i="10"/>
  <c r="F726" i="10"/>
  <c r="F730" i="10"/>
  <c r="F734" i="10"/>
  <c r="F738" i="10"/>
  <c r="F742" i="10"/>
  <c r="F746" i="10"/>
  <c r="F750" i="10"/>
  <c r="F754" i="10"/>
  <c r="F758" i="10"/>
  <c r="F762" i="10"/>
  <c r="F766" i="10"/>
  <c r="F770" i="10"/>
  <c r="F774" i="10"/>
  <c r="F778" i="10"/>
  <c r="F782" i="10"/>
  <c r="F786" i="10"/>
  <c r="F790" i="10"/>
  <c r="F794" i="10"/>
  <c r="F798" i="10"/>
  <c r="F802" i="10"/>
  <c r="F806" i="10"/>
  <c r="F810" i="10"/>
  <c r="F814" i="10"/>
  <c r="F818" i="10"/>
  <c r="F822" i="10"/>
  <c r="F826" i="10"/>
  <c r="F830" i="10"/>
  <c r="F834" i="10"/>
  <c r="F838" i="10"/>
  <c r="F842" i="10"/>
  <c r="F846" i="10"/>
  <c r="F850" i="10"/>
  <c r="F854" i="10"/>
  <c r="F858" i="10"/>
  <c r="F862" i="10"/>
  <c r="F866" i="10"/>
  <c r="F870" i="10"/>
  <c r="F874" i="10"/>
  <c r="F878" i="10"/>
  <c r="F882" i="10"/>
  <c r="F886" i="10"/>
  <c r="F890" i="10"/>
  <c r="F894" i="10"/>
  <c r="F898" i="10"/>
  <c r="F902" i="10"/>
  <c r="F906" i="10"/>
  <c r="F910" i="10"/>
  <c r="F914" i="10"/>
  <c r="F918" i="10"/>
  <c r="F922" i="10"/>
  <c r="F926" i="10"/>
  <c r="F930" i="10"/>
  <c r="F934" i="10"/>
  <c r="F938" i="10"/>
  <c r="F49" i="10"/>
  <c r="F62" i="10"/>
  <c r="F73" i="10"/>
  <c r="F86" i="10"/>
  <c r="F99" i="10"/>
  <c r="F113" i="10"/>
  <c r="F123" i="10"/>
  <c r="F137" i="10"/>
  <c r="F150" i="10"/>
  <c r="F162" i="10"/>
  <c r="F177" i="10"/>
  <c r="F187" i="10"/>
  <c r="F199" i="10"/>
  <c r="F214" i="10"/>
  <c r="F226" i="10"/>
  <c r="F237" i="10"/>
  <c r="F251" i="10"/>
  <c r="F263" i="10"/>
  <c r="F275" i="10"/>
  <c r="F290" i="10"/>
  <c r="F301" i="10"/>
  <c r="F313" i="10"/>
  <c r="F327" i="10"/>
  <c r="F339" i="10"/>
  <c r="F347" i="10"/>
  <c r="F358" i="10"/>
  <c r="F367" i="10"/>
  <c r="F377" i="10"/>
  <c r="F387" i="10"/>
  <c r="F395" i="10"/>
  <c r="F405" i="10"/>
  <c r="F415" i="10"/>
  <c r="F425" i="10"/>
  <c r="F432" i="10"/>
  <c r="F440" i="10"/>
  <c r="F447" i="10"/>
  <c r="F454" i="10"/>
  <c r="F462" i="10"/>
  <c r="F468" i="10"/>
  <c r="F475" i="10"/>
  <c r="F483" i="10"/>
  <c r="F490" i="10"/>
  <c r="F496" i="10"/>
  <c r="F504" i="10"/>
  <c r="F511" i="10"/>
  <c r="F517" i="10"/>
  <c r="F523" i="10"/>
  <c r="F528" i="10"/>
  <c r="F533" i="10"/>
  <c r="F539" i="10"/>
  <c r="F544" i="10"/>
  <c r="F549" i="10"/>
  <c r="F555" i="10"/>
  <c r="F560" i="10"/>
  <c r="F565" i="10"/>
  <c r="F571" i="10"/>
  <c r="F576" i="10"/>
  <c r="F581" i="10"/>
  <c r="F587" i="10"/>
  <c r="F592" i="10"/>
  <c r="F597" i="10"/>
  <c r="F603" i="10"/>
  <c r="F608" i="10"/>
  <c r="F613" i="10"/>
  <c r="F619" i="10"/>
  <c r="F624" i="10"/>
  <c r="F629" i="10"/>
  <c r="F635" i="10"/>
  <c r="F640" i="10"/>
  <c r="F645" i="10"/>
  <c r="F651" i="10"/>
  <c r="F656" i="10"/>
  <c r="F661" i="10"/>
  <c r="F667" i="10"/>
  <c r="F672" i="10"/>
  <c r="F677" i="10"/>
  <c r="F683" i="10"/>
  <c r="F688" i="10"/>
  <c r="F693" i="10"/>
  <c r="F699" i="10"/>
  <c r="F704" i="10"/>
  <c r="F709" i="10"/>
  <c r="F51" i="10"/>
  <c r="F65" i="10"/>
  <c r="F77" i="10"/>
  <c r="F91" i="10"/>
  <c r="F102" i="10"/>
  <c r="F114" i="10"/>
  <c r="F129" i="10"/>
  <c r="F141" i="10"/>
  <c r="F151" i="10"/>
  <c r="F166" i="10"/>
  <c r="F178" i="10"/>
  <c r="F190" i="10"/>
  <c r="F205" i="10"/>
  <c r="F215" i="10"/>
  <c r="F227" i="10"/>
  <c r="F242" i="10"/>
  <c r="F254" i="10"/>
  <c r="F265" i="10"/>
  <c r="F279" i="10"/>
  <c r="F291" i="10"/>
  <c r="F305" i="10"/>
  <c r="F318" i="10"/>
  <c r="F329" i="10"/>
  <c r="F341" i="10"/>
  <c r="F351" i="10"/>
  <c r="F361" i="10"/>
  <c r="F369" i="10"/>
  <c r="F379" i="10"/>
  <c r="F389" i="10"/>
  <c r="F398" i="10"/>
  <c r="F409" i="10"/>
  <c r="F417" i="10"/>
  <c r="F426" i="10"/>
  <c r="F435" i="10"/>
  <c r="F442" i="10"/>
  <c r="F448" i="10"/>
  <c r="F456" i="10"/>
  <c r="F463" i="10"/>
  <c r="F470" i="10"/>
  <c r="F478" i="10"/>
  <c r="F484" i="10"/>
  <c r="F491" i="10"/>
  <c r="F499" i="10"/>
  <c r="F506" i="10"/>
  <c r="F512" i="10"/>
  <c r="F519" i="10"/>
  <c r="F524" i="10"/>
  <c r="F529" i="10"/>
  <c r="F535" i="10"/>
  <c r="F540" i="10"/>
  <c r="F545" i="10"/>
  <c r="F551" i="10"/>
  <c r="F556" i="10"/>
  <c r="F561" i="10"/>
  <c r="F567" i="10"/>
  <c r="F572" i="10"/>
  <c r="F577" i="10"/>
  <c r="F583" i="10"/>
  <c r="F588" i="10"/>
  <c r="F593" i="10"/>
  <c r="F599" i="10"/>
  <c r="F604" i="10"/>
  <c r="F609" i="10"/>
  <c r="F615" i="10"/>
  <c r="F620" i="10"/>
  <c r="F625" i="10"/>
  <c r="F631" i="10"/>
  <c r="F636" i="10"/>
  <c r="F641" i="10"/>
  <c r="F647" i="10"/>
  <c r="F652" i="10"/>
  <c r="F657" i="10"/>
  <c r="F663" i="10"/>
  <c r="F668" i="10"/>
  <c r="F673" i="10"/>
  <c r="F679" i="10"/>
  <c r="F684" i="10"/>
  <c r="F689" i="10"/>
  <c r="F695" i="10"/>
  <c r="F700" i="10"/>
  <c r="F705" i="10"/>
  <c r="F711" i="10"/>
  <c r="F716" i="10"/>
  <c r="F721" i="10"/>
  <c r="F727" i="10"/>
  <c r="F732" i="10"/>
  <c r="F737" i="10"/>
  <c r="F743" i="10"/>
  <c r="F748" i="10"/>
  <c r="F753" i="10"/>
  <c r="F759" i="10"/>
  <c r="F764" i="10"/>
  <c r="F769" i="10"/>
  <c r="F775" i="10"/>
  <c r="F780" i="10"/>
  <c r="F785" i="10"/>
  <c r="F791" i="10"/>
  <c r="F796" i="10"/>
  <c r="F801" i="10"/>
  <c r="F807" i="10"/>
  <c r="F812" i="10"/>
  <c r="F817" i="10"/>
  <c r="F823" i="10"/>
  <c r="F828" i="10"/>
  <c r="F833" i="10"/>
  <c r="F839" i="10"/>
  <c r="F844" i="10"/>
  <c r="F849" i="10"/>
  <c r="F855" i="10"/>
  <c r="F860" i="10"/>
  <c r="F865" i="10"/>
  <c r="F871" i="10"/>
  <c r="F876" i="10"/>
  <c r="F881" i="10"/>
  <c r="F887" i="10"/>
  <c r="F892" i="10"/>
  <c r="F897" i="10"/>
  <c r="F903" i="10"/>
  <c r="F908" i="10"/>
  <c r="F913" i="10"/>
  <c r="F919" i="10"/>
  <c r="F924" i="10"/>
  <c r="F929" i="10"/>
  <c r="F935" i="10"/>
  <c r="F940" i="10"/>
  <c r="F944" i="10"/>
  <c r="F948" i="10"/>
  <c r="F952" i="10"/>
  <c r="F956" i="10"/>
  <c r="F960" i="10"/>
  <c r="F964" i="10"/>
  <c r="F968" i="10"/>
  <c r="F972" i="10"/>
  <c r="F976" i="10"/>
  <c r="F980" i="10"/>
  <c r="F984" i="10"/>
  <c r="F988" i="10"/>
  <c r="F992" i="10"/>
  <c r="F996" i="10"/>
  <c r="F1000" i="10"/>
  <c r="F1004" i="10"/>
  <c r="F1008" i="10"/>
  <c r="F1012" i="10"/>
  <c r="F1016" i="10"/>
  <c r="F1020" i="10"/>
  <c r="F1024" i="10"/>
  <c r="F1028" i="10"/>
  <c r="F1032" i="10"/>
  <c r="F1036" i="10"/>
  <c r="F1040" i="10"/>
  <c r="F1044" i="10"/>
  <c r="F1048" i="10"/>
  <c r="F1052" i="10"/>
  <c r="F1056" i="10"/>
  <c r="F1060" i="10"/>
  <c r="F1064" i="10"/>
  <c r="F1068" i="10"/>
  <c r="F1072" i="10"/>
  <c r="F1076" i="10"/>
  <c r="F1080" i="10"/>
  <c r="F1084" i="10"/>
  <c r="F1088" i="10"/>
  <c r="F1092" i="10"/>
  <c r="F1096" i="10"/>
  <c r="F1100" i="10"/>
  <c r="F1104" i="10"/>
  <c r="F1108" i="10"/>
  <c r="F1112" i="10"/>
  <c r="F1116" i="10"/>
  <c r="F1120" i="10"/>
  <c r="F1124" i="10"/>
  <c r="F1128" i="10"/>
  <c r="F1132" i="10"/>
  <c r="F1136" i="10"/>
  <c r="F1140" i="10"/>
  <c r="F1144" i="10"/>
  <c r="F1148" i="10"/>
  <c r="F1152" i="10"/>
  <c r="F1156" i="10"/>
  <c r="F1160" i="10"/>
  <c r="F1164" i="10"/>
  <c r="F1168" i="10"/>
  <c r="F1172" i="10"/>
  <c r="F1176" i="10"/>
  <c r="F1180" i="10"/>
  <c r="F43" i="10"/>
  <c r="F66" i="10"/>
  <c r="F93" i="10"/>
  <c r="F119" i="10"/>
  <c r="F142" i="10"/>
  <c r="F169" i="10"/>
  <c r="F194" i="10"/>
  <c r="F219" i="10"/>
  <c r="F243" i="10"/>
  <c r="F270" i="10"/>
  <c r="F294" i="10"/>
  <c r="F321" i="10"/>
  <c r="F345" i="10"/>
  <c r="F362" i="10"/>
  <c r="F382" i="10"/>
  <c r="F401" i="10"/>
  <c r="F419" i="10"/>
  <c r="F436" i="10"/>
  <c r="F451" i="10"/>
  <c r="F464" i="10"/>
  <c r="F479" i="10"/>
  <c r="F494" i="10"/>
  <c r="F507" i="10"/>
  <c r="F520" i="10"/>
  <c r="F531" i="10"/>
  <c r="F541" i="10"/>
  <c r="F552" i="10"/>
  <c r="F563" i="10"/>
  <c r="F573" i="10"/>
  <c r="F584" i="10"/>
  <c r="F595" i="10"/>
  <c r="F605" i="10"/>
  <c r="F616" i="10"/>
  <c r="F627" i="10"/>
  <c r="F637" i="10"/>
  <c r="F648" i="10"/>
  <c r="F659" i="10"/>
  <c r="F669" i="10"/>
  <c r="F680" i="10"/>
  <c r="F691" i="10"/>
  <c r="F701" i="10"/>
  <c r="F712" i="10"/>
  <c r="F719" i="10"/>
  <c r="F725" i="10"/>
  <c r="F733" i="10"/>
  <c r="F740" i="10"/>
  <c r="F747" i="10"/>
  <c r="F755" i="10"/>
  <c r="F761" i="10"/>
  <c r="F768" i="10"/>
  <c r="F776" i="10"/>
  <c r="F783" i="10"/>
  <c r="F789" i="10"/>
  <c r="F797" i="10"/>
  <c r="F804" i="10"/>
  <c r="F811" i="10"/>
  <c r="F819" i="10"/>
  <c r="F825" i="10"/>
  <c r="F832" i="10"/>
  <c r="F840" i="10"/>
  <c r="F847" i="10"/>
  <c r="F853" i="10"/>
  <c r="F861" i="10"/>
  <c r="F868" i="10"/>
  <c r="F875" i="10"/>
  <c r="F883" i="10"/>
  <c r="F889" i="10"/>
  <c r="F896" i="10"/>
  <c r="F904" i="10"/>
  <c r="F911" i="10"/>
  <c r="F917" i="10"/>
  <c r="F925" i="10"/>
  <c r="F932" i="10"/>
  <c r="F939" i="10"/>
  <c r="F945" i="10"/>
  <c r="F950" i="10"/>
  <c r="F955" i="10"/>
  <c r="F961" i="10"/>
  <c r="F966" i="10"/>
  <c r="F971" i="10"/>
  <c r="F977" i="10"/>
  <c r="F982" i="10"/>
  <c r="F987" i="10"/>
  <c r="F993" i="10"/>
  <c r="F998" i="10"/>
  <c r="F1003" i="10"/>
  <c r="F1009" i="10"/>
  <c r="F1014" i="10"/>
  <c r="F1019" i="10"/>
  <c r="F1025" i="10"/>
  <c r="F1030" i="10"/>
  <c r="F1035" i="10"/>
  <c r="F1041" i="10"/>
  <c r="F1046" i="10"/>
  <c r="F1051" i="10"/>
  <c r="F1057" i="10"/>
  <c r="F1062" i="10"/>
  <c r="F1067" i="10"/>
  <c r="F1073" i="10"/>
  <c r="F1078" i="10"/>
  <c r="F1083" i="10"/>
  <c r="F1089" i="10"/>
  <c r="F1094" i="10"/>
  <c r="F1099" i="10"/>
  <c r="F1105" i="10"/>
  <c r="F1110" i="10"/>
  <c r="F1115" i="10"/>
  <c r="F1121" i="10"/>
  <c r="F1126" i="10"/>
  <c r="F1131" i="10"/>
  <c r="F1137" i="10"/>
  <c r="F1142" i="10"/>
  <c r="F1147" i="10"/>
  <c r="F1153" i="10"/>
  <c r="F1158" i="10"/>
  <c r="F1163" i="10"/>
  <c r="F1169" i="10"/>
  <c r="F1174" i="10"/>
  <c r="F1179" i="10"/>
  <c r="F45" i="10"/>
  <c r="F71" i="10"/>
  <c r="F94" i="10"/>
  <c r="F121" i="10"/>
  <c r="F147" i="10"/>
  <c r="F171" i="10"/>
  <c r="F198" i="10"/>
  <c r="F222" i="10"/>
  <c r="F247" i="10"/>
  <c r="F273" i="10"/>
  <c r="F299" i="10"/>
  <c r="F322" i="10"/>
  <c r="F346" i="10"/>
  <c r="F366" i="10"/>
  <c r="F383" i="10"/>
  <c r="F403" i="10"/>
  <c r="F422" i="10"/>
  <c r="F438" i="10"/>
  <c r="F452" i="10"/>
  <c r="F467" i="10"/>
  <c r="F480" i="10"/>
  <c r="F495" i="10"/>
  <c r="F510" i="10"/>
  <c r="F521" i="10"/>
  <c r="F532" i="10"/>
  <c r="F543" i="10"/>
  <c r="F553" i="10"/>
  <c r="F564" i="10"/>
  <c r="F575" i="10"/>
  <c r="F585" i="10"/>
  <c r="F596" i="10"/>
  <c r="F607" i="10"/>
  <c r="F617" i="10"/>
  <c r="F628" i="10"/>
  <c r="F639" i="10"/>
  <c r="F649" i="10"/>
  <c r="F660" i="10"/>
  <c r="F671" i="10"/>
  <c r="F681" i="10"/>
  <c r="F692" i="10"/>
  <c r="F703" i="10"/>
  <c r="F713" i="10"/>
  <c r="F720" i="10"/>
  <c r="F728" i="10"/>
  <c r="F735" i="10"/>
  <c r="F741" i="10"/>
  <c r="F749" i="10"/>
  <c r="F756" i="10"/>
  <c r="F763" i="10"/>
  <c r="F771" i="10"/>
  <c r="F777" i="10"/>
  <c r="F784" i="10"/>
  <c r="F792" i="10"/>
  <c r="F799" i="10"/>
  <c r="F805" i="10"/>
  <c r="F813" i="10"/>
  <c r="F820" i="10"/>
  <c r="F827" i="10"/>
  <c r="F835" i="10"/>
  <c r="F841" i="10"/>
  <c r="F848" i="10"/>
  <c r="F856" i="10"/>
  <c r="F863" i="10"/>
  <c r="F869" i="10"/>
  <c r="F877" i="10"/>
  <c r="F884" i="10"/>
  <c r="F891" i="10"/>
  <c r="F899" i="10"/>
  <c r="F905" i="10"/>
  <c r="F912" i="10"/>
  <c r="F920" i="10"/>
  <c r="F927" i="10"/>
  <c r="F933" i="10"/>
  <c r="F941" i="10"/>
  <c r="F946" i="10"/>
  <c r="F951" i="10"/>
  <c r="F957" i="10"/>
  <c r="F962" i="10"/>
  <c r="F967" i="10"/>
  <c r="F973" i="10"/>
  <c r="F978" i="10"/>
  <c r="F983" i="10"/>
  <c r="F989" i="10"/>
  <c r="F994" i="10"/>
  <c r="F999" i="10"/>
  <c r="F1005" i="10"/>
  <c r="F1010" i="10"/>
  <c r="F1015" i="10"/>
  <c r="F1021" i="10"/>
  <c r="F1026" i="10"/>
  <c r="F1031" i="10"/>
  <c r="F1037" i="10"/>
  <c r="F1042" i="10"/>
  <c r="F1047" i="10"/>
  <c r="F1053" i="10"/>
  <c r="F1058" i="10"/>
  <c r="F1063" i="10"/>
  <c r="F1069" i="10"/>
  <c r="F1074" i="10"/>
  <c r="F1079" i="10"/>
  <c r="F1085" i="10"/>
  <c r="F1090" i="10"/>
  <c r="F1095" i="10"/>
  <c r="F1101" i="10"/>
  <c r="F1106" i="10"/>
  <c r="F1111" i="10"/>
  <c r="F1117" i="10"/>
  <c r="F1122" i="10"/>
  <c r="F1127" i="10"/>
  <c r="F1133" i="10"/>
  <c r="F1138" i="10"/>
  <c r="F1143" i="10"/>
  <c r="F1149" i="10"/>
  <c r="F1154" i="10"/>
  <c r="F1159" i="10"/>
  <c r="F1165" i="10"/>
  <c r="F1170" i="10"/>
  <c r="F1175" i="10"/>
  <c r="F1181" i="10"/>
  <c r="F55" i="10"/>
  <c r="F81" i="10"/>
  <c r="F105" i="10"/>
  <c r="F130" i="10"/>
  <c r="F157" i="10"/>
  <c r="F179" i="10"/>
  <c r="F206" i="10"/>
  <c r="F233" i="10"/>
  <c r="F257" i="10"/>
  <c r="F283" i="10"/>
  <c r="F307" i="10"/>
  <c r="F333" i="10"/>
  <c r="F353" i="10"/>
  <c r="F373" i="10"/>
  <c r="F390" i="10"/>
  <c r="F410" i="10"/>
  <c r="F430" i="10"/>
  <c r="F443" i="10"/>
  <c r="F458" i="10"/>
  <c r="F472" i="10"/>
  <c r="F486" i="10"/>
  <c r="F500" i="10"/>
  <c r="F515" i="10"/>
  <c r="F525" i="10"/>
  <c r="F536" i="10"/>
  <c r="F547" i="10"/>
  <c r="F557" i="10"/>
  <c r="F568" i="10"/>
  <c r="F579" i="10"/>
  <c r="F589" i="10"/>
  <c r="F600" i="10"/>
  <c r="F611" i="10"/>
  <c r="F621" i="10"/>
  <c r="F632" i="10"/>
  <c r="F643" i="10"/>
  <c r="F653" i="10"/>
  <c r="F664" i="10"/>
  <c r="F675" i="10"/>
  <c r="F685" i="10"/>
  <c r="F696" i="10"/>
  <c r="F707" i="10"/>
  <c r="F715" i="10"/>
  <c r="F723" i="10"/>
  <c r="F729" i="10"/>
  <c r="F736" i="10"/>
  <c r="F744" i="10"/>
  <c r="F751" i="10"/>
  <c r="F757" i="10"/>
  <c r="F765" i="10"/>
  <c r="F772" i="10"/>
  <c r="F779" i="10"/>
  <c r="F787" i="10"/>
  <c r="F793" i="10"/>
  <c r="F800" i="10"/>
  <c r="F808" i="10"/>
  <c r="F815" i="10"/>
  <c r="F821" i="10"/>
  <c r="F829" i="10"/>
  <c r="F836" i="10"/>
  <c r="F843" i="10"/>
  <c r="F851" i="10"/>
  <c r="F857" i="10"/>
  <c r="F864" i="10"/>
  <c r="F872" i="10"/>
  <c r="F879" i="10"/>
  <c r="F885" i="10"/>
  <c r="F893" i="10"/>
  <c r="F900" i="10"/>
  <c r="F907" i="10"/>
  <c r="F915" i="10"/>
  <c r="F921" i="10"/>
  <c r="F928" i="10"/>
  <c r="F936" i="10"/>
  <c r="F942" i="10"/>
  <c r="F947" i="10"/>
  <c r="F953" i="10"/>
  <c r="F958" i="10"/>
  <c r="F963" i="10"/>
  <c r="F969" i="10"/>
  <c r="F974" i="10"/>
  <c r="F979" i="10"/>
  <c r="F985" i="10"/>
  <c r="F990" i="10"/>
  <c r="F995" i="10"/>
  <c r="F1001" i="10"/>
  <c r="F1006" i="10"/>
  <c r="F1011" i="10"/>
  <c r="F1017" i="10"/>
  <c r="F1022" i="10"/>
  <c r="F1027" i="10"/>
  <c r="F1033" i="10"/>
  <c r="F1038" i="10"/>
  <c r="F1043" i="10"/>
  <c r="F1049" i="10"/>
  <c r="F1054" i="10"/>
  <c r="F1059" i="10"/>
  <c r="F1065" i="10"/>
  <c r="F1070" i="10"/>
  <c r="F1075" i="10"/>
  <c r="F1081" i="10"/>
  <c r="F1086" i="10"/>
  <c r="F1091" i="10"/>
  <c r="F1097" i="10"/>
  <c r="F1102" i="10"/>
  <c r="F1107" i="10"/>
  <c r="F1113" i="10"/>
  <c r="F1118" i="10"/>
  <c r="F1123" i="10"/>
  <c r="F1129" i="10"/>
  <c r="F1134" i="10"/>
  <c r="F1139" i="10"/>
  <c r="F1145" i="10"/>
  <c r="F1150" i="10"/>
  <c r="F1155" i="10"/>
  <c r="F1161" i="10"/>
  <c r="F1166" i="10"/>
  <c r="F1171" i="10"/>
  <c r="F1177" i="10"/>
  <c r="F1182" i="10"/>
  <c r="F57" i="10"/>
  <c r="F83" i="10"/>
  <c r="F109" i="10"/>
  <c r="F134" i="10"/>
  <c r="F158" i="10"/>
  <c r="F185" i="10"/>
  <c r="F209" i="10"/>
  <c r="F235" i="10"/>
  <c r="F262" i="10"/>
  <c r="F285" i="10"/>
  <c r="F311" i="10"/>
  <c r="F337" i="10"/>
  <c r="F355" i="10"/>
  <c r="F374" i="10"/>
  <c r="F394" i="10"/>
  <c r="F411" i="10"/>
  <c r="F431" i="10"/>
  <c r="F446" i="10"/>
  <c r="F459" i="10"/>
  <c r="F474" i="10"/>
  <c r="F488" i="10"/>
  <c r="F502" i="10"/>
  <c r="F516" i="10"/>
  <c r="F527" i="10"/>
  <c r="F537" i="10"/>
  <c r="F548" i="10"/>
  <c r="F559" i="10"/>
  <c r="F569" i="10"/>
  <c r="F580" i="10"/>
  <c r="F591" i="10"/>
  <c r="F601" i="10"/>
  <c r="F612" i="10"/>
  <c r="F623" i="10"/>
  <c r="F633" i="10"/>
  <c r="F644" i="10"/>
  <c r="F655" i="10"/>
  <c r="F665" i="10"/>
  <c r="F676" i="10"/>
  <c r="F687" i="10"/>
  <c r="F697" i="10"/>
  <c r="F708" i="10"/>
  <c r="F717" i="10"/>
  <c r="F724" i="10"/>
  <c r="F731" i="10"/>
  <c r="F739" i="10"/>
  <c r="F745" i="10"/>
  <c r="F752" i="10"/>
  <c r="F760" i="10"/>
  <c r="F767" i="10"/>
  <c r="F773" i="10"/>
  <c r="F781" i="10"/>
  <c r="F788" i="10"/>
  <c r="F795" i="10"/>
  <c r="F803" i="10"/>
  <c r="F809" i="10"/>
  <c r="F816" i="10"/>
  <c r="F824" i="10"/>
  <c r="F831" i="10"/>
  <c r="F837" i="10"/>
  <c r="F845" i="10"/>
  <c r="F852" i="10"/>
  <c r="F859" i="10"/>
  <c r="F867" i="10"/>
  <c r="F873" i="10"/>
  <c r="F880" i="10"/>
  <c r="F888" i="10"/>
  <c r="F895" i="10"/>
  <c r="F901" i="10"/>
  <c r="F909" i="10"/>
  <c r="F916" i="10"/>
  <c r="F923" i="10"/>
  <c r="F931" i="10"/>
  <c r="F937" i="10"/>
  <c r="F943" i="10"/>
  <c r="F949" i="10"/>
  <c r="F954" i="10"/>
  <c r="F959" i="10"/>
  <c r="F965" i="10"/>
  <c r="F970" i="10"/>
  <c r="F975" i="10"/>
  <c r="F981" i="10"/>
  <c r="F986" i="10"/>
  <c r="F991" i="10"/>
  <c r="F997" i="10"/>
  <c r="F1002" i="10"/>
  <c r="F1007" i="10"/>
  <c r="F1013" i="10"/>
  <c r="F1018" i="10"/>
  <c r="F1023" i="10"/>
  <c r="F1029" i="10"/>
  <c r="F1034" i="10"/>
  <c r="F1039" i="10"/>
  <c r="F1045" i="10"/>
  <c r="F1050" i="10"/>
  <c r="F1055" i="10"/>
  <c r="F1061" i="10"/>
  <c r="F1066" i="10"/>
  <c r="F1071" i="10"/>
  <c r="F1077" i="10"/>
  <c r="F1082" i="10"/>
  <c r="F1087" i="10"/>
  <c r="F1093" i="10"/>
  <c r="F1098" i="10"/>
  <c r="F1103" i="10"/>
  <c r="F1109" i="10"/>
  <c r="F1114" i="10"/>
  <c r="F1119" i="10"/>
  <c r="F1125" i="10"/>
  <c r="F1130" i="10"/>
  <c r="F1135" i="10"/>
  <c r="F1141" i="10"/>
  <c r="F1146" i="10"/>
  <c r="F1151" i="10"/>
  <c r="F1157" i="10"/>
  <c r="F1162" i="10"/>
  <c r="F1167" i="10"/>
  <c r="F1173" i="10"/>
  <c r="F1178" i="10"/>
  <c r="B15" i="6" a="1"/>
  <c r="B17" i="10" a="1"/>
  <c r="P17" i="10" a="1"/>
  <c r="P17" i="10" s="1"/>
  <c r="B9" i="7" a="1"/>
  <c r="B9" i="7" s="1"/>
  <c r="E9" i="7" a="1"/>
  <c r="E9" i="7" s="1"/>
  <c r="D9" i="7" a="1"/>
  <c r="D9" i="7" s="1"/>
  <c r="C9" i="7" a="1"/>
  <c r="C9" i="7" s="1"/>
  <c r="C3" i="4" a="1"/>
  <c r="C3" i="4" s="1"/>
  <c r="C8" i="4" a="1"/>
  <c r="C8" i="4" s="1"/>
  <c r="C10" i="4" a="1"/>
  <c r="C10" i="4" s="1"/>
  <c r="C12" i="4" a="1"/>
  <c r="C12" i="4" s="1"/>
  <c r="C17" i="4" a="1"/>
  <c r="C17" i="4" s="1"/>
  <c r="C19" i="4" a="1"/>
  <c r="C19" i="4" s="1"/>
  <c r="C21" i="4" a="1"/>
  <c r="C21" i="4" s="1"/>
  <c r="C26" i="4" a="1"/>
  <c r="C26" i="4" s="1"/>
  <c r="C28" i="4" a="1"/>
  <c r="C28" i="4" s="1"/>
  <c r="C30" i="4" a="1"/>
  <c r="C30" i="4" s="1"/>
  <c r="C35" i="4" a="1"/>
  <c r="C35" i="4" s="1"/>
  <c r="C37" i="4" a="1"/>
  <c r="C37" i="4" s="1"/>
  <c r="C39" i="4" a="1"/>
  <c r="C39" i="4" s="1"/>
  <c r="C44" i="4" a="1"/>
  <c r="C44" i="4" s="1"/>
  <c r="C46" i="4" a="1"/>
  <c r="C46" i="4" s="1"/>
  <c r="C48" i="4" a="1"/>
  <c r="C48" i="4" s="1"/>
  <c r="C53" i="4" a="1"/>
  <c r="C53" i="4" s="1"/>
  <c r="C4" i="4" a="1"/>
  <c r="C4" i="4" s="1"/>
  <c r="C7" i="4" a="1"/>
  <c r="C7" i="4" s="1"/>
  <c r="C11" i="4" a="1"/>
  <c r="C11" i="4" s="1"/>
  <c r="C14" i="4" a="1"/>
  <c r="C14" i="4" s="1"/>
  <c r="C24" i="4" a="1"/>
  <c r="C24" i="4" s="1"/>
  <c r="C27" i="4" a="1"/>
  <c r="C27" i="4" s="1"/>
  <c r="C31" i="4" a="1"/>
  <c r="C31" i="4" s="1"/>
  <c r="C34" i="4" a="1"/>
  <c r="C34" i="4" s="1"/>
  <c r="C38" i="4" a="1"/>
  <c r="C38" i="4" s="1"/>
  <c r="C41" i="4" a="1"/>
  <c r="C41" i="4" s="1"/>
  <c r="C51" i="4" a="1"/>
  <c r="C51" i="4" s="1"/>
  <c r="C54" i="4" a="1"/>
  <c r="C54" i="4" s="1"/>
  <c r="C59" i="4" a="1"/>
  <c r="C59" i="4" s="1"/>
  <c r="C61" i="4" a="1"/>
  <c r="C61" i="4" s="1"/>
  <c r="C63" i="4" a="1"/>
  <c r="C63" i="4" s="1"/>
  <c r="C68" i="4" a="1"/>
  <c r="C68" i="4" s="1"/>
  <c r="C70" i="4" a="1"/>
  <c r="C70" i="4" s="1"/>
  <c r="C72" i="4" a="1"/>
  <c r="C72" i="4" s="1"/>
  <c r="C77" i="4" a="1"/>
  <c r="C77" i="4" s="1"/>
  <c r="C79" i="4" a="1"/>
  <c r="C79" i="4" s="1"/>
  <c r="C81" i="4" a="1"/>
  <c r="C81" i="4" s="1"/>
  <c r="C86" i="4" a="1"/>
  <c r="C86" i="4" s="1"/>
  <c r="C88" i="4" a="1"/>
  <c r="C88" i="4" s="1"/>
  <c r="C90" i="4" a="1"/>
  <c r="C90" i="4" s="1"/>
  <c r="C95" i="4" a="1"/>
  <c r="C95" i="4" s="1"/>
  <c r="C97" i="4" a="1"/>
  <c r="C97" i="4" s="1"/>
  <c r="C99" i="4" a="1"/>
  <c r="C99" i="4" s="1"/>
  <c r="C104" i="4" a="1"/>
  <c r="C104" i="4" s="1"/>
  <c r="C106" i="4" a="1"/>
  <c r="C106" i="4" s="1"/>
  <c r="C108" i="4" a="1"/>
  <c r="C108" i="4" s="1"/>
  <c r="C113" i="4" a="1"/>
  <c r="C113" i="4" s="1"/>
  <c r="C115" i="4" a="1"/>
  <c r="C115" i="4" s="1"/>
  <c r="C117" i="4" a="1"/>
  <c r="C117" i="4" s="1"/>
  <c r="C122" i="4" a="1"/>
  <c r="C122" i="4" s="1"/>
  <c r="C124" i="4" a="1"/>
  <c r="C124" i="4" s="1"/>
  <c r="C126" i="4" a="1"/>
  <c r="C126" i="4" s="1"/>
  <c r="C131" i="4" a="1"/>
  <c r="C131" i="4" s="1"/>
  <c r="C133" i="4" a="1"/>
  <c r="C133" i="4" s="1"/>
  <c r="C135" i="4" a="1"/>
  <c r="C135" i="4" s="1"/>
  <c r="C140" i="4" a="1"/>
  <c r="C140" i="4" s="1"/>
  <c r="C142" i="4" a="1"/>
  <c r="C142" i="4" s="1"/>
  <c r="C144" i="4" a="1"/>
  <c r="C144" i="4" s="1"/>
  <c r="C149" i="4" a="1"/>
  <c r="C149" i="4" s="1"/>
  <c r="C151" i="4" a="1"/>
  <c r="C151" i="4" s="1"/>
  <c r="C153" i="4" a="1"/>
  <c r="C153" i="4" s="1"/>
  <c r="C158" i="4" a="1"/>
  <c r="C158" i="4" s="1"/>
  <c r="C160" i="4" a="1"/>
  <c r="C160" i="4" s="1"/>
  <c r="C162" i="4" a="1"/>
  <c r="C162" i="4" s="1"/>
  <c r="C167" i="4" a="1"/>
  <c r="C167" i="4" s="1"/>
  <c r="C169" i="4" a="1"/>
  <c r="C169" i="4" s="1"/>
  <c r="C171" i="4" a="1"/>
  <c r="C171" i="4" s="1"/>
  <c r="C176" i="4" a="1"/>
  <c r="C176" i="4" s="1"/>
  <c r="C178" i="4" a="1"/>
  <c r="C178" i="4" s="1"/>
  <c r="C184" i="4" a="1"/>
  <c r="C184" i="4" s="1"/>
  <c r="C185" i="4" a="1"/>
  <c r="C185" i="4" s="1"/>
  <c r="C187" i="4" a="1"/>
  <c r="C187" i="4" s="1"/>
  <c r="C191" i="4" a="1"/>
  <c r="C191" i="4" s="1"/>
  <c r="C5" i="4" a="1"/>
  <c r="C5" i="4" s="1"/>
  <c r="C9" i="4" a="1"/>
  <c r="C9" i="4" s="1"/>
  <c r="C15" i="4" a="1"/>
  <c r="C15" i="4" s="1"/>
  <c r="C20" i="4" a="1"/>
  <c r="C20" i="4" s="1"/>
  <c r="C25" i="4" a="1"/>
  <c r="C25" i="4" s="1"/>
  <c r="C40" i="4" a="1"/>
  <c r="C40" i="4" s="1"/>
  <c r="C45" i="4" a="1"/>
  <c r="C45" i="4" s="1"/>
  <c r="C50" i="4" a="1"/>
  <c r="C50" i="4" s="1"/>
  <c r="C55" i="4" a="1"/>
  <c r="C55" i="4" s="1"/>
  <c r="C58" i="4" a="1"/>
  <c r="C58" i="4" s="1"/>
  <c r="C62" i="4" a="1"/>
  <c r="C62" i="4" s="1"/>
  <c r="C65" i="4" a="1"/>
  <c r="C65" i="4" s="1"/>
  <c r="C75" i="4" a="1"/>
  <c r="C75" i="4" s="1"/>
  <c r="C78" i="4" a="1"/>
  <c r="C78" i="4" s="1"/>
  <c r="C82" i="4" a="1"/>
  <c r="C82" i="4" s="1"/>
  <c r="C85" i="4" a="1"/>
  <c r="C85" i="4" s="1"/>
  <c r="C89" i="4" a="1"/>
  <c r="C89" i="4" s="1"/>
  <c r="C92" i="4" a="1"/>
  <c r="C92" i="4" s="1"/>
  <c r="C102" i="4" a="1"/>
  <c r="C102" i="4" s="1"/>
  <c r="C105" i="4" a="1"/>
  <c r="C105" i="4" s="1"/>
  <c r="C109" i="4" a="1"/>
  <c r="C109" i="4" s="1"/>
  <c r="C112" i="4" a="1"/>
  <c r="C112" i="4" s="1"/>
  <c r="C116" i="4" a="1"/>
  <c r="C116" i="4" s="1"/>
  <c r="C119" i="4" a="1"/>
  <c r="C119" i="4" s="1"/>
  <c r="C129" i="4" a="1"/>
  <c r="C129" i="4" s="1"/>
  <c r="C132" i="4" a="1"/>
  <c r="C132" i="4" s="1"/>
  <c r="C136" i="4" a="1"/>
  <c r="C136" i="4" s="1"/>
  <c r="C139" i="4" a="1"/>
  <c r="C139" i="4" s="1"/>
  <c r="C143" i="4" a="1"/>
  <c r="C143" i="4" s="1"/>
  <c r="C146" i="4" a="1"/>
  <c r="C146" i="4" s="1"/>
  <c r="C156" i="4" a="1"/>
  <c r="C156" i="4" s="1"/>
  <c r="C159" i="4" a="1"/>
  <c r="C159" i="4" s="1"/>
  <c r="C163" i="4" a="1"/>
  <c r="C163" i="4" s="1"/>
  <c r="C166" i="4" a="1"/>
  <c r="C166" i="4" s="1"/>
  <c r="C170" i="4" a="1"/>
  <c r="C170" i="4" s="1"/>
  <c r="C173" i="4" a="1"/>
  <c r="C173" i="4" s="1"/>
  <c r="C182" i="4" a="1"/>
  <c r="C182" i="4" s="1"/>
  <c r="C188" i="4" a="1"/>
  <c r="C188" i="4" s="1"/>
  <c r="C193" i="4" a="1"/>
  <c r="C193" i="4" s="1"/>
  <c r="C195" i="4" a="1"/>
  <c r="C195" i="4" s="1"/>
  <c r="C199" i="4" a="1"/>
  <c r="C199" i="4" s="1"/>
  <c r="C202" i="4" a="1"/>
  <c r="C202" i="4" s="1"/>
  <c r="C207" i="4" a="1"/>
  <c r="C207" i="4" s="1"/>
  <c r="C209" i="4" a="1"/>
  <c r="C209" i="4" s="1"/>
  <c r="C211" i="4" a="1"/>
  <c r="C211" i="4" s="1"/>
  <c r="C213" i="4" a="1"/>
  <c r="C213" i="4" s="1"/>
  <c r="C218" i="4" a="1"/>
  <c r="C218" i="4" s="1"/>
  <c r="C220" i="4" a="1"/>
  <c r="C220" i="4" s="1"/>
  <c r="C222" i="4" a="1"/>
  <c r="C222" i="4" s="1"/>
  <c r="C227" i="4" a="1"/>
  <c r="C227" i="4" s="1"/>
  <c r="C229" i="4" a="1"/>
  <c r="C229" i="4" s="1"/>
  <c r="C231" i="4" a="1"/>
  <c r="C231" i="4" s="1"/>
  <c r="C236" i="4" a="1"/>
  <c r="C236" i="4" s="1"/>
  <c r="C238" i="4" a="1"/>
  <c r="C238" i="4" s="1"/>
  <c r="C240" i="4" a="1"/>
  <c r="C240" i="4" s="1"/>
  <c r="C245" i="4" a="1"/>
  <c r="C245" i="4" s="1"/>
  <c r="C247" i="4" a="1"/>
  <c r="C247" i="4" s="1"/>
  <c r="C249" i="4" a="1"/>
  <c r="C249" i="4" s="1"/>
  <c r="C251" i="4" a="1"/>
  <c r="C251" i="4" s="1"/>
  <c r="C253" i="4" a="1"/>
  <c r="C253" i="4" s="1"/>
  <c r="C255" i="4" a="1"/>
  <c r="C255" i="4" s="1"/>
  <c r="C257" i="4" a="1"/>
  <c r="C257" i="4" s="1"/>
  <c r="C262" i="4" a="1"/>
  <c r="C262" i="4" s="1"/>
  <c r="C264" i="4" a="1"/>
  <c r="C264" i="4" s="1"/>
  <c r="C266" i="4" a="1"/>
  <c r="C266" i="4" s="1"/>
  <c r="C271" i="4" a="1"/>
  <c r="C271" i="4" s="1"/>
  <c r="C273" i="4" a="1"/>
  <c r="C273" i="4" s="1"/>
  <c r="C275" i="4" a="1"/>
  <c r="C275" i="4" s="1"/>
  <c r="C277" i="4" a="1"/>
  <c r="C277" i="4" s="1"/>
  <c r="C279" i="4" a="1"/>
  <c r="C279" i="4" s="1"/>
  <c r="C284" i="4" a="1"/>
  <c r="C284" i="4" s="1"/>
  <c r="C286" i="4" a="1"/>
  <c r="C286" i="4" s="1"/>
  <c r="C288" i="4" a="1"/>
  <c r="C288" i="4" s="1"/>
  <c r="C293" i="4" a="1"/>
  <c r="C293" i="4" s="1"/>
  <c r="C298" i="4" a="1"/>
  <c r="C298" i="4" s="1"/>
  <c r="C300" i="4" a="1"/>
  <c r="C300" i="4" s="1"/>
  <c r="C302" i="4" a="1"/>
  <c r="C302" i="4" s="1"/>
  <c r="C307" i="4" a="1"/>
  <c r="C307" i="4" s="1"/>
  <c r="C308" i="4" a="1"/>
  <c r="C308" i="4" s="1"/>
  <c r="C310" i="4" a="1"/>
  <c r="C310" i="4" s="1"/>
  <c r="C315" i="4" a="1"/>
  <c r="C315" i="4" s="1"/>
  <c r="C317" i="4" a="1"/>
  <c r="C317" i="4" s="1"/>
  <c r="C319" i="4" a="1"/>
  <c r="C319" i="4" s="1"/>
  <c r="C324" i="4" a="1"/>
  <c r="C324" i="4" s="1"/>
  <c r="C326" i="4" a="1"/>
  <c r="C326" i="4" s="1"/>
  <c r="C328" i="4" a="1"/>
  <c r="C328" i="4" s="1"/>
  <c r="C333" i="4" a="1"/>
  <c r="C333" i="4" s="1"/>
  <c r="C335" i="4" a="1"/>
  <c r="C335" i="4" s="1"/>
  <c r="C337" i="4" a="1"/>
  <c r="C337" i="4" s="1"/>
  <c r="C342" i="4" a="1"/>
  <c r="C342" i="4" s="1"/>
  <c r="C344" i="4" a="1"/>
  <c r="C344" i="4" s="1"/>
  <c r="C346" i="4" a="1"/>
  <c r="C346" i="4" s="1"/>
  <c r="C351" i="4" a="1"/>
  <c r="C351" i="4" s="1"/>
  <c r="C353" i="4" a="1"/>
  <c r="C353" i="4" s="1"/>
  <c r="C355" i="4" a="1"/>
  <c r="C355" i="4" s="1"/>
  <c r="C360" i="4" a="1"/>
  <c r="C360" i="4" s="1"/>
  <c r="C362" i="4" a="1"/>
  <c r="C362" i="4" s="1"/>
  <c r="C364" i="4" a="1"/>
  <c r="C364" i="4" s="1"/>
  <c r="C369" i="4" a="1"/>
  <c r="C369" i="4" s="1"/>
  <c r="C371" i="4" a="1"/>
  <c r="C371" i="4" s="1"/>
  <c r="C373" i="4" a="1"/>
  <c r="C373" i="4" s="1"/>
  <c r="C378" i="4" a="1"/>
  <c r="C378" i="4" s="1"/>
  <c r="C380" i="4" a="1"/>
  <c r="C380" i="4" s="1"/>
  <c r="C382" i="4" a="1"/>
  <c r="C382" i="4" s="1"/>
  <c r="C387" i="4" a="1"/>
  <c r="C387" i="4" s="1"/>
  <c r="C389" i="4" a="1"/>
  <c r="C389" i="4" s="1"/>
  <c r="C394" i="4" a="1"/>
  <c r="C394" i="4" s="1"/>
  <c r="C396" i="4" a="1"/>
  <c r="C396" i="4" s="1"/>
  <c r="C398" i="4" a="1"/>
  <c r="C398" i="4" s="1"/>
  <c r="C403" i="4" a="1"/>
  <c r="C403" i="4" s="1"/>
  <c r="C405" i="4" a="1"/>
  <c r="C405" i="4" s="1"/>
  <c r="C407" i="4" a="1"/>
  <c r="C407" i="4" s="1"/>
  <c r="C412" i="4" a="1"/>
  <c r="C412" i="4" s="1"/>
  <c r="C414" i="4" a="1"/>
  <c r="C414" i="4" s="1"/>
  <c r="C416" i="4" a="1"/>
  <c r="C416" i="4" s="1"/>
  <c r="C421" i="4" a="1"/>
  <c r="C421" i="4" s="1"/>
  <c r="C423" i="4" a="1"/>
  <c r="C423" i="4" s="1"/>
  <c r="C425" i="4" a="1"/>
  <c r="C425" i="4" s="1"/>
  <c r="C430" i="4" a="1"/>
  <c r="C430" i="4" s="1"/>
  <c r="C432" i="4" a="1"/>
  <c r="C432" i="4" s="1"/>
  <c r="C434" i="4" a="1"/>
  <c r="C434" i="4" s="1"/>
  <c r="C439" i="4" a="1"/>
  <c r="C439" i="4" s="1"/>
  <c r="C441" i="4" a="1"/>
  <c r="C441" i="4" s="1"/>
  <c r="C443" i="4" a="1"/>
  <c r="C443" i="4" s="1"/>
  <c r="C448" i="4" a="1"/>
  <c r="C448" i="4" s="1"/>
  <c r="C450" i="4" a="1"/>
  <c r="C450" i="4" s="1"/>
  <c r="C452" i="4" a="1"/>
  <c r="C452" i="4" s="1"/>
  <c r="C457" i="4" a="1"/>
  <c r="C457" i="4" s="1"/>
  <c r="C459" i="4" a="1"/>
  <c r="C459" i="4" s="1"/>
  <c r="C461" i="4" a="1"/>
  <c r="C461" i="4" s="1"/>
  <c r="C466" i="4" a="1"/>
  <c r="C466" i="4" s="1"/>
  <c r="C468" i="4" a="1"/>
  <c r="C468" i="4" s="1"/>
  <c r="C473" i="4" a="1"/>
  <c r="C473" i="4" s="1"/>
  <c r="C475" i="4" a="1"/>
  <c r="C475" i="4" s="1"/>
  <c r="C477" i="4" a="1"/>
  <c r="C477" i="4" s="1"/>
  <c r="C482" i="4" a="1"/>
  <c r="C482" i="4" s="1"/>
  <c r="C484" i="4" a="1"/>
  <c r="C484" i="4" s="1"/>
  <c r="C486" i="4" a="1"/>
  <c r="C486" i="4" s="1"/>
  <c r="C491" i="4" a="1"/>
  <c r="C491" i="4" s="1"/>
  <c r="C493" i="4" a="1"/>
  <c r="C493" i="4" s="1"/>
  <c r="C494" i="4" a="1"/>
  <c r="C494" i="4" s="1"/>
  <c r="C499" i="4" a="1"/>
  <c r="C499" i="4" s="1"/>
  <c r="C502" i="4" a="1"/>
  <c r="C502" i="4" s="1"/>
  <c r="C507" i="4" a="1"/>
  <c r="C507" i="4" s="1"/>
  <c r="C509" i="4" a="1"/>
  <c r="C509" i="4" s="1"/>
  <c r="C511" i="4" a="1"/>
  <c r="C511" i="4" s="1"/>
  <c r="C516" i="4" a="1"/>
  <c r="C516" i="4" s="1"/>
  <c r="C518" i="4" a="1"/>
  <c r="C518" i="4" s="1"/>
  <c r="C520" i="4" a="1"/>
  <c r="C520" i="4" s="1"/>
  <c r="C525" i="4" a="1"/>
  <c r="C525" i="4" s="1"/>
  <c r="C527" i="4" a="1"/>
  <c r="C527" i="4" s="1"/>
  <c r="C529" i="4" a="1"/>
  <c r="C529" i="4" s="1"/>
  <c r="C534" i="4" a="1"/>
  <c r="C534" i="4" s="1"/>
  <c r="C536" i="4" a="1"/>
  <c r="C536" i="4" s="1"/>
  <c r="C538" i="4" a="1"/>
  <c r="C538" i="4" s="1"/>
  <c r="C543" i="4" a="1"/>
  <c r="C543" i="4" s="1"/>
  <c r="C545" i="4" a="1"/>
  <c r="C545" i="4" s="1"/>
  <c r="C547" i="4" a="1"/>
  <c r="C547" i="4" s="1"/>
  <c r="C552" i="4" a="1"/>
  <c r="C552" i="4" s="1"/>
  <c r="C554" i="4" a="1"/>
  <c r="C554" i="4" s="1"/>
  <c r="C556" i="4" a="1"/>
  <c r="C556" i="4" s="1"/>
  <c r="C561" i="4" a="1"/>
  <c r="C561" i="4" s="1"/>
  <c r="C563" i="4" a="1"/>
  <c r="C563" i="4" s="1"/>
  <c r="C565" i="4" a="1"/>
  <c r="C565" i="4" s="1"/>
  <c r="C570" i="4" a="1"/>
  <c r="C570" i="4" s="1"/>
  <c r="C572" i="4" a="1"/>
  <c r="C572" i="4" s="1"/>
  <c r="C574" i="4" a="1"/>
  <c r="C574" i="4" s="1"/>
  <c r="C579" i="4" a="1"/>
  <c r="C579" i="4" s="1"/>
  <c r="C581" i="4" a="1"/>
  <c r="C581" i="4" s="1"/>
  <c r="C583" i="4" a="1"/>
  <c r="C583" i="4" s="1"/>
  <c r="C588" i="4" a="1"/>
  <c r="C588" i="4" s="1"/>
  <c r="C590" i="4" a="1"/>
  <c r="C590" i="4" s="1"/>
  <c r="C592" i="4" a="1"/>
  <c r="C592" i="4" s="1"/>
  <c r="C597" i="4" a="1"/>
  <c r="C597" i="4" s="1"/>
  <c r="C599" i="4" a="1"/>
  <c r="C599" i="4" s="1"/>
  <c r="C601" i="4" a="1"/>
  <c r="C601" i="4" s="1"/>
  <c r="C606" i="4" a="1"/>
  <c r="C606" i="4" s="1"/>
  <c r="C608" i="4" a="1"/>
  <c r="C608" i="4" s="1"/>
  <c r="C610" i="4" a="1"/>
  <c r="C610" i="4" s="1"/>
  <c r="C6" i="4" a="1"/>
  <c r="C6" i="4" s="1"/>
  <c r="C13" i="4" a="1"/>
  <c r="C13" i="4" s="1"/>
  <c r="C22" i="4" a="1"/>
  <c r="C22" i="4" s="1"/>
  <c r="C29" i="4" a="1"/>
  <c r="C29" i="4" s="1"/>
  <c r="C36" i="4" a="1"/>
  <c r="C36" i="4" s="1"/>
  <c r="C43" i="4" a="1"/>
  <c r="C43" i="4" s="1"/>
  <c r="C52" i="4" a="1"/>
  <c r="C52" i="4" s="1"/>
  <c r="C57" i="4" a="1"/>
  <c r="C57" i="4" s="1"/>
  <c r="C67" i="4" a="1"/>
  <c r="C67" i="4" s="1"/>
  <c r="C73" i="4" a="1"/>
  <c r="C73" i="4" s="1"/>
  <c r="C83" i="4" a="1"/>
  <c r="C83" i="4" s="1"/>
  <c r="C87" i="4" a="1"/>
  <c r="C87" i="4" s="1"/>
  <c r="C93" i="4" a="1"/>
  <c r="C93" i="4" s="1"/>
  <c r="C98" i="4" a="1"/>
  <c r="C98" i="4" s="1"/>
  <c r="C103" i="4" a="1"/>
  <c r="C103" i="4" s="1"/>
  <c r="C118" i="4" a="1"/>
  <c r="C118" i="4" s="1"/>
  <c r="C123" i="4" a="1"/>
  <c r="C123" i="4" s="1"/>
  <c r="C128" i="4" a="1"/>
  <c r="C128" i="4" s="1"/>
  <c r="C134" i="4" a="1"/>
  <c r="C134" i="4" s="1"/>
  <c r="C138" i="4" a="1"/>
  <c r="C138" i="4" s="1"/>
  <c r="C148" i="4" a="1"/>
  <c r="C148" i="4" s="1"/>
  <c r="C154" i="4" a="1"/>
  <c r="C154" i="4" s="1"/>
  <c r="C164" i="4" a="1"/>
  <c r="C164" i="4" s="1"/>
  <c r="C168" i="4" a="1"/>
  <c r="C168" i="4" s="1"/>
  <c r="C174" i="4" a="1"/>
  <c r="C174" i="4" s="1"/>
  <c r="C179" i="4" a="1"/>
  <c r="C179" i="4" s="1"/>
  <c r="C183" i="4" a="1"/>
  <c r="C183" i="4" s="1"/>
  <c r="C197" i="4" a="1"/>
  <c r="C197" i="4" s="1"/>
  <c r="C200" i="4" a="1"/>
  <c r="C200" i="4" s="1"/>
  <c r="C203" i="4" a="1"/>
  <c r="C203" i="4" s="1"/>
  <c r="C206" i="4" a="1"/>
  <c r="C206" i="4" s="1"/>
  <c r="C210" i="4" a="1"/>
  <c r="C210" i="4" s="1"/>
  <c r="C212" i="4" a="1"/>
  <c r="C212" i="4" s="1"/>
  <c r="C215" i="4" a="1"/>
  <c r="C215" i="4" s="1"/>
  <c r="C223" i="4" a="1"/>
  <c r="C223" i="4" s="1"/>
  <c r="C226" i="4" a="1"/>
  <c r="C226" i="4" s="1"/>
  <c r="C234" i="4" a="1"/>
  <c r="C234" i="4" s="1"/>
  <c r="C237" i="4" a="1"/>
  <c r="C237" i="4" s="1"/>
  <c r="C239" i="4" a="1"/>
  <c r="C239" i="4" s="1"/>
  <c r="C242" i="4" a="1"/>
  <c r="C242" i="4" s="1"/>
  <c r="C250" i="4" a="1"/>
  <c r="C250" i="4" s="1"/>
  <c r="C254" i="4" a="1"/>
  <c r="C254" i="4" s="1"/>
  <c r="C256" i="4" a="1"/>
  <c r="C256" i="4" s="1"/>
  <c r="C259" i="4" a="1"/>
  <c r="C259" i="4" s="1"/>
  <c r="C267" i="4" a="1"/>
  <c r="C267" i="4" s="1"/>
  <c r="C270" i="4" a="1"/>
  <c r="C270" i="4" s="1"/>
  <c r="C282" i="4" a="1"/>
  <c r="C282" i="4" s="1"/>
  <c r="C285" i="4" a="1"/>
  <c r="C285" i="4" s="1"/>
  <c r="C289" i="4" a="1"/>
  <c r="C289" i="4" s="1"/>
  <c r="C292" i="4" a="1"/>
  <c r="C292" i="4" s="1"/>
  <c r="C295" i="4" a="1"/>
  <c r="C295" i="4" s="1"/>
  <c r="C303" i="4" a="1"/>
  <c r="C303" i="4" s="1"/>
  <c r="C306" i="4" a="1"/>
  <c r="C306" i="4" s="1"/>
  <c r="C313" i="4" a="1"/>
  <c r="C313" i="4" s="1"/>
  <c r="C316" i="4" a="1"/>
  <c r="C316" i="4" s="1"/>
  <c r="C318" i="4" a="1"/>
  <c r="C318" i="4" s="1"/>
  <c r="C321" i="4" a="1"/>
  <c r="C321" i="4" s="1"/>
  <c r="C329" i="4" a="1"/>
  <c r="C329" i="4" s="1"/>
  <c r="C332" i="4" a="1"/>
  <c r="C332" i="4" s="1"/>
  <c r="C340" i="4" a="1"/>
  <c r="C340" i="4" s="1"/>
  <c r="C343" i="4" a="1"/>
  <c r="C343" i="4" s="1"/>
  <c r="C345" i="4" a="1"/>
  <c r="C345" i="4" s="1"/>
  <c r="C348" i="4" a="1"/>
  <c r="C348" i="4" s="1"/>
  <c r="C356" i="4" a="1"/>
  <c r="C356" i="4" s="1"/>
  <c r="C359" i="4" a="1"/>
  <c r="C359" i="4" s="1"/>
  <c r="C367" i="4" a="1"/>
  <c r="C367" i="4" s="1"/>
  <c r="C370" i="4" a="1"/>
  <c r="C370" i="4" s="1"/>
  <c r="C372" i="4" a="1"/>
  <c r="C372" i="4" s="1"/>
  <c r="C375" i="4" a="1"/>
  <c r="C375" i="4" s="1"/>
  <c r="C383" i="4" a="1"/>
  <c r="C383" i="4" s="1"/>
  <c r="C392" i="4" a="1"/>
  <c r="C392" i="4" s="1"/>
  <c r="C395" i="4" a="1"/>
  <c r="C395" i="4" s="1"/>
  <c r="C397" i="4" a="1"/>
  <c r="C397" i="4" s="1"/>
  <c r="C400" i="4" a="1"/>
  <c r="C400" i="4" s="1"/>
  <c r="C408" i="4" a="1"/>
  <c r="C408" i="4" s="1"/>
  <c r="C411" i="4" a="1"/>
  <c r="C411" i="4" s="1"/>
  <c r="C419" i="4" a="1"/>
  <c r="C419" i="4" s="1"/>
  <c r="C422" i="4" a="1"/>
  <c r="C422" i="4" s="1"/>
  <c r="C424" i="4" a="1"/>
  <c r="C424" i="4" s="1"/>
  <c r="C427" i="4" a="1"/>
  <c r="C427" i="4" s="1"/>
  <c r="C435" i="4" a="1"/>
  <c r="C435" i="4" s="1"/>
  <c r="C438" i="4" a="1"/>
  <c r="C438" i="4" s="1"/>
  <c r="C446" i="4" a="1"/>
  <c r="C446" i="4" s="1"/>
  <c r="C449" i="4" a="1"/>
  <c r="C449" i="4" s="1"/>
  <c r="C451" i="4" a="1"/>
  <c r="C451" i="4" s="1"/>
  <c r="C454" i="4" a="1"/>
  <c r="C454" i="4" s="1"/>
  <c r="C462" i="4" a="1"/>
  <c r="C462" i="4" s="1"/>
  <c r="C465" i="4" a="1"/>
  <c r="C465" i="4" s="1"/>
  <c r="C471" i="4" a="1"/>
  <c r="C471" i="4" s="1"/>
  <c r="C474" i="4" a="1"/>
  <c r="C474" i="4" s="1"/>
  <c r="C476" i="4" a="1"/>
  <c r="C476" i="4" s="1"/>
  <c r="C479" i="4" a="1"/>
  <c r="C479" i="4" s="1"/>
  <c r="C487" i="4" a="1"/>
  <c r="C487" i="4" s="1"/>
  <c r="C490" i="4" a="1"/>
  <c r="C490" i="4" s="1"/>
  <c r="C497" i="4" a="1"/>
  <c r="C497" i="4" s="1"/>
  <c r="C500" i="4" a="1"/>
  <c r="C500" i="4" s="1"/>
  <c r="C501" i="4" a="1"/>
  <c r="C501" i="4" s="1"/>
  <c r="C504" i="4" a="1"/>
  <c r="C504" i="4" s="1"/>
  <c r="C512" i="4" a="1"/>
  <c r="C512" i="4" s="1"/>
  <c r="C515" i="4" a="1"/>
  <c r="C515" i="4" s="1"/>
  <c r="C523" i="4" a="1"/>
  <c r="C523" i="4" s="1"/>
  <c r="C526" i="4" a="1"/>
  <c r="C526" i="4" s="1"/>
  <c r="C528" i="4" a="1"/>
  <c r="C528" i="4" s="1"/>
  <c r="C531" i="4" a="1"/>
  <c r="C531" i="4" s="1"/>
  <c r="C539" i="4" a="1"/>
  <c r="C539" i="4" s="1"/>
  <c r="C542" i="4" a="1"/>
  <c r="C542" i="4" s="1"/>
  <c r="C550" i="4" a="1"/>
  <c r="C550" i="4" s="1"/>
  <c r="C553" i="4" a="1"/>
  <c r="C553" i="4" s="1"/>
  <c r="C555" i="4" a="1"/>
  <c r="C555" i="4" s="1"/>
  <c r="C558" i="4" a="1"/>
  <c r="C558" i="4" s="1"/>
  <c r="C566" i="4" a="1"/>
  <c r="C566" i="4" s="1"/>
  <c r="C569" i="4" a="1"/>
  <c r="C569" i="4" s="1"/>
  <c r="C577" i="4" a="1"/>
  <c r="C577" i="4" s="1"/>
  <c r="C580" i="4" a="1"/>
  <c r="C580" i="4" s="1"/>
  <c r="C582" i="4" a="1"/>
  <c r="C582" i="4" s="1"/>
  <c r="C585" i="4" a="1"/>
  <c r="C585" i="4" s="1"/>
  <c r="C593" i="4" a="1"/>
  <c r="C593" i="4" s="1"/>
  <c r="C596" i="4" a="1"/>
  <c r="C596" i="4" s="1"/>
  <c r="C604" i="4" a="1"/>
  <c r="C604" i="4" s="1"/>
  <c r="C607" i="4" a="1"/>
  <c r="C607" i="4" s="1"/>
  <c r="C609" i="4" a="1"/>
  <c r="C609" i="4" s="1"/>
  <c r="C612" i="4" a="1"/>
  <c r="C612" i="4" s="1"/>
  <c r="C16" i="4" a="1"/>
  <c r="C16" i="4" s="1"/>
  <c r="C23" i="4" a="1"/>
  <c r="C23" i="4" s="1"/>
  <c r="C47" i="4" a="1"/>
  <c r="C47" i="4" s="1"/>
  <c r="C69" i="4" a="1"/>
  <c r="C69" i="4" s="1"/>
  <c r="C74" i="4" a="1"/>
  <c r="C74" i="4" s="1"/>
  <c r="C84" i="4" a="1"/>
  <c r="C84" i="4" s="1"/>
  <c r="C100" i="4" a="1"/>
  <c r="C100" i="4" s="1"/>
  <c r="C114" i="4" a="1"/>
  <c r="C114" i="4" s="1"/>
  <c r="C125" i="4" a="1"/>
  <c r="C125" i="4" s="1"/>
  <c r="C130" i="4" a="1"/>
  <c r="C130" i="4" s="1"/>
  <c r="C150" i="4" a="1"/>
  <c r="C150" i="4" s="1"/>
  <c r="C161" i="4" a="1"/>
  <c r="C161" i="4" s="1"/>
  <c r="C175" i="4" a="1"/>
  <c r="C175" i="4" s="1"/>
  <c r="C189" i="4" a="1"/>
  <c r="C189" i="4" s="1"/>
  <c r="C201" i="4" a="1"/>
  <c r="C201" i="4" s="1"/>
  <c r="C216" i="4" a="1"/>
  <c r="C216" i="4" s="1"/>
  <c r="C221" i="4" a="1"/>
  <c r="C221" i="4" s="1"/>
  <c r="C232" i="4" a="1"/>
  <c r="C232" i="4" s="1"/>
  <c r="C243" i="4" a="1"/>
  <c r="C243" i="4" s="1"/>
  <c r="C248" i="4" a="1"/>
  <c r="C248" i="4" s="1"/>
  <c r="C260" i="4" a="1"/>
  <c r="C260" i="4" s="1"/>
  <c r="C265" i="4" a="1"/>
  <c r="C265" i="4" s="1"/>
  <c r="C276" i="4" a="1"/>
  <c r="C276" i="4" s="1"/>
  <c r="C283" i="4" a="1"/>
  <c r="C283" i="4" s="1"/>
  <c r="C290" i="4" a="1"/>
  <c r="C290" i="4" s="1"/>
  <c r="C299" i="4" a="1"/>
  <c r="C299" i="4" s="1"/>
  <c r="C304" i="4" a="1"/>
  <c r="C304" i="4" s="1"/>
  <c r="C311" i="4" a="1"/>
  <c r="C311" i="4" s="1"/>
  <c r="C322" i="4" a="1"/>
  <c r="C322" i="4" s="1"/>
  <c r="C327" i="4" a="1"/>
  <c r="C327" i="4" s="1"/>
  <c r="C338" i="4" a="1"/>
  <c r="C338" i="4" s="1"/>
  <c r="C349" i="4" a="1"/>
  <c r="C349" i="4" s="1"/>
  <c r="C354" i="4" a="1"/>
  <c r="C354" i="4" s="1"/>
  <c r="C365" i="4" a="1"/>
  <c r="C365" i="4" s="1"/>
  <c r="C376" i="4" a="1"/>
  <c r="C376" i="4" s="1"/>
  <c r="C381" i="4" a="1"/>
  <c r="C381" i="4" s="1"/>
  <c r="C390" i="4" a="1"/>
  <c r="C390" i="4" s="1"/>
  <c r="C401" i="4" a="1"/>
  <c r="C401" i="4" s="1"/>
  <c r="C406" i="4" a="1"/>
  <c r="C406" i="4" s="1"/>
  <c r="C417" i="4" a="1"/>
  <c r="C417" i="4" s="1"/>
  <c r="C431" i="4" a="1"/>
  <c r="C431" i="4" s="1"/>
  <c r="C433" i="4" a="1"/>
  <c r="C433" i="4" s="1"/>
  <c r="C447" i="4" a="1"/>
  <c r="C447" i="4" s="1"/>
  <c r="C458" i="4" a="1"/>
  <c r="C458" i="4" s="1"/>
  <c r="C460" i="4" a="1"/>
  <c r="C460" i="4" s="1"/>
  <c r="C469" i="4" a="1"/>
  <c r="C469" i="4" s="1"/>
  <c r="C480" i="4" a="1"/>
  <c r="C480" i="4" s="1"/>
  <c r="C485" i="4" a="1"/>
  <c r="C485" i="4" s="1"/>
  <c r="C495" i="4" a="1"/>
  <c r="C495" i="4" s="1"/>
  <c r="C505" i="4" a="1"/>
  <c r="C505" i="4" s="1"/>
  <c r="C510" i="4" a="1"/>
  <c r="C510" i="4" s="1"/>
  <c r="C521" i="4" a="1"/>
  <c r="C521" i="4" s="1"/>
  <c r="C532" i="4" a="1"/>
  <c r="C532" i="4" s="1"/>
  <c r="C537" i="4" a="1"/>
  <c r="C537" i="4" s="1"/>
  <c r="C551" i="4" a="1"/>
  <c r="C551" i="4" s="1"/>
  <c r="C559" i="4" a="1"/>
  <c r="C559" i="4" s="1"/>
  <c r="C564" i="4" a="1"/>
  <c r="C564" i="4" s="1"/>
  <c r="C575" i="4" a="1"/>
  <c r="C575" i="4" s="1"/>
  <c r="C586" i="4" a="1"/>
  <c r="C586" i="4" s="1"/>
  <c r="C591" i="4" a="1"/>
  <c r="C591" i="4" s="1"/>
  <c r="C602" i="4" a="1"/>
  <c r="C602" i="4" s="1"/>
  <c r="C613" i="4" a="1"/>
  <c r="C613" i="4" s="1"/>
  <c r="C56" i="4" a="1"/>
  <c r="C56" i="4" s="1"/>
  <c r="C91" i="4" a="1"/>
  <c r="C91" i="4" s="1"/>
  <c r="C107" i="4" a="1"/>
  <c r="C107" i="4" s="1"/>
  <c r="C127" i="4" a="1"/>
  <c r="C127" i="4" s="1"/>
  <c r="C147" i="4" a="1"/>
  <c r="C147" i="4" s="1"/>
  <c r="C172" i="4" a="1"/>
  <c r="C172" i="4" s="1"/>
  <c r="C186" i="4" a="1"/>
  <c r="C186" i="4" s="1"/>
  <c r="C196" i="4" a="1"/>
  <c r="C196" i="4" s="1"/>
  <c r="C214" i="4" a="1"/>
  <c r="C214" i="4" s="1"/>
  <c r="C228" i="4" a="1"/>
  <c r="C228" i="4" s="1"/>
  <c r="C233" i="4" a="1"/>
  <c r="C233" i="4" s="1"/>
  <c r="C258" i="4" a="1"/>
  <c r="C258" i="4" s="1"/>
  <c r="C272" i="4" a="1"/>
  <c r="C272" i="4" s="1"/>
  <c r="C281" i="4" a="1"/>
  <c r="C281" i="4" s="1"/>
  <c r="C297" i="4" a="1"/>
  <c r="C297" i="4" s="1"/>
  <c r="C309" i="4" a="1"/>
  <c r="C309" i="4" s="1"/>
  <c r="C312" i="4" a="1"/>
  <c r="C312" i="4" s="1"/>
  <c r="C336" i="4" a="1"/>
  <c r="C336" i="4" s="1"/>
  <c r="C347" i="4" a="1"/>
  <c r="C347" i="4" s="1"/>
  <c r="C363" i="4" a="1"/>
  <c r="C363" i="4" s="1"/>
  <c r="C377" i="4" a="1"/>
  <c r="C377" i="4" s="1"/>
  <c r="C388" i="4" a="1"/>
  <c r="C388" i="4" s="1"/>
  <c r="C402" i="4" a="1"/>
  <c r="C402" i="4" s="1"/>
  <c r="C413" i="4" a="1"/>
  <c r="C413" i="4" s="1"/>
  <c r="C418" i="4" a="1"/>
  <c r="C418" i="4" s="1"/>
  <c r="C437" i="4" a="1"/>
  <c r="C437" i="4" s="1"/>
  <c r="C445" i="4" a="1"/>
  <c r="C445" i="4" s="1"/>
  <c r="C32" i="4" a="1"/>
  <c r="C32" i="4" s="1"/>
  <c r="C64" i="4" a="1"/>
  <c r="C64" i="4" s="1"/>
  <c r="C80" i="4" a="1"/>
  <c r="C80" i="4" s="1"/>
  <c r="C94" i="4" a="1"/>
  <c r="C94" i="4" s="1"/>
  <c r="C110" i="4" a="1"/>
  <c r="C110" i="4" s="1"/>
  <c r="C120" i="4" a="1"/>
  <c r="C120" i="4" s="1"/>
  <c r="C145" i="4" a="1"/>
  <c r="C145" i="4" s="1"/>
  <c r="C155" i="4" a="1"/>
  <c r="C155" i="4" s="1"/>
  <c r="C165" i="4" a="1"/>
  <c r="C165" i="4" s="1"/>
  <c r="C180" i="4" a="1"/>
  <c r="C180" i="4" s="1"/>
  <c r="C192" i="4" a="1"/>
  <c r="C192" i="4" s="1"/>
  <c r="C198" i="4" a="1"/>
  <c r="C198" i="4" s="1"/>
  <c r="C204" i="4" a="1"/>
  <c r="C204" i="4" s="1"/>
  <c r="C219" i="4" a="1"/>
  <c r="C219" i="4" s="1"/>
  <c r="C224" i="4" a="1"/>
  <c r="C224" i="4" s="1"/>
  <c r="C235" i="4" a="1"/>
  <c r="C235" i="4" s="1"/>
  <c r="C246" i="4" a="1"/>
  <c r="C246" i="4" s="1"/>
  <c r="C252" i="4" a="1"/>
  <c r="C252" i="4" s="1"/>
  <c r="C263" i="4" a="1"/>
  <c r="C263" i="4" s="1"/>
  <c r="C268" i="4" a="1"/>
  <c r="C268" i="4" s="1"/>
  <c r="C280" i="4" a="1"/>
  <c r="C280" i="4" s="1"/>
  <c r="C287" i="4" a="1"/>
  <c r="C287" i="4" s="1"/>
  <c r="C296" i="4" a="1"/>
  <c r="C296" i="4" s="1"/>
  <c r="C301" i="4" a="1"/>
  <c r="C301" i="4" s="1"/>
  <c r="C314" i="4" a="1"/>
  <c r="C314" i="4" s="1"/>
  <c r="C325" i="4" a="1"/>
  <c r="C325" i="4" s="1"/>
  <c r="C330" i="4" a="1"/>
  <c r="C330" i="4" s="1"/>
  <c r="C341" i="4" a="1"/>
  <c r="C341" i="4" s="1"/>
  <c r="C352" i="4" a="1"/>
  <c r="C352" i="4" s="1"/>
  <c r="C357" i="4" a="1"/>
  <c r="C357" i="4" s="1"/>
  <c r="C368" i="4" a="1"/>
  <c r="C368" i="4" s="1"/>
  <c r="C379" i="4" a="1"/>
  <c r="C379" i="4" s="1"/>
  <c r="C384" i="4" a="1"/>
  <c r="C384" i="4" s="1"/>
  <c r="C393" i="4" a="1"/>
  <c r="C393" i="4" s="1"/>
  <c r="C404" i="4" a="1"/>
  <c r="C404" i="4" s="1"/>
  <c r="C409" i="4" a="1"/>
  <c r="C409" i="4" s="1"/>
  <c r="C420" i="4" a="1"/>
  <c r="C420" i="4" s="1"/>
  <c r="C428" i="4" a="1"/>
  <c r="C428" i="4" s="1"/>
  <c r="C436" i="4" a="1"/>
  <c r="C436" i="4" s="1"/>
  <c r="C444" i="4" a="1"/>
  <c r="C444" i="4" s="1"/>
  <c r="C455" i="4" a="1"/>
  <c r="C455" i="4" s="1"/>
  <c r="C463" i="4" a="1"/>
  <c r="C463" i="4" s="1"/>
  <c r="C472" i="4" a="1"/>
  <c r="C472" i="4" s="1"/>
  <c r="C483" i="4" a="1"/>
  <c r="C483" i="4" s="1"/>
  <c r="C488" i="4" a="1"/>
  <c r="C488" i="4" s="1"/>
  <c r="C498" i="4" a="1"/>
  <c r="C498" i="4" s="1"/>
  <c r="C508" i="4" a="1"/>
  <c r="C508" i="4" s="1"/>
  <c r="C513" i="4" a="1"/>
  <c r="C513" i="4" s="1"/>
  <c r="C524" i="4" a="1"/>
  <c r="C524" i="4" s="1"/>
  <c r="C535" i="4" a="1"/>
  <c r="C535" i="4" s="1"/>
  <c r="C540" i="4" a="1"/>
  <c r="C540" i="4" s="1"/>
  <c r="C548" i="4" a="1"/>
  <c r="C548" i="4" s="1"/>
  <c r="C562" i="4" a="1"/>
  <c r="C562" i="4" s="1"/>
  <c r="C567" i="4" a="1"/>
  <c r="C567" i="4" s="1"/>
  <c r="C578" i="4" a="1"/>
  <c r="C578" i="4" s="1"/>
  <c r="C589" i="4" a="1"/>
  <c r="C589" i="4" s="1"/>
  <c r="C594" i="4" a="1"/>
  <c r="C594" i="4" s="1"/>
  <c r="C605" i="4" a="1"/>
  <c r="C605" i="4" s="1"/>
  <c r="C33" i="4" a="1"/>
  <c r="C33" i="4" s="1"/>
  <c r="C49" i="4" a="1"/>
  <c r="C49" i="4" s="1"/>
  <c r="C66" i="4" a="1"/>
  <c r="C66" i="4" s="1"/>
  <c r="C76" i="4" a="1"/>
  <c r="C76" i="4" s="1"/>
  <c r="C96" i="4" a="1"/>
  <c r="C96" i="4" s="1"/>
  <c r="C111" i="4" a="1"/>
  <c r="C111" i="4" s="1"/>
  <c r="C141" i="4" a="1"/>
  <c r="C141" i="4" s="1"/>
  <c r="C157" i="4" a="1"/>
  <c r="C157" i="4" s="1"/>
  <c r="C181" i="4" a="1"/>
  <c r="C181" i="4" s="1"/>
  <c r="C190" i="4" a="1"/>
  <c r="C190" i="4" s="1"/>
  <c r="C205" i="4" a="1"/>
  <c r="C205" i="4" s="1"/>
  <c r="C217" i="4" a="1"/>
  <c r="C217" i="4" s="1"/>
  <c r="C230" i="4" a="1"/>
  <c r="C230" i="4" s="1"/>
  <c r="C244" i="4" a="1"/>
  <c r="C244" i="4" s="1"/>
  <c r="C269" i="4" a="1"/>
  <c r="C269" i="4" s="1"/>
  <c r="C278" i="4" a="1"/>
  <c r="C278" i="4" s="1"/>
  <c r="C291" i="4" a="1"/>
  <c r="C291" i="4" s="1"/>
  <c r="C305" i="4" a="1"/>
  <c r="C305" i="4" s="1"/>
  <c r="C323" i="4" a="1"/>
  <c r="C323" i="4" s="1"/>
  <c r="C331" i="4" a="1"/>
  <c r="C331" i="4" s="1"/>
  <c r="C350" i="4" a="1"/>
  <c r="C350" i="4" s="1"/>
  <c r="C361" i="4" a="1"/>
  <c r="C361" i="4" s="1"/>
  <c r="C366" i="4" a="1"/>
  <c r="C366" i="4" s="1"/>
  <c r="C385" i="4" a="1"/>
  <c r="C385" i="4" s="1"/>
  <c r="C391" i="4" a="1"/>
  <c r="C391" i="4" s="1"/>
  <c r="C410" i="4" a="1"/>
  <c r="C410" i="4" s="1"/>
  <c r="C426" i="4" a="1"/>
  <c r="C426" i="4" s="1"/>
  <c r="C440" i="4" a="1"/>
  <c r="C440" i="4" s="1"/>
  <c r="C18" i="4" a="1"/>
  <c r="C18" i="4" s="1"/>
  <c r="C42" i="4" a="1"/>
  <c r="C42" i="4" s="1"/>
  <c r="C60" i="4" a="1"/>
  <c r="C60" i="4" s="1"/>
  <c r="C71" i="4" a="1"/>
  <c r="C71" i="4" s="1"/>
  <c r="C101" i="4" a="1"/>
  <c r="C101" i="4" s="1"/>
  <c r="C121" i="4" a="1"/>
  <c r="C121" i="4" s="1"/>
  <c r="C137" i="4" a="1"/>
  <c r="C137" i="4" s="1"/>
  <c r="C152" i="4" a="1"/>
  <c r="C152" i="4" s="1"/>
  <c r="C177" i="4" a="1"/>
  <c r="C177" i="4" s="1"/>
  <c r="C194" i="4" a="1"/>
  <c r="C194" i="4" s="1"/>
  <c r="C208" i="4" a="1"/>
  <c r="C208" i="4" s="1"/>
  <c r="C225" i="4" a="1"/>
  <c r="C225" i="4" s="1"/>
  <c r="C241" i="4" a="1"/>
  <c r="C241" i="4" s="1"/>
  <c r="C261" i="4" a="1"/>
  <c r="C261" i="4" s="1"/>
  <c r="C274" i="4" a="1"/>
  <c r="C274" i="4" s="1"/>
  <c r="C294" i="4" a="1"/>
  <c r="C294" i="4" s="1"/>
  <c r="C320" i="4" a="1"/>
  <c r="C320" i="4" s="1"/>
  <c r="C334" i="4" a="1"/>
  <c r="C334" i="4" s="1"/>
  <c r="C339" i="4" a="1"/>
  <c r="C339" i="4" s="1"/>
  <c r="C358" i="4" a="1"/>
  <c r="C358" i="4" s="1"/>
  <c r="C374" i="4" a="1"/>
  <c r="C374" i="4" s="1"/>
  <c r="C386" i="4" a="1"/>
  <c r="C386" i="4" s="1"/>
  <c r="C399" i="4" a="1"/>
  <c r="C399" i="4" s="1"/>
  <c r="C415" i="4" a="1"/>
  <c r="C415" i="4" s="1"/>
  <c r="C429" i="4" a="1"/>
  <c r="C429" i="4" s="1"/>
  <c r="C442" i="4" a="1"/>
  <c r="C442" i="4" s="1"/>
  <c r="C453" i="4" a="1"/>
  <c r="C453" i="4" s="1"/>
  <c r="C467" i="4" a="1"/>
  <c r="C467" i="4" s="1"/>
  <c r="C492" i="4" a="1"/>
  <c r="C492" i="4" s="1"/>
  <c r="C506" i="4" a="1"/>
  <c r="C506" i="4" s="1"/>
  <c r="C514" i="4" a="1"/>
  <c r="C514" i="4" s="1"/>
  <c r="C522" i="4" a="1"/>
  <c r="C522" i="4" s="1"/>
  <c r="C530" i="4" a="1"/>
  <c r="C530" i="4" s="1"/>
  <c r="C546" i="4" a="1"/>
  <c r="C546" i="4" s="1"/>
  <c r="C571" i="4" a="1"/>
  <c r="C571" i="4" s="1"/>
  <c r="C587" i="4" a="1"/>
  <c r="C587" i="4" s="1"/>
  <c r="C595" i="4" a="1"/>
  <c r="C595" i="4" s="1"/>
  <c r="C603" i="4" a="1"/>
  <c r="C603" i="4" s="1"/>
  <c r="C611" i="4" a="1"/>
  <c r="C611" i="4" s="1"/>
  <c r="C481" i="4" a="1"/>
  <c r="C481" i="4" s="1"/>
  <c r="C503" i="4" a="1"/>
  <c r="C503" i="4" s="1"/>
  <c r="C544" i="4" a="1"/>
  <c r="C544" i="4" s="1"/>
  <c r="C568" i="4" a="1"/>
  <c r="C568" i="4" s="1"/>
  <c r="C584" i="4" a="1"/>
  <c r="C584" i="4" s="1"/>
  <c r="C456" i="4" a="1"/>
  <c r="C456" i="4" s="1"/>
  <c r="C464" i="4" a="1"/>
  <c r="C464" i="4" s="1"/>
  <c r="C470" i="4" a="1"/>
  <c r="C470" i="4" s="1"/>
  <c r="C478" i="4" a="1"/>
  <c r="C478" i="4" s="1"/>
  <c r="C517" i="4" a="1"/>
  <c r="C517" i="4" s="1"/>
  <c r="C533" i="4" a="1"/>
  <c r="C533" i="4" s="1"/>
  <c r="C541" i="4" a="1"/>
  <c r="C541" i="4" s="1"/>
  <c r="C549" i="4" a="1"/>
  <c r="C549" i="4" s="1"/>
  <c r="C557" i="4" a="1"/>
  <c r="C557" i="4" s="1"/>
  <c r="C573" i="4" a="1"/>
  <c r="C573" i="4" s="1"/>
  <c r="C598" i="4" a="1"/>
  <c r="C598" i="4" s="1"/>
  <c r="C489" i="4" a="1"/>
  <c r="C489" i="4" s="1"/>
  <c r="C496" i="4" a="1"/>
  <c r="C496" i="4" s="1"/>
  <c r="C519" i="4" a="1"/>
  <c r="C519" i="4" s="1"/>
  <c r="C560" i="4" a="1"/>
  <c r="C560" i="4" s="1"/>
  <c r="C576" i="4" a="1"/>
  <c r="C576" i="4" s="1"/>
  <c r="C600" i="4" a="1"/>
  <c r="C600" i="4" s="1"/>
  <c r="B8" i="7"/>
  <c r="C2" i="4" a="1"/>
  <c r="C2" i="4" s="1"/>
  <c r="H16" i="6" l="1"/>
  <c r="H20" i="6"/>
  <c r="H24" i="6"/>
  <c r="H28" i="6"/>
  <c r="H32" i="6"/>
  <c r="H36" i="6"/>
  <c r="H40" i="6"/>
  <c r="H17" i="6"/>
  <c r="H21" i="6"/>
  <c r="H25" i="6"/>
  <c r="H29" i="6"/>
  <c r="H33" i="6"/>
  <c r="H37" i="6"/>
  <c r="H41" i="6"/>
  <c r="H18" i="6"/>
  <c r="H22" i="6"/>
  <c r="H26" i="6"/>
  <c r="H30" i="6"/>
  <c r="H34" i="6"/>
  <c r="H38" i="6"/>
  <c r="H19" i="6"/>
  <c r="H23" i="6"/>
  <c r="H27" i="6"/>
  <c r="H31" i="6"/>
  <c r="H35" i="6"/>
  <c r="H39" i="6"/>
  <c r="F40" i="10"/>
  <c r="B7" i="8" a="1"/>
  <c r="B7" i="8" s="1"/>
  <c r="B15" i="6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I17" i="10" a="1"/>
  <c r="I17" i="10" s="1"/>
  <c r="B17" i="10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F21" i="10"/>
  <c r="F25" i="10"/>
  <c r="F29" i="10"/>
  <c r="F33" i="10"/>
  <c r="F37" i="10"/>
  <c r="F18" i="10"/>
  <c r="F22" i="10"/>
  <c r="F26" i="10"/>
  <c r="F30" i="10"/>
  <c r="F34" i="10"/>
  <c r="F38" i="10"/>
  <c r="F19" i="10"/>
  <c r="F23" i="10"/>
  <c r="F27" i="10"/>
  <c r="F31" i="10"/>
  <c r="F35" i="10"/>
  <c r="F39" i="10"/>
  <c r="F20" i="10"/>
  <c r="F24" i="10"/>
  <c r="F28" i="10"/>
  <c r="F32" i="10"/>
  <c r="F36" i="10"/>
  <c r="A12" i="7" a="1"/>
  <c r="A12" i="7" s="1"/>
  <c r="A3" i="4"/>
  <c r="A4" i="4" s="1"/>
  <c r="A5" i="4" s="1"/>
  <c r="A6" i="4" s="1"/>
  <c r="A7" i="4" s="1"/>
  <c r="A8" i="4" s="1"/>
  <c r="A9" i="4" s="1"/>
  <c r="A10" i="4" s="1"/>
  <c r="F17" i="10" l="1"/>
  <c r="H15" i="6"/>
  <c r="A11" i="4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351" i="4" s="1"/>
  <c r="A352" i="4" s="1"/>
  <c r="A353" i="4" s="1"/>
  <c r="A354" i="4" s="1"/>
  <c r="A355" i="4" s="1"/>
  <c r="A356" i="4" s="1"/>
  <c r="A357" i="4" s="1"/>
  <c r="A358" i="4" s="1"/>
  <c r="A359" i="4" s="1"/>
  <c r="A360" i="4" s="1"/>
  <c r="A361" i="4" s="1"/>
  <c r="A362" i="4" s="1"/>
  <c r="A363" i="4" s="1"/>
  <c r="A364" i="4" s="1"/>
  <c r="A365" i="4" s="1"/>
  <c r="A366" i="4" s="1"/>
  <c r="A367" i="4" s="1"/>
  <c r="A368" i="4" s="1"/>
  <c r="A369" i="4" s="1"/>
  <c r="A370" i="4" s="1"/>
  <c r="A371" i="4" s="1"/>
  <c r="A372" i="4" s="1"/>
  <c r="A373" i="4" s="1"/>
  <c r="A374" i="4" s="1"/>
  <c r="A375" i="4" s="1"/>
  <c r="A376" i="4" s="1"/>
  <c r="A377" i="4" s="1"/>
  <c r="A378" i="4" s="1"/>
  <c r="A379" i="4" s="1"/>
  <c r="A380" i="4" s="1"/>
  <c r="A381" i="4" s="1"/>
  <c r="A382" i="4" s="1"/>
  <c r="A383" i="4" s="1"/>
  <c r="A384" i="4" s="1"/>
  <c r="A385" i="4" s="1"/>
  <c r="A386" i="4" s="1"/>
  <c r="A387" i="4" s="1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601" i="4" s="1"/>
  <c r="A602" i="4" s="1"/>
  <c r="A603" i="4" s="1"/>
  <c r="A604" i="4" s="1"/>
  <c r="A605" i="4" s="1"/>
  <c r="A606" i="4" s="1"/>
  <c r="A607" i="4" s="1"/>
  <c r="A608" i="4" s="1"/>
  <c r="A609" i="4" s="1"/>
  <c r="A610" i="4" s="1"/>
  <c r="A611" i="4" s="1"/>
  <c r="A612" i="4" s="1"/>
  <c r="A613" i="4" s="1"/>
  <c r="A614" i="4" s="1"/>
  <c r="A615" i="4" s="1"/>
  <c r="A616" i="4" s="1"/>
  <c r="A617" i="4" s="1"/>
  <c r="A618" i="4" s="1"/>
  <c r="A619" i="4" s="1"/>
  <c r="A620" i="4" s="1"/>
  <c r="A621" i="4" s="1"/>
  <c r="A622" i="4" s="1"/>
  <c r="A623" i="4" s="1"/>
  <c r="A624" i="4" s="1"/>
  <c r="A625" i="4" s="1"/>
  <c r="A626" i="4" s="1"/>
  <c r="A627" i="4" s="1"/>
  <c r="A628" i="4" s="1"/>
  <c r="A629" i="4" s="1"/>
  <c r="A630" i="4" s="1"/>
  <c r="A631" i="4" s="1"/>
  <c r="A632" i="4" s="1"/>
  <c r="A633" i="4" s="1"/>
  <c r="A634" i="4" s="1"/>
  <c r="A635" i="4" s="1"/>
  <c r="A636" i="4" s="1"/>
  <c r="A637" i="4" s="1"/>
  <c r="A638" i="4" s="1"/>
  <c r="A639" i="4" s="1"/>
  <c r="A640" i="4" s="1"/>
  <c r="A641" i="4" s="1"/>
  <c r="A642" i="4" s="1"/>
  <c r="A643" i="4" s="1"/>
  <c r="A644" i="4" s="1"/>
  <c r="A645" i="4" s="1"/>
  <c r="A646" i="4" s="1"/>
  <c r="A647" i="4" s="1"/>
  <c r="A648" i="4" s="1"/>
  <c r="A649" i="4" s="1"/>
  <c r="A650" i="4" s="1"/>
  <c r="A651" i="4" s="1"/>
  <c r="A652" i="4" s="1"/>
  <c r="A653" i="4" s="1"/>
  <c r="A654" i="4" s="1"/>
  <c r="A655" i="4" s="1"/>
  <c r="A656" i="4" s="1"/>
  <c r="A657" i="4" s="1"/>
  <c r="A658" i="4" s="1"/>
  <c r="A659" i="4" s="1"/>
  <c r="A660" i="4" s="1"/>
  <c r="A661" i="4" s="1"/>
  <c r="A662" i="4" s="1"/>
  <c r="A663" i="4" s="1"/>
  <c r="A664" i="4" s="1"/>
  <c r="A665" i="4" s="1"/>
  <c r="A666" i="4" s="1"/>
  <c r="A667" i="4" s="1"/>
  <c r="A668" i="4" s="1"/>
  <c r="A669" i="4" s="1"/>
  <c r="A670" i="4" s="1"/>
  <c r="A671" i="4" s="1"/>
  <c r="A672" i="4" s="1"/>
  <c r="A673" i="4" s="1"/>
  <c r="A674" i="4" s="1"/>
  <c r="A675" i="4" s="1"/>
  <c r="A676" i="4" s="1"/>
  <c r="A677" i="4" s="1"/>
  <c r="A678" i="4" s="1"/>
  <c r="A679" i="4" s="1"/>
  <c r="A680" i="4" s="1"/>
  <c r="A681" i="4" s="1"/>
  <c r="A682" i="4" s="1"/>
  <c r="A683" i="4" s="1"/>
  <c r="A684" i="4" s="1"/>
  <c r="A685" i="4" s="1"/>
  <c r="A686" i="4" s="1"/>
  <c r="A687" i="4" s="1"/>
  <c r="A688" i="4" s="1"/>
  <c r="A689" i="4" s="1"/>
  <c r="A690" i="4" s="1"/>
  <c r="A691" i="4" s="1"/>
  <c r="A692" i="4" s="1"/>
  <c r="A693" i="4" s="1"/>
  <c r="A694" i="4" s="1"/>
  <c r="A695" i="4" s="1"/>
  <c r="A696" i="4" s="1"/>
  <c r="A697" i="4" s="1"/>
  <c r="A698" i="4" s="1"/>
  <c r="A699" i="4" s="1"/>
  <c r="A700" i="4" s="1"/>
  <c r="A701" i="4" s="1"/>
  <c r="A702" i="4" s="1"/>
  <c r="A703" i="4" s="1"/>
  <c r="A704" i="4" s="1"/>
  <c r="A705" i="4" s="1"/>
  <c r="A706" i="4" s="1"/>
  <c r="A707" i="4" s="1"/>
  <c r="A708" i="4" s="1"/>
  <c r="A709" i="4" s="1"/>
  <c r="A710" i="4" s="1"/>
  <c r="A711" i="4" s="1"/>
  <c r="A712" i="4" s="1"/>
  <c r="A713" i="4" s="1"/>
  <c r="A714" i="4" s="1"/>
  <c r="A715" i="4" s="1"/>
  <c r="A716" i="4" s="1"/>
  <c r="A717" i="4" s="1"/>
  <c r="A718" i="4" s="1"/>
  <c r="A719" i="4" s="1"/>
  <c r="A720" i="4" s="1"/>
  <c r="A721" i="4" s="1"/>
  <c r="A722" i="4" s="1"/>
  <c r="A723" i="4" s="1"/>
  <c r="A724" i="4" s="1"/>
  <c r="A725" i="4" s="1"/>
  <c r="A726" i="4" s="1"/>
  <c r="A727" i="4" s="1"/>
  <c r="A728" i="4" s="1"/>
  <c r="A729" i="4" s="1"/>
  <c r="A730" i="4" s="1"/>
  <c r="A731" i="4" s="1"/>
  <c r="A732" i="4" s="1"/>
  <c r="A733" i="4" s="1"/>
  <c r="A734" i="4" s="1"/>
  <c r="A735" i="4" s="1"/>
  <c r="A736" i="4" s="1"/>
  <c r="A737" i="4" s="1"/>
  <c r="A738" i="4" s="1"/>
  <c r="A739" i="4" s="1"/>
  <c r="A740" i="4" s="1"/>
  <c r="A741" i="4" s="1"/>
  <c r="A742" i="4" s="1"/>
  <c r="A743" i="4" s="1"/>
  <c r="A744" i="4" s="1"/>
  <c r="A745" i="4" s="1"/>
  <c r="A746" i="4" s="1"/>
  <c r="A747" i="4" s="1"/>
  <c r="A748" i="4" s="1"/>
  <c r="A749" i="4" s="1"/>
  <c r="A750" i="4" s="1"/>
  <c r="A751" i="4" s="1"/>
  <c r="A752" i="4" s="1"/>
  <c r="A753" i="4" s="1"/>
  <c r="A754" i="4" s="1"/>
  <c r="A755" i="4" s="1"/>
  <c r="A756" i="4" s="1"/>
  <c r="A757" i="4" s="1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A768" i="4" s="1"/>
  <c r="A769" i="4" s="1"/>
  <c r="A770" i="4" s="1"/>
  <c r="A771" i="4" s="1"/>
  <c r="A772" i="4" s="1"/>
  <c r="A773" i="4" s="1"/>
  <c r="A774" i="4" s="1"/>
  <c r="A775" i="4" s="1"/>
  <c r="A776" i="4" s="1"/>
  <c r="A777" i="4" s="1"/>
  <c r="A778" i="4" s="1"/>
  <c r="A779" i="4" s="1"/>
  <c r="A780" i="4" s="1"/>
  <c r="A781" i="4" s="1"/>
  <c r="A782" i="4" s="1"/>
  <c r="A783" i="4" s="1"/>
  <c r="A784" i="4" s="1"/>
  <c r="A785" i="4" s="1"/>
  <c r="A786" i="4" s="1"/>
  <c r="A787" i="4" s="1"/>
  <c r="A788" i="4" s="1"/>
  <c r="A789" i="4" s="1"/>
  <c r="A790" i="4" s="1"/>
  <c r="A791" i="4" s="1"/>
  <c r="A792" i="4" s="1"/>
  <c r="A793" i="4" s="1"/>
  <c r="A794" i="4" s="1"/>
  <c r="A795" i="4" s="1"/>
  <c r="A796" i="4" s="1"/>
  <c r="A797" i="4" s="1"/>
  <c r="A798" i="4" s="1"/>
  <c r="A799" i="4" s="1"/>
  <c r="A800" i="4" s="1"/>
  <c r="A801" i="4" s="1"/>
  <c r="A802" i="4" s="1"/>
  <c r="A803" i="4" s="1"/>
  <c r="A804" i="4" s="1"/>
  <c r="A805" i="4" s="1"/>
  <c r="A806" i="4" s="1"/>
  <c r="A807" i="4" s="1"/>
  <c r="A808" i="4" s="1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A819" i="4" s="1"/>
  <c r="A820" i="4" s="1"/>
  <c r="A821" i="4" s="1"/>
  <c r="A822" i="4" s="1"/>
  <c r="A823" i="4" s="1"/>
  <c r="A824" i="4" s="1"/>
  <c r="A825" i="4" s="1"/>
  <c r="A826" i="4" s="1"/>
  <c r="A827" i="4" s="1"/>
  <c r="A828" i="4" s="1"/>
  <c r="A829" i="4" s="1"/>
  <c r="A830" i="4" s="1"/>
  <c r="A831" i="4" s="1"/>
  <c r="A832" i="4" s="1"/>
  <c r="A833" i="4" s="1"/>
  <c r="A834" i="4" s="1"/>
  <c r="A835" i="4" s="1"/>
  <c r="A836" i="4" s="1"/>
  <c r="A837" i="4" s="1"/>
  <c r="A838" i="4" s="1"/>
  <c r="A839" i="4" s="1"/>
  <c r="A840" i="4" s="1"/>
  <c r="A841" i="4" s="1"/>
  <c r="A842" i="4" s="1"/>
  <c r="A843" i="4" s="1"/>
  <c r="A844" i="4" s="1"/>
  <c r="A845" i="4" s="1"/>
  <c r="A846" i="4" s="1"/>
  <c r="A847" i="4" s="1"/>
  <c r="A848" i="4" s="1"/>
  <c r="A849" i="4" s="1"/>
  <c r="A850" i="4" s="1"/>
  <c r="A851" i="4" s="1"/>
  <c r="A852" i="4" s="1"/>
  <c r="A853" i="4" s="1"/>
  <c r="A854" i="4" s="1"/>
  <c r="A855" i="4" s="1"/>
  <c r="A856" i="4" s="1"/>
  <c r="A857" i="4" s="1"/>
  <c r="A858" i="4" s="1"/>
  <c r="A859" i="4" s="1"/>
  <c r="A860" i="4" s="1"/>
  <c r="A861" i="4" s="1"/>
  <c r="A862" i="4" s="1"/>
  <c r="A863" i="4" s="1"/>
  <c r="A864" i="4" s="1"/>
  <c r="A865" i="4" s="1"/>
  <c r="A866" i="4" s="1"/>
  <c r="A867" i="4" s="1"/>
  <c r="A868" i="4" s="1"/>
  <c r="A869" i="4" s="1"/>
  <c r="A870" i="4" s="1"/>
  <c r="A871" i="4" s="1"/>
  <c r="A872" i="4" s="1"/>
  <c r="A873" i="4" s="1"/>
  <c r="A874" i="4" s="1"/>
  <c r="A875" i="4" s="1"/>
  <c r="A876" i="4" s="1"/>
  <c r="A877" i="4" s="1"/>
  <c r="A878" i="4" s="1"/>
  <c r="A879" i="4" s="1"/>
  <c r="A880" i="4" s="1"/>
  <c r="A881" i="4" s="1"/>
  <c r="A882" i="4" s="1"/>
  <c r="A883" i="4" s="1"/>
  <c r="A884" i="4" s="1"/>
  <c r="A885" i="4" s="1"/>
  <c r="A886" i="4" s="1"/>
  <c r="A887" i="4" s="1"/>
  <c r="A888" i="4" s="1"/>
  <c r="A889" i="4" s="1"/>
  <c r="A890" i="4" s="1"/>
  <c r="A891" i="4" s="1"/>
  <c r="A892" i="4" s="1"/>
  <c r="A893" i="4" s="1"/>
  <c r="A894" i="4" s="1"/>
  <c r="A895" i="4" s="1"/>
  <c r="A896" i="4" s="1"/>
  <c r="A897" i="4" s="1"/>
  <c r="A898" i="4" s="1"/>
  <c r="A899" i="4" s="1"/>
  <c r="A900" i="4" s="1"/>
  <c r="A901" i="4" s="1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A914" i="4" s="1"/>
  <c r="A915" i="4" s="1"/>
  <c r="A916" i="4" s="1"/>
  <c r="A917" i="4" s="1"/>
  <c r="A918" i="4" s="1"/>
  <c r="A919" i="4" s="1"/>
  <c r="A920" i="4" s="1"/>
  <c r="A921" i="4" s="1"/>
  <c r="A922" i="4" s="1"/>
  <c r="A923" i="4" s="1"/>
  <c r="A924" i="4" s="1"/>
  <c r="A925" i="4" s="1"/>
  <c r="A926" i="4" s="1"/>
  <c r="A927" i="4" s="1"/>
  <c r="A928" i="4" s="1"/>
  <c r="A929" i="4" s="1"/>
  <c r="A930" i="4" s="1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A972" i="4" s="1"/>
  <c r="A973" i="4" s="1"/>
  <c r="A974" i="4" s="1"/>
  <c r="A975" i="4" s="1"/>
  <c r="A976" i="4" s="1"/>
  <c r="A977" i="4" s="1"/>
  <c r="A978" i="4" s="1"/>
  <c r="A979" i="4" s="1"/>
  <c r="A980" i="4" s="1"/>
  <c r="A981" i="4" s="1"/>
  <c r="A982" i="4" s="1"/>
  <c r="A983" i="4" s="1"/>
  <c r="A984" i="4" s="1"/>
  <c r="A985" i="4" s="1"/>
  <c r="A986" i="4" s="1"/>
  <c r="A987" i="4" s="1"/>
  <c r="A988" i="4" s="1"/>
  <c r="A989" i="4" s="1"/>
  <c r="A990" i="4" s="1"/>
  <c r="A991" i="4" s="1"/>
  <c r="A992" i="4" s="1"/>
  <c r="A993" i="4" s="1"/>
  <c r="A994" i="4" s="1"/>
  <c r="A995" i="4" s="1"/>
  <c r="A996" i="4" s="1"/>
  <c r="A997" i="4" s="1"/>
  <c r="A998" i="4" s="1"/>
  <c r="A999" i="4" s="1"/>
  <c r="A1000" i="4" s="1"/>
  <c r="A1001" i="4" s="1"/>
  <c r="A1002" i="4" s="1"/>
  <c r="A1003" i="4" s="1"/>
  <c r="A1004" i="4" s="1"/>
  <c r="A1005" i="4" s="1"/>
  <c r="A1006" i="4" s="1"/>
  <c r="A1007" i="4" s="1"/>
  <c r="A1008" i="4" s="1"/>
  <c r="A1009" i="4" s="1"/>
  <c r="A1010" i="4" s="1"/>
  <c r="A1011" i="4" s="1"/>
  <c r="A1012" i="4" s="1"/>
  <c r="A1013" i="4" s="1"/>
  <c r="A1014" i="4" s="1"/>
  <c r="A1015" i="4" s="1"/>
  <c r="A1016" i="4" s="1"/>
  <c r="A1017" i="4" s="1"/>
  <c r="A1018" i="4" s="1"/>
  <c r="A1019" i="4" s="1"/>
  <c r="A1020" i="4" s="1"/>
  <c r="A1021" i="4" s="1"/>
  <c r="A1022" i="4" s="1"/>
  <c r="A1023" i="4" s="1"/>
  <c r="A1024" i="4" s="1"/>
  <c r="A1025" i="4" s="1"/>
  <c r="A1026" i="4" s="1"/>
  <c r="A1027" i="4" s="1"/>
  <c r="A1028" i="4" s="1"/>
  <c r="A1029" i="4" s="1"/>
  <c r="A1030" i="4" s="1"/>
  <c r="A1031" i="4" s="1"/>
  <c r="A1032" i="4" s="1"/>
  <c r="A1033" i="4" s="1"/>
  <c r="A1034" i="4" s="1"/>
  <c r="A1035" i="4" s="1"/>
  <c r="A1036" i="4" s="1"/>
  <c r="A1037" i="4" s="1"/>
  <c r="A1038" i="4" s="1"/>
  <c r="A1039" i="4" s="1"/>
  <c r="A1040" i="4" s="1"/>
  <c r="A1041" i="4" s="1"/>
  <c r="A1042" i="4" s="1"/>
  <c r="A1043" i="4" s="1"/>
  <c r="A1044" i="4" s="1"/>
  <c r="A1045" i="4" s="1"/>
  <c r="A1046" i="4" s="1"/>
  <c r="A1047" i="4" s="1"/>
  <c r="A1048" i="4" s="1"/>
  <c r="A1049" i="4" s="1"/>
  <c r="A1050" i="4" s="1"/>
  <c r="A1051" i="4" s="1"/>
  <c r="A1052" i="4" s="1"/>
  <c r="A1053" i="4" s="1"/>
  <c r="A1054" i="4" s="1"/>
  <c r="A1055" i="4" s="1"/>
  <c r="A1056" i="4" s="1"/>
  <c r="A1057" i="4" s="1"/>
  <c r="A1058" i="4" s="1"/>
  <c r="A1059" i="4" s="1"/>
  <c r="A1060" i="4" s="1"/>
  <c r="A1061" i="4" s="1"/>
  <c r="A1062" i="4" s="1"/>
  <c r="A1063" i="4" s="1"/>
  <c r="A1064" i="4" s="1"/>
  <c r="A1065" i="4" s="1"/>
  <c r="A1066" i="4" s="1"/>
  <c r="A1067" i="4" s="1"/>
  <c r="A1068" i="4" s="1"/>
  <c r="A1069" i="4" s="1"/>
  <c r="A1070" i="4" s="1"/>
  <c r="A1071" i="4" s="1"/>
  <c r="A1072" i="4" s="1"/>
  <c r="A1073" i="4" s="1"/>
  <c r="A1074" i="4" s="1"/>
  <c r="A1075" i="4" s="1"/>
  <c r="A1076" i="4" s="1"/>
  <c r="A1077" i="4" s="1"/>
  <c r="A1078" i="4" s="1"/>
  <c r="A1079" i="4" s="1"/>
  <c r="A1080" i="4" s="1"/>
  <c r="A1081" i="4" s="1"/>
  <c r="A1082" i="4" s="1"/>
  <c r="A1083" i="4" s="1"/>
  <c r="A1084" i="4" s="1"/>
  <c r="A1085" i="4" s="1"/>
  <c r="A1086" i="4" s="1"/>
  <c r="A1087" i="4" s="1"/>
  <c r="A1088" i="4" s="1"/>
  <c r="A1089" i="4" s="1"/>
  <c r="A1090" i="4" s="1"/>
  <c r="A1091" i="4" s="1"/>
  <c r="A1092" i="4" s="1"/>
  <c r="A1093" i="4" s="1"/>
  <c r="A1094" i="4" s="1"/>
  <c r="A1095" i="4" s="1"/>
  <c r="A1096" i="4" s="1"/>
  <c r="A1097" i="4" s="1"/>
  <c r="A1098" i="4" s="1"/>
  <c r="A1099" i="4" s="1"/>
  <c r="A1100" i="4" s="1"/>
  <c r="A1101" i="4" s="1"/>
  <c r="A1102" i="4" s="1"/>
  <c r="A1103" i="4" s="1"/>
  <c r="A1104" i="4" s="1"/>
  <c r="A1105" i="4" s="1"/>
  <c r="A1106" i="4" s="1"/>
  <c r="A1107" i="4" s="1"/>
  <c r="A1108" i="4" s="1"/>
  <c r="A1109" i="4" s="1"/>
  <c r="A1110" i="4" s="1"/>
  <c r="A1111" i="4" s="1"/>
  <c r="A1112" i="4" s="1"/>
  <c r="A1113" i="4" s="1"/>
  <c r="A1114" i="4" s="1"/>
  <c r="A1115" i="4" s="1"/>
  <c r="A1116" i="4" s="1"/>
  <c r="A1117" i="4" s="1"/>
  <c r="A1118" i="4" s="1"/>
  <c r="A1119" i="4" s="1"/>
  <c r="A1120" i="4" s="1"/>
  <c r="A1121" i="4" s="1"/>
  <c r="A1122" i="4" s="1"/>
  <c r="A1123" i="4" s="1"/>
  <c r="A1124" i="4" s="1"/>
  <c r="A1125" i="4" s="1"/>
  <c r="A1126" i="4" s="1"/>
  <c r="A1127" i="4" s="1"/>
  <c r="A1128" i="4" s="1"/>
  <c r="A1129" i="4" s="1"/>
  <c r="A1130" i="4" s="1"/>
  <c r="A1131" i="4" s="1"/>
  <c r="A1132" i="4" s="1"/>
  <c r="A1133" i="4" s="1"/>
  <c r="A1134" i="4" s="1"/>
  <c r="A1135" i="4" s="1"/>
  <c r="A1136" i="4" s="1"/>
  <c r="A1137" i="4" s="1"/>
  <c r="A1138" i="4" s="1"/>
  <c r="A1139" i="4" s="1"/>
  <c r="A1140" i="4" s="1"/>
  <c r="A1141" i="4" s="1"/>
  <c r="A1142" i="4" s="1"/>
  <c r="A1143" i="4" s="1"/>
  <c r="A1144" i="4" s="1"/>
  <c r="A1145" i="4" s="1"/>
  <c r="A1146" i="4" s="1"/>
  <c r="A1147" i="4" s="1"/>
  <c r="A1148" i="4" s="1"/>
  <c r="A1149" i="4" s="1"/>
  <c r="A1150" i="4" s="1"/>
  <c r="A1151" i="4" s="1"/>
  <c r="A1152" i="4" s="1"/>
  <c r="A1153" i="4" s="1"/>
  <c r="A1154" i="4" s="1"/>
  <c r="A1155" i="4" s="1"/>
  <c r="A1156" i="4" s="1"/>
  <c r="A1157" i="4" s="1"/>
  <c r="A1158" i="4" s="1"/>
  <c r="A1159" i="4" s="1"/>
  <c r="A1160" i="4" s="1"/>
  <c r="A1161" i="4" s="1"/>
  <c r="A1162" i="4" s="1"/>
  <c r="A1163" i="4" s="1"/>
  <c r="A1164" i="4" s="1"/>
  <c r="A1165" i="4" s="1"/>
  <c r="A1166" i="4" s="1"/>
  <c r="A1167" i="4" s="1"/>
  <c r="A1168" i="4" s="1"/>
  <c r="A1169" i="4" s="1"/>
  <c r="A1170" i="4" s="1"/>
  <c r="A1171" i="4" s="1"/>
  <c r="A1172" i="4" s="1"/>
  <c r="A1173" i="4" s="1"/>
  <c r="A1174" i="4" s="1"/>
  <c r="A1175" i="4" s="1"/>
  <c r="A1176" i="4" s="1"/>
  <c r="A1177" i="4" s="1"/>
  <c r="A1178" i="4" s="1"/>
  <c r="A1179" i="4" s="1"/>
  <c r="A1180" i="4" s="1"/>
  <c r="A1181" i="4" s="1"/>
  <c r="A1182" i="4" s="1"/>
  <c r="A1183" i="4" s="1"/>
  <c r="A1184" i="4" s="1"/>
  <c r="A1185" i="4" s="1"/>
  <c r="A1186" i="4" s="1"/>
  <c r="A1187" i="4" s="1"/>
  <c r="A1188" i="4" s="1"/>
  <c r="A1189" i="4" s="1"/>
  <c r="A1190" i="4" s="1"/>
  <c r="A1191" i="4" s="1"/>
  <c r="A1192" i="4" s="1"/>
  <c r="A1193" i="4" s="1"/>
  <c r="A1194" i="4" s="1"/>
  <c r="A1195" i="4" s="1"/>
  <c r="A1196" i="4" s="1"/>
  <c r="A1197" i="4" s="1"/>
  <c r="A1198" i="4" s="1"/>
  <c r="A1199" i="4" s="1"/>
  <c r="A1200" i="4" s="1"/>
  <c r="A1201" i="4" s="1"/>
  <c r="A1202" i="4" s="1"/>
  <c r="A1203" i="4" s="1"/>
  <c r="A1204" i="4" s="1"/>
  <c r="A1205" i="4" s="1"/>
  <c r="A1206" i="4" s="1"/>
  <c r="A1207" i="4" s="1"/>
  <c r="A1208" i="4" s="1"/>
  <c r="A1209" i="4" s="1"/>
  <c r="A1210" i="4" s="1"/>
  <c r="A1211" i="4" s="1"/>
  <c r="A1212" i="4" s="1"/>
  <c r="A1213" i="4" s="1"/>
  <c r="A1214" i="4" s="1"/>
  <c r="A1215" i="4" s="1"/>
  <c r="A1216" i="4" s="1"/>
  <c r="A1217" i="4" s="1"/>
  <c r="A1218" i="4" s="1"/>
  <c r="A1219" i="4" s="1"/>
  <c r="A1220" i="4" s="1"/>
  <c r="A1221" i="4" s="1"/>
  <c r="A1222" i="4" s="1"/>
  <c r="A1223" i="4" s="1"/>
  <c r="A1224" i="4" s="1"/>
  <c r="A1225" i="4" s="1"/>
  <c r="A1226" i="4" s="1"/>
  <c r="A1227" i="4" s="1"/>
  <c r="A1228" i="4" s="1"/>
  <c r="A1229" i="4" s="1"/>
  <c r="A1230" i="4" s="1"/>
  <c r="A1231" i="4" s="1"/>
  <c r="A1232" i="4" s="1"/>
  <c r="A1233" i="4" s="1"/>
  <c r="A1234" i="4" s="1"/>
  <c r="A1235" i="4" s="1"/>
  <c r="A1236" i="4" s="1"/>
  <c r="A1237" i="4" s="1"/>
  <c r="A1238" i="4" s="1"/>
  <c r="A1239" i="4" s="1"/>
  <c r="A1240" i="4" s="1"/>
  <c r="A1241" i="4" s="1"/>
  <c r="A1242" i="4" s="1"/>
  <c r="A1243" i="4" s="1"/>
  <c r="A1244" i="4" s="1"/>
  <c r="A1245" i="4" s="1"/>
  <c r="A1246" i="4" s="1"/>
  <c r="A1247" i="4" s="1"/>
  <c r="A1248" i="4" s="1"/>
  <c r="A1249" i="4" s="1"/>
  <c r="A1250" i="4" s="1"/>
  <c r="A1251" i="4" s="1"/>
  <c r="A1252" i="4" s="1"/>
  <c r="A1253" i="4" s="1"/>
  <c r="A1254" i="4" s="1"/>
  <c r="A1255" i="4" s="1"/>
  <c r="A1256" i="4" s="1"/>
  <c r="A1257" i="4" s="1"/>
  <c r="A1258" i="4" s="1"/>
  <c r="A1259" i="4" s="1"/>
  <c r="A1260" i="4" s="1"/>
  <c r="A1261" i="4" s="1"/>
  <c r="A1262" i="4" s="1"/>
  <c r="A1263" i="4" s="1"/>
  <c r="A1264" i="4" s="1"/>
  <c r="A1265" i="4" s="1"/>
  <c r="A1266" i="4" s="1"/>
  <c r="A1267" i="4" s="1"/>
  <c r="A1268" i="4" s="1"/>
  <c r="A1269" i="4" s="1"/>
  <c r="A1270" i="4" s="1"/>
  <c r="A1271" i="4" s="1"/>
  <c r="A1272" i="4" s="1"/>
  <c r="A1273" i="4" s="1"/>
  <c r="A1274" i="4" s="1"/>
  <c r="A1275" i="4" s="1"/>
  <c r="A1276" i="4" s="1"/>
  <c r="A1277" i="4" s="1"/>
  <c r="A1278" i="4" s="1"/>
  <c r="A1279" i="4" s="1"/>
  <c r="A1280" i="4" s="1"/>
  <c r="A1281" i="4" s="1"/>
  <c r="A1282" i="4" s="1"/>
  <c r="A1283" i="4" s="1"/>
  <c r="A1284" i="4" s="1"/>
  <c r="A1285" i="4" s="1"/>
  <c r="A1286" i="4" s="1"/>
  <c r="A1287" i="4" s="1"/>
  <c r="A1288" i="4" s="1"/>
  <c r="A1289" i="4" s="1"/>
  <c r="A1290" i="4" s="1"/>
  <c r="A1291" i="4" s="1"/>
  <c r="A1292" i="4" s="1"/>
  <c r="A1293" i="4" s="1"/>
  <c r="A1294" i="4" s="1"/>
  <c r="A1295" i="4" s="1"/>
  <c r="A1296" i="4" s="1"/>
  <c r="A1297" i="4" s="1"/>
  <c r="A1298" i="4" s="1"/>
  <c r="A1299" i="4" s="1"/>
  <c r="A1300" i="4" s="1"/>
  <c r="A1301" i="4" s="1"/>
  <c r="A1302" i="4" s="1"/>
  <c r="A1303" i="4" s="1"/>
  <c r="A1304" i="4" s="1"/>
  <c r="A1305" i="4" s="1"/>
  <c r="A1306" i="4" s="1"/>
  <c r="A1307" i="4" s="1"/>
  <c r="A1308" i="4" s="1"/>
  <c r="A1309" i="4" s="1"/>
  <c r="A1310" i="4" s="1"/>
  <c r="A1311" i="4" s="1"/>
  <c r="A1312" i="4" s="1"/>
  <c r="A1313" i="4" s="1"/>
  <c r="A1314" i="4" s="1"/>
  <c r="A1315" i="4" s="1"/>
  <c r="A1316" i="4" s="1"/>
  <c r="A1317" i="4" s="1"/>
  <c r="A1318" i="4" s="1"/>
  <c r="A1319" i="4" s="1"/>
  <c r="A1320" i="4" s="1"/>
  <c r="A1321" i="4" s="1"/>
  <c r="A1322" i="4" s="1"/>
  <c r="A1323" i="4" s="1"/>
  <c r="A1324" i="4" s="1"/>
  <c r="A1325" i="4" s="1"/>
  <c r="A1326" i="4" s="1"/>
  <c r="A1327" i="4" s="1"/>
  <c r="A1328" i="4" s="1"/>
  <c r="A1329" i="4" s="1"/>
  <c r="A1330" i="4" s="1"/>
  <c r="A1331" i="4" s="1"/>
  <c r="A1332" i="4" s="1"/>
  <c r="A1333" i="4" s="1"/>
  <c r="A1334" i="4" s="1"/>
  <c r="A1335" i="4" s="1"/>
  <c r="A1336" i="4" s="1"/>
  <c r="A1337" i="4" s="1"/>
  <c r="A1338" i="4" s="1"/>
  <c r="A1339" i="4" s="1"/>
  <c r="A1340" i="4" s="1"/>
  <c r="A1341" i="4" s="1"/>
  <c r="A1342" i="4" s="1"/>
  <c r="A1343" i="4" s="1"/>
  <c r="A1344" i="4" s="1"/>
  <c r="A1345" i="4" s="1"/>
  <c r="A1346" i="4" s="1"/>
  <c r="A1347" i="4" s="1"/>
  <c r="A1348" i="4" s="1"/>
  <c r="A1349" i="4" s="1"/>
  <c r="A1350" i="4" s="1"/>
  <c r="A1351" i="4" s="1"/>
  <c r="A1352" i="4" s="1"/>
  <c r="A1353" i="4" s="1"/>
  <c r="A1354" i="4" s="1"/>
  <c r="A1355" i="4" s="1"/>
  <c r="A1356" i="4" s="1"/>
  <c r="A1357" i="4" s="1"/>
  <c r="A1358" i="4" s="1"/>
  <c r="A1359" i="4" s="1"/>
  <c r="A1360" i="4" s="1"/>
  <c r="A1361" i="4" s="1"/>
  <c r="A1362" i="4" s="1"/>
  <c r="A1363" i="4" s="1"/>
  <c r="A1364" i="4" s="1"/>
  <c r="A1365" i="4" s="1"/>
  <c r="A1366" i="4" s="1"/>
  <c r="A1367" i="4" s="1"/>
  <c r="A1368" i="4" s="1"/>
  <c r="A1369" i="4" s="1"/>
  <c r="A1370" i="4" s="1"/>
  <c r="A1371" i="4" s="1"/>
  <c r="A1372" i="4" s="1"/>
  <c r="A1373" i="4" s="1"/>
  <c r="A1374" i="4" s="1"/>
  <c r="A1375" i="4" s="1"/>
  <c r="A1376" i="4" s="1"/>
  <c r="A1377" i="4" s="1"/>
  <c r="A1378" i="4" s="1"/>
  <c r="A1379" i="4" s="1"/>
  <c r="A1380" i="4" s="1"/>
  <c r="A1381" i="4" s="1"/>
  <c r="A1382" i="4" s="1"/>
  <c r="A1383" i="4" s="1"/>
  <c r="A1384" i="4" s="1"/>
  <c r="A1385" i="4" s="1"/>
  <c r="A1386" i="4" s="1"/>
  <c r="A1387" i="4" s="1"/>
  <c r="A1388" i="4" s="1"/>
  <c r="A1389" i="4" s="1"/>
  <c r="A1390" i="4" s="1"/>
  <c r="A1391" i="4" s="1"/>
  <c r="A1392" i="4" s="1"/>
  <c r="A1393" i="4" s="1"/>
  <c r="A1394" i="4" s="1"/>
  <c r="A1395" i="4" s="1"/>
  <c r="A1396" i="4" s="1"/>
  <c r="A1397" i="4" s="1"/>
  <c r="A1398" i="4" s="1"/>
  <c r="A1399" i="4" s="1"/>
  <c r="A1400" i="4" s="1"/>
  <c r="A1401" i="4" s="1"/>
  <c r="A1402" i="4" s="1"/>
  <c r="A1403" i="4" s="1"/>
  <c r="A1404" i="4" s="1"/>
  <c r="A1405" i="4" s="1"/>
  <c r="A1406" i="4" s="1"/>
  <c r="A1407" i="4" s="1"/>
  <c r="A1408" i="4" s="1"/>
  <c r="A1409" i="4" s="1"/>
  <c r="A1410" i="4" s="1"/>
  <c r="A1411" i="4" s="1"/>
  <c r="A1412" i="4" s="1"/>
  <c r="A1413" i="4" s="1"/>
  <c r="A1414" i="4" s="1"/>
  <c r="A1415" i="4" s="1"/>
  <c r="A1416" i="4" s="1"/>
  <c r="A1417" i="4" s="1"/>
  <c r="A1418" i="4" s="1"/>
  <c r="A1419" i="4" s="1"/>
  <c r="A1420" i="4" s="1"/>
  <c r="A1421" i="4" s="1"/>
  <c r="A1422" i="4" s="1"/>
  <c r="A1423" i="4" s="1"/>
  <c r="A1424" i="4" s="1"/>
  <c r="A1425" i="4" s="1"/>
  <c r="A1426" i="4" s="1"/>
  <c r="A1427" i="4" s="1"/>
  <c r="A1428" i="4" s="1"/>
  <c r="A1429" i="4" s="1"/>
  <c r="A1430" i="4" s="1"/>
  <c r="A1431" i="4" s="1"/>
  <c r="A1432" i="4" s="1"/>
  <c r="A1433" i="4" s="1"/>
  <c r="A1434" i="4" s="1"/>
  <c r="A1435" i="4" s="1"/>
  <c r="A1436" i="4" s="1"/>
  <c r="A1437" i="4" s="1"/>
  <c r="A1438" i="4" s="1"/>
  <c r="A1439" i="4" s="1"/>
  <c r="A1440" i="4" s="1"/>
  <c r="A1441" i="4" s="1"/>
  <c r="A1442" i="4" s="1"/>
  <c r="A1443" i="4" s="1"/>
  <c r="A1444" i="4" s="1"/>
  <c r="A1445" i="4" s="1"/>
  <c r="A1446" i="4" s="1"/>
  <c r="A1447" i="4" s="1"/>
  <c r="A1448" i="4" s="1"/>
  <c r="A1449" i="4" s="1"/>
  <c r="A1450" i="4" s="1"/>
  <c r="A1451" i="4" s="1"/>
  <c r="A1452" i="4" s="1"/>
  <c r="A1453" i="4" s="1"/>
  <c r="A1454" i="4" s="1"/>
  <c r="A1455" i="4" s="1"/>
  <c r="A1456" i="4" s="1"/>
  <c r="A1457" i="4" s="1"/>
  <c r="A1458" i="4" s="1"/>
  <c r="A1459" i="4" s="1"/>
  <c r="A1460" i="4" s="1"/>
  <c r="A1461" i="4" s="1"/>
  <c r="A1462" i="4" s="1"/>
  <c r="A1463" i="4" s="1"/>
  <c r="A1464" i="4" s="1"/>
  <c r="A1465" i="4" s="1"/>
  <c r="A1466" i="4" s="1"/>
  <c r="A1467" i="4" s="1"/>
  <c r="A1468" i="4" s="1"/>
  <c r="A1469" i="4" s="1"/>
  <c r="A1470" i="4" s="1"/>
  <c r="A1471" i="4" s="1"/>
  <c r="A1472" i="4" s="1"/>
  <c r="A1473" i="4" s="1"/>
  <c r="A1474" i="4" s="1"/>
  <c r="A1475" i="4" s="1"/>
  <c r="A1476" i="4" s="1"/>
  <c r="A1477" i="4" s="1"/>
  <c r="A1478" i="4" s="1"/>
  <c r="A1479" i="4" s="1"/>
  <c r="A1480" i="4" s="1"/>
  <c r="A1481" i="4" s="1"/>
  <c r="A1482" i="4" s="1"/>
  <c r="A1483" i="4" s="1"/>
  <c r="A1484" i="4" s="1"/>
  <c r="A1485" i="4" s="1"/>
  <c r="A1486" i="4" s="1"/>
  <c r="A1487" i="4" s="1"/>
  <c r="A1488" i="4" s="1"/>
  <c r="A1489" i="4" s="1"/>
  <c r="A1490" i="4" s="1"/>
  <c r="A1491" i="4" s="1"/>
  <c r="A1492" i="4" s="1"/>
  <c r="A1493" i="4" s="1"/>
  <c r="A1494" i="4" s="1"/>
  <c r="A1495" i="4" s="1"/>
  <c r="A1496" i="4" s="1"/>
  <c r="A1497" i="4" s="1"/>
  <c r="A1498" i="4" s="1"/>
  <c r="A1499" i="4" s="1"/>
  <c r="A1500" i="4" s="1"/>
  <c r="A1501" i="4" s="1"/>
  <c r="A1502" i="4" s="1"/>
  <c r="A1503" i="4" s="1"/>
  <c r="A1504" i="4" s="1"/>
  <c r="A1505" i="4" s="1"/>
  <c r="A1506" i="4" s="1"/>
  <c r="A1507" i="4" s="1"/>
  <c r="A1508" i="4" s="1"/>
  <c r="A1509" i="4" s="1"/>
  <c r="A1510" i="4" s="1"/>
  <c r="A1511" i="4" s="1"/>
  <c r="A1512" i="4" s="1"/>
  <c r="A1513" i="4" s="1"/>
  <c r="A1514" i="4" s="1"/>
  <c r="A1515" i="4" s="1"/>
  <c r="A1516" i="4" s="1"/>
  <c r="A1517" i="4" s="1"/>
  <c r="A1518" i="4" s="1"/>
  <c r="A1519" i="4" s="1"/>
  <c r="A1520" i="4" s="1"/>
  <c r="A1521" i="4" s="1"/>
  <c r="A1522" i="4" s="1"/>
  <c r="A1523" i="4" s="1"/>
  <c r="A1524" i="4" s="1"/>
  <c r="A1525" i="4" s="1"/>
  <c r="A1526" i="4" s="1"/>
  <c r="A1527" i="4" s="1"/>
  <c r="A1528" i="4" s="1"/>
  <c r="A1529" i="4" s="1"/>
  <c r="A1530" i="4" s="1"/>
  <c r="A1531" i="4" s="1"/>
  <c r="A1532" i="4" s="1"/>
  <c r="A1533" i="4" s="1"/>
  <c r="A1534" i="4" s="1"/>
  <c r="A1535" i="4" s="1"/>
  <c r="A1536" i="4" s="1"/>
  <c r="A1537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9AF053-0108-4927-865F-DB096E3FBB49}" keepAlive="1" name="Query - tblCourseMatrix" description="Connection to the 'tblCourseMatrix' query in the workbook." type="5" refreshedVersion="8" background="1" saveData="1">
    <dbPr connection="Provider=Microsoft.Mashup.OleDb.1;Data Source=$Workbook$;Location=tblCourseMatrix;Extended Properties=&quot;&quot;" command="SELECT * FROM [tblCourseMatrix]"/>
  </connection>
  <connection id="2" xr16:uid="{5D1EA70F-684A-474B-83AE-C61697F46369}" keepAlive="1" name="Query - tblPersonRoles" description="Connection to the 'tblPersonRoles' query in the workbook." type="5" refreshedVersion="8" background="1" saveData="1">
    <dbPr connection="Provider=Microsoft.Mashup.OleDb.1;Data Source=$Workbook$;Location=tblPersonRoles;Extended Properties=&quot;&quot;" command="SELECT * FROM [tblPersonRoles]"/>
  </connection>
  <connection id="3" xr16:uid="{5849FD07-528B-4976-9FB7-5BB118B53C66}" keepAlive="1" name="Query - tblRoleGroups" description="Connection to the 'tblRoleGroups' query in the workbook." type="5" refreshedVersion="8" background="1" saveData="1">
    <dbPr connection="Provider=Microsoft.Mashup.OleDb.1;Data Source=$Workbook$;Location=tblRoleGroups;Extended Properties=&quot;&quot;" command="SELECT * FROM [tblRoleGroup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<sst xmlns="http://schemas.openxmlformats.org/spreadsheetml/2006/main" count="4951" uniqueCount="606">
  <si>
    <t>Setting</t>
  </si>
  <si>
    <t>Value</t>
  </si>
  <si>
    <t>Default Frequency (months)</t>
  </si>
  <si>
    <t>Today (auto)</t>
  </si>
  <si>
    <t>Notes</t>
  </si>
  <si>
    <t>Edit B2 if a course uses a different frequency. All due dates use course-specific frequency from tblCourses if provided, otherwise they use this default. Today's date updates on open.</t>
  </si>
  <si>
    <t>PersonID</t>
  </si>
  <si>
    <t>PersonName</t>
  </si>
  <si>
    <t>Department</t>
  </si>
  <si>
    <t>James Mugo</t>
  </si>
  <si>
    <t>Walter Kibet</t>
  </si>
  <si>
    <t>Hannah Wambui</t>
  </si>
  <si>
    <t>Quality</t>
  </si>
  <si>
    <t>CourseID</t>
  </si>
  <si>
    <t>CourseName</t>
  </si>
  <si>
    <t>FrequencyMonths</t>
  </si>
  <si>
    <t>Category</t>
  </si>
  <si>
    <t>SMS-REF</t>
  </si>
  <si>
    <t>Safety Management Systems (Refresher)</t>
  </si>
  <si>
    <t>Safety</t>
  </si>
  <si>
    <t>SMS-INIT</t>
  </si>
  <si>
    <t>Safety Management Systems (Initial)</t>
  </si>
  <si>
    <t>HF-REF</t>
  </si>
  <si>
    <t>Human Factors</t>
  </si>
  <si>
    <t>HF-INIT</t>
  </si>
  <si>
    <t>PT6A-REF</t>
  </si>
  <si>
    <t>Type Training</t>
  </si>
  <si>
    <t>PT6A-INIT</t>
  </si>
  <si>
    <t>DHC8-REF</t>
  </si>
  <si>
    <t>DHC8-INIT</t>
  </si>
  <si>
    <t>DGR-REF</t>
  </si>
  <si>
    <t>Dangerous Goods</t>
  </si>
  <si>
    <t>DGR-INIT</t>
  </si>
  <si>
    <t>AUDIT</t>
  </si>
  <si>
    <t>Audit Techniques</t>
  </si>
  <si>
    <t>RecordID</t>
  </si>
  <si>
    <t>LastTrainingDate</t>
  </si>
  <si>
    <t>NextDueDate</t>
  </si>
  <si>
    <t>DaysToDue</t>
  </si>
  <si>
    <t>Status</t>
  </si>
  <si>
    <t>Pull Next Batch of Attendees</t>
  </si>
  <si>
    <t>CourseID:</t>
  </si>
  <si>
    <t>Sorted by Next Due Date ascending.</t>
  </si>
  <si>
    <t>Paul Mzera</t>
  </si>
  <si>
    <t>Mercy Etende</t>
  </si>
  <si>
    <t>Julius Nyawira</t>
  </si>
  <si>
    <t>William Mlati</t>
  </si>
  <si>
    <t>Thomas Wambunya</t>
  </si>
  <si>
    <t>John Muriithi</t>
  </si>
  <si>
    <t>Walter Edupu</t>
  </si>
  <si>
    <t>Churchill Bil</t>
  </si>
  <si>
    <t>Stephen Mutambu</t>
  </si>
  <si>
    <t>Patrick Musau</t>
  </si>
  <si>
    <t>Fred Magotsi</t>
  </si>
  <si>
    <t>Francis Muriuki</t>
  </si>
  <si>
    <t>Wycliffe Kanana</t>
  </si>
  <si>
    <t>Kendra Nambisia</t>
  </si>
  <si>
    <t>Douglas Hurgins</t>
  </si>
  <si>
    <t>Smith Harun</t>
  </si>
  <si>
    <t>Samuel Wacho</t>
  </si>
  <si>
    <t>Stephen Tunje</t>
  </si>
  <si>
    <t>Dunstan Kwalanda</t>
  </si>
  <si>
    <t>Gideon Mwasio</t>
  </si>
  <si>
    <t>Moses Musyoka</t>
  </si>
  <si>
    <t>Reuben Otieno</t>
  </si>
  <si>
    <t>Titus Shunza</t>
  </si>
  <si>
    <t>Chrispus King'ori</t>
  </si>
  <si>
    <t>Francis Omondi</t>
  </si>
  <si>
    <t>Urbanus Muema</t>
  </si>
  <si>
    <t>Sydney Sawe</t>
  </si>
  <si>
    <t>Bernard Kibiwott</t>
  </si>
  <si>
    <t>Michael Njihia</t>
  </si>
  <si>
    <t>Elina Guda</t>
  </si>
  <si>
    <t>Philip Mwania</t>
  </si>
  <si>
    <t>Patrick Mwangi</t>
  </si>
  <si>
    <t>FTS-REF</t>
  </si>
  <si>
    <t>FTS-INIT</t>
  </si>
  <si>
    <t>WBR-REF</t>
  </si>
  <si>
    <t>WBR-INIT</t>
  </si>
  <si>
    <t>FIRSTNAME</t>
  </si>
  <si>
    <t>LASTNAME</t>
  </si>
  <si>
    <t>MWAS01</t>
  </si>
  <si>
    <t>MWAN01</t>
  </si>
  <si>
    <t>KANA01</t>
  </si>
  <si>
    <t>MUSA01</t>
  </si>
  <si>
    <t>SHUN01</t>
  </si>
  <si>
    <t>OKOT01</t>
  </si>
  <si>
    <t>SAWE01</t>
  </si>
  <si>
    <t>NJIH01</t>
  </si>
  <si>
    <t>GUDA01</t>
  </si>
  <si>
    <t>NAMB01</t>
  </si>
  <si>
    <t>KWAL01</t>
  </si>
  <si>
    <t>OTIE01</t>
  </si>
  <si>
    <t>TUNJ01</t>
  </si>
  <si>
    <t>MUSY01</t>
  </si>
  <si>
    <t>KIBE01</t>
  </si>
  <si>
    <t>Thadeus Mong’are</t>
  </si>
  <si>
    <t>WAMB01</t>
  </si>
  <si>
    <t>MONG01</t>
  </si>
  <si>
    <t>KIBI01</t>
  </si>
  <si>
    <t>MURI01</t>
  </si>
  <si>
    <t>MZER01</t>
  </si>
  <si>
    <t>MLAT01</t>
  </si>
  <si>
    <t>HARU01</t>
  </si>
  <si>
    <t>HURG01</t>
  </si>
  <si>
    <t>MAGO01</t>
  </si>
  <si>
    <t>MUGO01</t>
  </si>
  <si>
    <t>NYAW01</t>
  </si>
  <si>
    <t>Michael Olunga</t>
  </si>
  <si>
    <t>EWIS-REF</t>
  </si>
  <si>
    <t>EWIS-INIT</t>
  </si>
  <si>
    <t>Maintenance</t>
  </si>
  <si>
    <t>MWAN06</t>
  </si>
  <si>
    <t>MWAN04</t>
  </si>
  <si>
    <t>Samuel Okoth</t>
  </si>
  <si>
    <t>Erick Peter</t>
  </si>
  <si>
    <t>Avionics</t>
  </si>
  <si>
    <t>ETEN01</t>
  </si>
  <si>
    <t>OLUN01</t>
  </si>
  <si>
    <t>EDUP01</t>
  </si>
  <si>
    <t>BIL01</t>
  </si>
  <si>
    <t>KING01</t>
  </si>
  <si>
    <t>Aviation Security (Initial)</t>
  </si>
  <si>
    <t>Aviation Security (Refresher)</t>
  </si>
  <si>
    <t>AVSEC-INIT</t>
  </si>
  <si>
    <t>AVSEC-REF</t>
  </si>
  <si>
    <t>SAFA-INIT</t>
  </si>
  <si>
    <t>DHC-8 100/200/300 with PWC 120/120A/121/123B/C/D/E Series Engines(Refresher)</t>
  </si>
  <si>
    <t>DHC-8 100/200/300 with PWC 120/120A/121/123B/C/D/E Series Engines(Initial)</t>
  </si>
  <si>
    <t>DHC8 -100/-200/-300 Collins Wheels &amp; Brakes Familiarization Training (Refresher)</t>
  </si>
  <si>
    <t>DHC8 -100/-200/-300 Collins Wheels &amp; Brakes Familiarization Training (Initial)</t>
  </si>
  <si>
    <t>Marshalling Techniques Course</t>
  </si>
  <si>
    <t>KAA-MT</t>
  </si>
  <si>
    <t>Electrical Wiring Interconnection System Target Groups 1 &amp; 2 (Initial)</t>
  </si>
  <si>
    <t>Electrical Wiring Interconnection System Target Groups 1 &amp; 2 (Refresher)</t>
  </si>
  <si>
    <t>MURI02</t>
  </si>
  <si>
    <t>GARMIN 1000 Avionics</t>
  </si>
  <si>
    <t>G-1000</t>
  </si>
  <si>
    <t>FIRE</t>
  </si>
  <si>
    <t>Fuel Tank Safety Phase 1 &amp; 2 Course (Refresher)</t>
  </si>
  <si>
    <t>Fuel Tank Safety Phase 1 &amp; 2 Course (Initial)</t>
  </si>
  <si>
    <t>Fire Marshal Training (OSHA, 2007)</t>
  </si>
  <si>
    <t>1510-REF</t>
  </si>
  <si>
    <t>Composite Structures Inspection - Familiarisation</t>
  </si>
  <si>
    <t>1510-INIT</t>
  </si>
  <si>
    <t>Kea Kazungu</t>
  </si>
  <si>
    <t>Judith Wandera</t>
  </si>
  <si>
    <t>Benson Gitahi</t>
  </si>
  <si>
    <t>Stephen Kariuki</t>
  </si>
  <si>
    <t xml:space="preserve">Edwin Kemei </t>
  </si>
  <si>
    <t>KAZU01</t>
  </si>
  <si>
    <t>John Kihara</t>
  </si>
  <si>
    <t>Majid Mohamed</t>
  </si>
  <si>
    <t>MOHA01</t>
  </si>
  <si>
    <t>WAND01</t>
  </si>
  <si>
    <t>Jackline Muembu</t>
  </si>
  <si>
    <t>MUEM02</t>
  </si>
  <si>
    <t>MUST01</t>
  </si>
  <si>
    <t>Angeline Nthakyo</t>
  </si>
  <si>
    <t>Romy Okello</t>
  </si>
  <si>
    <t>Walter Omondi</t>
  </si>
  <si>
    <t>OMON02</t>
  </si>
  <si>
    <t>Andrew Ondiek</t>
  </si>
  <si>
    <t>Douglas Onyando</t>
  </si>
  <si>
    <t>Patrick Rotich</t>
  </si>
  <si>
    <t>Fredrick Swaka</t>
  </si>
  <si>
    <t>WAMB02</t>
  </si>
  <si>
    <t>Quality Management Systems</t>
  </si>
  <si>
    <t xml:space="preserve">Aircraft Reliability </t>
  </si>
  <si>
    <t>AC-REL</t>
  </si>
  <si>
    <t>Safety Management Systems (For Managers)</t>
  </si>
  <si>
    <t>SMS-ADMIN</t>
  </si>
  <si>
    <t>QMS-ADMIN</t>
  </si>
  <si>
    <t>QMS-REF</t>
  </si>
  <si>
    <t>PR328: QMS ISO 9001:2015 (Lead Auditor Training)</t>
  </si>
  <si>
    <t>Aviation Technical Records &amp; Stores Management (TRS)</t>
  </si>
  <si>
    <t>TRS</t>
  </si>
  <si>
    <t>YK-C801</t>
  </si>
  <si>
    <t>Aircraft Maintenance Engineers' Licence</t>
  </si>
  <si>
    <t>AMEL</t>
  </si>
  <si>
    <t>Cessna 208 Series (Caravan) With P&amp;WC PT6A-114/ -114A/ -140 Engines (Initial)</t>
  </si>
  <si>
    <t>C208-INIT</t>
  </si>
  <si>
    <t>C208-REF</t>
  </si>
  <si>
    <t>Cessna 208 Series (Caravan) With P&amp;WC PT6A-114/ -114A/ -140 Engines (Refresher)</t>
  </si>
  <si>
    <t>Leadership &amp; Management</t>
  </si>
  <si>
    <t>MNGMT</t>
  </si>
  <si>
    <t>YK-C725</t>
  </si>
  <si>
    <t>Pratt &amp; Whitney Canada PT6A Engine With P&amp;WC PT6A
20/ 27/ 41/ 42/ 60A/ 67D/ 112/ 114A/ 140 (Refresher)</t>
  </si>
  <si>
    <t>Pratt &amp; Whitney Canada PT6A Engine With P&amp;WC PT6A
20/ 27/ 41/ 42/ 60A/ 67D/ 112/ 114A/ 140 (Initial)</t>
  </si>
  <si>
    <t>Borescope Fundamentals P&amp;WC PW100 Series</t>
  </si>
  <si>
    <t>BSI-PT6A</t>
  </si>
  <si>
    <t>BSI-PW100</t>
  </si>
  <si>
    <t>Borescope Training P&amp;WC PT6A Series</t>
  </si>
  <si>
    <t>Stock Receiving Inspection</t>
  </si>
  <si>
    <t>STOCK</t>
  </si>
  <si>
    <t>YK-C727</t>
  </si>
  <si>
    <t>YK-C1280</t>
  </si>
  <si>
    <t>Human Factors in Aviation (Initial)</t>
  </si>
  <si>
    <t>Human Factors in Aviation (Refresher)</t>
  </si>
  <si>
    <t>YK-C881</t>
  </si>
  <si>
    <t>YK-C1249</t>
  </si>
  <si>
    <t>ARS01</t>
  </si>
  <si>
    <t>MPM-REF</t>
  </si>
  <si>
    <t>YK-C515</t>
  </si>
  <si>
    <t>YK-C1115</t>
  </si>
  <si>
    <t>YK-C968</t>
  </si>
  <si>
    <t>YK-C760</t>
  </si>
  <si>
    <t>YK-C800</t>
  </si>
  <si>
    <t>KARI01</t>
  </si>
  <si>
    <t>YK-C1251</t>
  </si>
  <si>
    <t>ONDI02</t>
  </si>
  <si>
    <t>YK-C1325</t>
  </si>
  <si>
    <t>ARS02</t>
  </si>
  <si>
    <t>YK-C792</t>
  </si>
  <si>
    <t>KEME01</t>
  </si>
  <si>
    <t>WACH01</t>
  </si>
  <si>
    <t>KIHA01</t>
  </si>
  <si>
    <t>NTHA01</t>
  </si>
  <si>
    <t>INDIVIDUAL TRAINING RECORD</t>
  </si>
  <si>
    <t>Name:</t>
  </si>
  <si>
    <t>Ann Mwangi</t>
  </si>
  <si>
    <t>SOCATA TBM 700 Series (Initial)</t>
  </si>
  <si>
    <t>SOCATA TBM 700 Series (Refresher)</t>
  </si>
  <si>
    <t>TBM700-REF</t>
  </si>
  <si>
    <t>TBM700-INIT</t>
  </si>
  <si>
    <t>QMS-INIT</t>
  </si>
  <si>
    <t>Quality Management Systems (Initial)</t>
  </si>
  <si>
    <t>CIT-INIT</t>
  </si>
  <si>
    <t>Core Instructional Technique (Initial)</t>
  </si>
  <si>
    <t>CIT-REF</t>
  </si>
  <si>
    <t>Core Instructional Technique (Refresher)</t>
  </si>
  <si>
    <t>FAT-INIT</t>
  </si>
  <si>
    <t>FAT-REF</t>
  </si>
  <si>
    <t>First Aid Training (Initial)</t>
  </si>
  <si>
    <t>First Aid Training (Refresher)</t>
  </si>
  <si>
    <t>Crew Resource Management (Refresher)</t>
  </si>
  <si>
    <t>Crew Resource Management (Initial)</t>
  </si>
  <si>
    <t>CRM-REF</t>
  </si>
  <si>
    <t>CRM-INIT</t>
  </si>
  <si>
    <t>Beechcraft 1900C&amp;D Type Course with PT6-65B/67D Engines</t>
  </si>
  <si>
    <t>BEECH1900</t>
  </si>
  <si>
    <t>Flight Data Monitoring</t>
  </si>
  <si>
    <t>FDM</t>
  </si>
  <si>
    <t>PT6A Small &amp; Medium Series - General Familiarization ATA104 Level 1</t>
  </si>
  <si>
    <t>PW100 Series - General Familiarization ATA104 Level 1</t>
  </si>
  <si>
    <t>PT6A-FAM</t>
  </si>
  <si>
    <t>PW100-FAM</t>
  </si>
  <si>
    <t xml:space="preserve">Aircraft Accident Investigation </t>
  </si>
  <si>
    <t>AV-ACC</t>
  </si>
  <si>
    <t>RT/CAA</t>
  </si>
  <si>
    <t xml:space="preserve">AHM Real Time and Custom Alerting Analysis </t>
  </si>
  <si>
    <t>Occupational Safety and Health Training</t>
  </si>
  <si>
    <t>OSH</t>
  </si>
  <si>
    <t>Bell 412 (PWC PT6T) B1.3</t>
  </si>
  <si>
    <t>BELL412</t>
  </si>
  <si>
    <t>King Air 200 Series 
King Air 350 Differences</t>
  </si>
  <si>
    <t>K-AIR200/350</t>
  </si>
  <si>
    <t xml:space="preserve">DC9-80 (MD80) Airframe Systems (Upto &amp; including -87 Series) &amp; JT8D-200 Series Engine (including -217 &amp; -219) </t>
  </si>
  <si>
    <t>DC9-80</t>
  </si>
  <si>
    <t>RVSM Pitot Static Tester</t>
  </si>
  <si>
    <t>PITOT</t>
  </si>
  <si>
    <t>PME</t>
  </si>
  <si>
    <t>G3ABR32430 002 Precision Measurement Equipment Specialist</t>
  </si>
  <si>
    <t>Dangerous Goods Regulations (CBTA 7.3) (Refresher)</t>
  </si>
  <si>
    <t>Dangerous Goods Regulations (CBTA 7.3) (Initial)</t>
  </si>
  <si>
    <t>Heartsaver CPR AED: Exam, Child CPR AED, Infant CPR</t>
  </si>
  <si>
    <t>CPR</t>
  </si>
  <si>
    <t>OKEL01</t>
  </si>
  <si>
    <t>James Muisyo</t>
  </si>
  <si>
    <t>Prudence Muhami</t>
  </si>
  <si>
    <t>Venessa Ikileng'</t>
  </si>
  <si>
    <t>Dorine Edna</t>
  </si>
  <si>
    <t>Role</t>
  </si>
  <si>
    <t>Internal Certification Stamp No:</t>
  </si>
  <si>
    <t>EDNA01</t>
  </si>
  <si>
    <t>Course Name:</t>
  </si>
  <si>
    <t>Audit a Batch of Attendees</t>
  </si>
  <si>
    <t>Prerequisite Course (X):</t>
  </si>
  <si>
    <t>Follow-up Course (Y):</t>
  </si>
  <si>
    <t>Department (optional)</t>
  </si>
  <si>
    <t>Role / Position (Optional)</t>
  </si>
  <si>
    <t>HireDate</t>
  </si>
  <si>
    <t>PhoneNumber</t>
  </si>
  <si>
    <t>Email</t>
  </si>
  <si>
    <t>PRODUCTION</t>
  </si>
  <si>
    <t>MAINTENANCE</t>
  </si>
  <si>
    <t>STORES</t>
  </si>
  <si>
    <t>PLANNING</t>
  </si>
  <si>
    <t>TECHNICIAN</t>
  </si>
  <si>
    <t>ENGINEER</t>
  </si>
  <si>
    <t>HEAD OF QUALITY</t>
  </si>
  <si>
    <t>EQUIPMENT OPERATOR</t>
  </si>
  <si>
    <t>HEAD OF LINE MAINTENANCE</t>
  </si>
  <si>
    <t>POSTHOLDER</t>
  </si>
  <si>
    <t>MATERIALS COORDINATOR</t>
  </si>
  <si>
    <t>RELIABILITY OFFICER</t>
  </si>
  <si>
    <t>GROOMER</t>
  </si>
  <si>
    <t>TECHNICAL RECORDS OFFICER</t>
  </si>
  <si>
    <t>PAINTER</t>
  </si>
  <si>
    <t>SAFETY</t>
  </si>
  <si>
    <t>SAFETY OFFICER</t>
  </si>
  <si>
    <t>QUALITY</t>
  </si>
  <si>
    <t>QUALITY SUPPORT</t>
  </si>
  <si>
    <t>YK-C1342</t>
  </si>
  <si>
    <t>Total</t>
  </si>
  <si>
    <t>HEAD OF WORKSHOP</t>
  </si>
  <si>
    <t>Alex Avedi</t>
  </si>
  <si>
    <t>ACCOUNTABLE MANAGER</t>
  </si>
  <si>
    <t>alex@flysafarilink.com</t>
  </si>
  <si>
    <t>churchillbill022@gmail.com</t>
  </si>
  <si>
    <t>edupuwalter01@gmail.com</t>
  </si>
  <si>
    <t>afandilidambiza@gmail.com</t>
  </si>
  <si>
    <t>bensongitahi@yahoo.com</t>
  </si>
  <si>
    <t>elinahguda@gmail.com</t>
  </si>
  <si>
    <t>smithjunia@gmail.com</t>
  </si>
  <si>
    <t>dhurgins@gmail.com</t>
  </si>
  <si>
    <t>kananawycliffe@gmail.com</t>
  </si>
  <si>
    <t>nyawirajulius@gmail.com</t>
  </si>
  <si>
    <t>stephenkariuki1986@yahoo.com</t>
  </si>
  <si>
    <t>ezzykare@yahoo.co.uk</t>
  </si>
  <si>
    <t>educhemtips@gmail.com</t>
  </si>
  <si>
    <t>kibetanui021@gmail.com</t>
  </si>
  <si>
    <t>benard.kibiwot123@gmail.com</t>
  </si>
  <si>
    <t>johnkinyanjui658@gmail.com</t>
  </si>
  <si>
    <t>chrispuskingori14@gmail.com</t>
  </si>
  <si>
    <t>erungukdun@gmail.com</t>
  </si>
  <si>
    <t>fredmagotsi@gmail.com</t>
  </si>
  <si>
    <t>gideonmwasio@gmail.com</t>
  </si>
  <si>
    <t>williamwashigadi@gmail.com</t>
  </si>
  <si>
    <t>jameskarobia90@gmail.com</t>
  </si>
  <si>
    <t>ibnmajah17@gmail.com</t>
  </si>
  <si>
    <t>mongaret21@gmail.com</t>
  </si>
  <si>
    <t>jmuembu@gmail.com</t>
  </si>
  <si>
    <t>mbuvi2008@yahoo.com</t>
  </si>
  <si>
    <t>mmuriukifrancis@yahoo.com</t>
  </si>
  <si>
    <t>patrickmusau34@gmail.com</t>
  </si>
  <si>
    <t>stephen.mutambu15@gmail.com</t>
  </si>
  <si>
    <t>musyokamosh@gmail.com</t>
  </si>
  <si>
    <t>philmwania@yahoo.com</t>
  </si>
  <si>
    <t>patrick_njoroge002@yahoo.com</t>
  </si>
  <si>
    <t>paulmzera73@gmail.com</t>
  </si>
  <si>
    <t>kendrakabeyeka@gmail.com</t>
  </si>
  <si>
    <t>mikenjihia@gmail.com</t>
  </si>
  <si>
    <t>angelinembithe18@gmail.com</t>
  </si>
  <si>
    <t>romyisaac99@gmail.com</t>
  </si>
  <si>
    <t>odhiambos28@gmail.com</t>
  </si>
  <si>
    <t>mikeolunga366@gmail.com</t>
  </si>
  <si>
    <t>omondif507@gmail.com</t>
  </si>
  <si>
    <t>andrewondi@yahoo.com</t>
  </si>
  <si>
    <t>reubenotieno69@gmail.com</t>
  </si>
  <si>
    <t>munganiapeter11@gmail.com</t>
  </si>
  <si>
    <t>sawesydney@gmail.com</t>
  </si>
  <si>
    <t>titusshunza@gmail.com</t>
  </si>
  <si>
    <t>stephentunje98@gmail.com</t>
  </si>
  <si>
    <t>wachophoenix23@gmail.com</t>
  </si>
  <si>
    <t>twaneal@gmail.com</t>
  </si>
  <si>
    <t>annewambui48@gmail.com</t>
  </si>
  <si>
    <t>aumajudy6@gmail.com</t>
  </si>
  <si>
    <t>maukadorine5@gmail.com</t>
  </si>
  <si>
    <t>muisyo.james@protonmail.com</t>
  </si>
  <si>
    <t>MPM-INIT</t>
  </si>
  <si>
    <t>MUEM01</t>
  </si>
  <si>
    <t>Maintenance Procedures &amp; Standard Maintenance Practices (Refresher)</t>
  </si>
  <si>
    <t>Maintenance Procedures &amp; Standard Maintenance Practices (Initial)</t>
  </si>
  <si>
    <t>Active</t>
  </si>
  <si>
    <t>Dormant</t>
  </si>
  <si>
    <t>X</t>
  </si>
  <si>
    <t>Y</t>
  </si>
  <si>
    <t>THE FOLLOWING PERSONNEL HAVE COMPLETED THE COURSE BELOW:</t>
  </si>
  <si>
    <r>
      <t xml:space="preserve">THE FOLLOWING PERSONNEL HAVE </t>
    </r>
    <r>
      <rPr>
        <b/>
        <u/>
        <sz val="11"/>
        <color rgb="FFFF0000"/>
        <rFont val="Abadi"/>
        <family val="2"/>
      </rPr>
      <t>NOT</t>
    </r>
    <r>
      <rPr>
        <sz val="11"/>
        <color rgb="FFFF0000"/>
        <rFont val="Abadi"/>
        <family val="2"/>
      </rPr>
      <t xml:space="preserve"> COMPLETED THE COURSE BELOW:</t>
    </r>
  </si>
  <si>
    <t>The following Personnel are Due soon/Overdue on the course below:</t>
  </si>
  <si>
    <t>AVED01</t>
  </si>
  <si>
    <t>Maintenance Indoctrination</t>
  </si>
  <si>
    <t>Radio Telephony Awareness Training</t>
  </si>
  <si>
    <t>RTF-AWARE</t>
  </si>
  <si>
    <t>WinAir Version 7</t>
  </si>
  <si>
    <t>WinAir</t>
  </si>
  <si>
    <t>Mandatory</t>
  </si>
  <si>
    <t>All Staff</t>
  </si>
  <si>
    <t>Yes</t>
  </si>
  <si>
    <t>MPM 1.3.7.3</t>
  </si>
  <si>
    <t>MTM 2.5</t>
  </si>
  <si>
    <t>Aircraft Painting</t>
  </si>
  <si>
    <t>PAINT</t>
  </si>
  <si>
    <t>Initial</t>
  </si>
  <si>
    <t>Recurrent</t>
  </si>
  <si>
    <t>One_Off</t>
  </si>
  <si>
    <t>DHC-8-400 Series with PWC 150A Engines (Initial)</t>
  </si>
  <si>
    <t>DHC-8-400 Series with PWC 150A Engines (Refresher)</t>
  </si>
  <si>
    <t>Q400-INIT</t>
  </si>
  <si>
    <t>Q400-REF</t>
  </si>
  <si>
    <t>Bruce Mukabi</t>
  </si>
  <si>
    <t>bruceayuku@gmail.com</t>
  </si>
  <si>
    <t>HEAD OF SAFETY &amp; SECURITY</t>
  </si>
  <si>
    <t>venessasusani@gmail.com</t>
  </si>
  <si>
    <t>wamaithaprudence35@gmail.com</t>
  </si>
  <si>
    <t>johnmuriithi86@gmail.com</t>
  </si>
  <si>
    <t>GITA01</t>
  </si>
  <si>
    <t>Employment_Status</t>
  </si>
  <si>
    <t>Contract</t>
  </si>
  <si>
    <t>Position</t>
  </si>
  <si>
    <t>SENIOR AIRCRAFT TECHNICIAN</t>
  </si>
  <si>
    <t>nid</t>
  </si>
  <si>
    <t>JUNIOR AIRCRAFT TECHNICIAN</t>
  </si>
  <si>
    <t>Permanent</t>
  </si>
  <si>
    <t>Maintenance Planning &amp; Production Control</t>
  </si>
  <si>
    <t>Records Management</t>
  </si>
  <si>
    <t>MPPS</t>
  </si>
  <si>
    <t>REC</t>
  </si>
  <si>
    <t>IKIL01</t>
  </si>
  <si>
    <t>MUHA01</t>
  </si>
  <si>
    <t>Aviation Documentation Management and Control</t>
  </si>
  <si>
    <t>ADM</t>
  </si>
  <si>
    <t>MUIS01</t>
  </si>
  <si>
    <t>DOB</t>
  </si>
  <si>
    <t>birthplace</t>
  </si>
  <si>
    <t>MAKUENI</t>
  </si>
  <si>
    <t>initial_auth</t>
  </si>
  <si>
    <t>NAIROBI</t>
  </si>
  <si>
    <t>SHIGARO</t>
  </si>
  <si>
    <t>KAKAMEGA</t>
  </si>
  <si>
    <t>ENDARASHA</t>
  </si>
  <si>
    <t>MWEA</t>
  </si>
  <si>
    <t>MACHAKOS</t>
  </si>
  <si>
    <t>MOMBASA</t>
  </si>
  <si>
    <t>QP 74301</t>
  </si>
  <si>
    <t>ESD</t>
  </si>
  <si>
    <t>Electrostatic Discharge Sensitive (ESDs)</t>
  </si>
  <si>
    <t>EASA P.145</t>
  </si>
  <si>
    <t>EASA Awareness Initial</t>
  </si>
  <si>
    <t>Incoming Goods Inspection Procedures</t>
  </si>
  <si>
    <t>TECHNICAL RECORDS SUPERVISOR</t>
  </si>
  <si>
    <t>CERTIFYING ENGINEER</t>
  </si>
  <si>
    <t>CERTIFYING TECHNICIAN</t>
  </si>
  <si>
    <t>Scope</t>
  </si>
  <si>
    <t>Reference</t>
  </si>
  <si>
    <t>Mary Chelagat</t>
  </si>
  <si>
    <t>chelagatsit89@gmail.com</t>
  </si>
  <si>
    <t>Alfred Okudo</t>
  </si>
  <si>
    <t>Martin Chege</t>
  </si>
  <si>
    <t>Brian Muga</t>
  </si>
  <si>
    <t>Evans Maingi</t>
  </si>
  <si>
    <t>CHEL01</t>
  </si>
  <si>
    <t>OKUD01</t>
  </si>
  <si>
    <t>CHEG01</t>
  </si>
  <si>
    <t>MUGA01</t>
  </si>
  <si>
    <t>Francis Mutonga</t>
  </si>
  <si>
    <t>MUTO01</t>
  </si>
  <si>
    <t>Erick Mwanje</t>
  </si>
  <si>
    <t>DOCUMENT CONTROL OFFICER</t>
  </si>
  <si>
    <t>MAIN01</t>
  </si>
  <si>
    <t>Emergency Response Plan Awareness</t>
  </si>
  <si>
    <t>ERP</t>
  </si>
  <si>
    <t>YK-C811</t>
  </si>
  <si>
    <t>YK-C1345</t>
  </si>
  <si>
    <t>alfredgiggs@gmail.com</t>
  </si>
  <si>
    <t>ericmwanje4@gmail.com</t>
  </si>
  <si>
    <t>maingipye573@gmail.com</t>
  </si>
  <si>
    <t>martinchege44@gmail.com</t>
  </si>
  <si>
    <t>bwkimiti@gmail.com</t>
  </si>
  <si>
    <t>Benard Kimiti</t>
  </si>
  <si>
    <t>Dickson Mzungu</t>
  </si>
  <si>
    <t>Brian Kinama</t>
  </si>
  <si>
    <t>briyankingsman@gmail.com</t>
  </si>
  <si>
    <t>fmmutonga@gmail.com</t>
  </si>
  <si>
    <t>brianbrifams@gmail.com</t>
  </si>
  <si>
    <t>Ramp Safety Training - Initial</t>
  </si>
  <si>
    <t>Ramp Safety Training - Recurrent</t>
  </si>
  <si>
    <t>RS-INIT</t>
  </si>
  <si>
    <t>RS-REF</t>
  </si>
  <si>
    <t>FST</t>
  </si>
  <si>
    <t>Fire Safety Training</t>
  </si>
  <si>
    <t>MWAN07</t>
  </si>
  <si>
    <t>MZUN01</t>
  </si>
  <si>
    <t>KIMI01</t>
  </si>
  <si>
    <t>PETE01</t>
  </si>
  <si>
    <t>Robert Muigai</t>
  </si>
  <si>
    <t>muigairobert57@gmail.com</t>
  </si>
  <si>
    <t>YK-C1199</t>
  </si>
  <si>
    <t>YK-C386</t>
  </si>
  <si>
    <t>WATAMU</t>
  </si>
  <si>
    <t>Kenya AMEL#:</t>
  </si>
  <si>
    <t>Ethiopia AMEL#:</t>
  </si>
  <si>
    <t>Ghana AMEL#:</t>
  </si>
  <si>
    <t>Role:</t>
  </si>
  <si>
    <t>KAMEL NO:</t>
  </si>
  <si>
    <t>E-AMEL</t>
  </si>
  <si>
    <t>G-AMEL</t>
  </si>
  <si>
    <t>MM-4373</t>
  </si>
  <si>
    <t>500225-AME</t>
  </si>
  <si>
    <t>KAPSABET</t>
  </si>
  <si>
    <t>YK-C860</t>
  </si>
  <si>
    <t>MM-2281</t>
  </si>
  <si>
    <t>CAT 'R' RADIO (W.T.R)</t>
  </si>
  <si>
    <t>Category (Reg. 2018)</t>
  </si>
  <si>
    <t>Category (Reg. 2013)</t>
  </si>
  <si>
    <t>Avionics B2;
 E2 - B2 EXCLUDING RADIO
 E8 - B2 EXCLUDING COMPASS COMPENSATION &amp; ADJUSTMENT
 E9 - B2 EXCLUDING AUTOMATIC PILOT</t>
  </si>
  <si>
    <t>CAT ‘X’ - ELECTRICAL (W.T.R);
CAT ‘X’ - INSTRUMENTS (W.T.R);
CAT ‘X’ - AUTOMATIC PILOTS - AEROPLANES or ROTORCRAFT (W.T.R);
CAT ‘X’ - COMPASS COMPENSATION &amp; ADJUSTMENT (W.T.R)</t>
  </si>
  <si>
    <t>CAT 'A' AEROPLANES (W.T.R);
CAT 'A' AEROPLANES C208 SERIES (TR);
CAT 'C' GAS TURBINE ENGINES (W.T.R);
CAT 'C' GAS TURBINE ENGINES (P&amp;WC PT6A SERIES)
CAT 'C' PISTON ENGINE (W.T.R);
CAT 'C' PISTON ENGINE LYCOMING O-320 SERIES (TR);</t>
  </si>
  <si>
    <t>CAT ‘X’ - ELECTRICAL (W.T.R);</t>
  </si>
  <si>
    <t>CAT 'A' AEROPLANES (W.T.R);
CAT 'C' GAS TURBINE ENGINES (W.T.R)</t>
  </si>
  <si>
    <t>CAT 'A' AEROPLANES (W.T.R);
CAT 'A' AEROPLANES C208 SERIES (TR);
CAT 'C' GAS TURBINE ENGINES (W.T.R);
CAT 'C' GAS TURBINE ENGINES (P&amp;WC PT6A SERIES)</t>
  </si>
  <si>
    <t>CAT 'A' AEROPLANES (W.T.R);</t>
  </si>
  <si>
    <t>CAT 'C' GAS TURBINE ENGINES (W.T.R);</t>
  </si>
  <si>
    <t>KERICHO</t>
  </si>
  <si>
    <t>CAT 'A' AEROPLANES (W.T.R);
CAT 'A' AEROPLANES C208 SERIES (TR);
CAT 'A' AEROPLANES C206 SERIES (TR);
CAT 'A' AEROPLANES C182 SERIES (TR);
CAT 'A' AEROPLANES C210 SERIES (TR);
CAT 'C' GAS TURBINE ENGINES (W.T.R);
CAT 'C' GAS TURBINE ENGINES (P&amp;WC PT6A SERIES)</t>
  </si>
  <si>
    <t>CAT 'C' GAS TURBINE ENGINES (W.T.R)</t>
  </si>
  <si>
    <t>KITALE</t>
  </si>
  <si>
    <t>PROCUREMENT OFFICER</t>
  </si>
  <si>
    <t>STORES CLERK</t>
  </si>
  <si>
    <t>MUKA01</t>
  </si>
  <si>
    <t>AVSEC-ADMIN</t>
  </si>
  <si>
    <t>Aviation Security Management</t>
  </si>
  <si>
    <t>DGR-ADMIN</t>
  </si>
  <si>
    <t>Comp. Based Training for Dangerous Goods Instructor (IATA DGR 1.5 &amp; CBTA Appendix H)</t>
  </si>
  <si>
    <t>Professional Skills for DGR Instructors - Categories 1,2,3,6</t>
  </si>
  <si>
    <t>DGR-CAT1236</t>
  </si>
  <si>
    <t>Maintenance Human Factors Trainer Course</t>
  </si>
  <si>
    <t>HF-TRAINER</t>
  </si>
  <si>
    <t>dickmzungu@gmail.com</t>
  </si>
  <si>
    <t>Roles</t>
  </si>
  <si>
    <t>Dashboard</t>
  </si>
  <si>
    <t>RoleGroup</t>
  </si>
  <si>
    <t>Description</t>
  </si>
  <si>
    <t>ALL</t>
  </si>
  <si>
    <t>All active personnel</t>
  </si>
  <si>
    <t>All active personnel assigned to Maintenance Department</t>
  </si>
  <si>
    <t>CERTIFYING_STAFF</t>
  </si>
  <si>
    <t>Personnel with certifying staff role / company authorization / certifying engineer or certifying technician role</t>
  </si>
  <si>
    <t>Nominated postholders and senior management roles</t>
  </si>
  <si>
    <t>Quality Department personnel</t>
  </si>
  <si>
    <t>AUDITOR</t>
  </si>
  <si>
    <t>Personnel assigned auditor duties</t>
  </si>
  <si>
    <t>Licensed engineers / engineers, where a separate engineering group is needed</t>
  </si>
  <si>
    <t>Stores personnel</t>
  </si>
  <si>
    <t>Planning / reliability / technical planning personnel</t>
  </si>
  <si>
    <t>TECHNICAL_RECORDS</t>
  </si>
  <si>
    <t>Technical records personnel</t>
  </si>
  <si>
    <t>Safety Department personnel</t>
  </si>
  <si>
    <t>ActiveRole</t>
  </si>
  <si>
    <t>Primary postholder role</t>
  </si>
  <si>
    <t>Maintenance role</t>
  </si>
  <si>
    <t>Quality role</t>
  </si>
  <si>
    <t>Technical records role</t>
  </si>
  <si>
    <t>Stores/procurement role</t>
  </si>
  <si>
    <t>Technical records supervisory role</t>
  </si>
  <si>
    <t>Functional maintenance role</t>
  </si>
  <si>
    <t>Licensed engineer role</t>
  </si>
  <si>
    <t>Certifying role based on internal certification stamp/authorization data</t>
  </si>
  <si>
    <t>Engineer role</t>
  </si>
  <si>
    <t>Certifying engineer role</t>
  </si>
  <si>
    <t>Stores role</t>
  </si>
  <si>
    <t>Quality audit oversight role</t>
  </si>
  <si>
    <t>Licensed engineer background; not treated as certifying staff from provided data</t>
  </si>
  <si>
    <t>Certifying technician role</t>
  </si>
  <si>
    <t>Stores/materials role</t>
  </si>
  <si>
    <t>Quality support role</t>
  </si>
  <si>
    <t>Functional workshop/maintenance role</t>
  </si>
  <si>
    <t>Planning/reliability role</t>
  </si>
  <si>
    <t>Maintenance support role</t>
  </si>
  <si>
    <t>Engineer role; not treated as certifying staff from provided data</t>
  </si>
  <si>
    <t>Safety role</t>
  </si>
  <si>
    <t>Safety/security role</t>
  </si>
  <si>
    <t>KINA01</t>
  </si>
  <si>
    <t>Quality document control role</t>
  </si>
  <si>
    <t>MUIG01</t>
  </si>
  <si>
    <t>Required</t>
  </si>
  <si>
    <t>RequirementType</t>
  </si>
  <si>
    <t>All active personnel must have initial Human Factors</t>
  </si>
  <si>
    <t>All active personnel must have initial SMS as per internal control decision</t>
  </si>
  <si>
    <t>Maintenance Indoctrination / Induction. Use this because INDOC is not in the current CourseID list</t>
  </si>
  <si>
    <t>All active personnel must have initial MPM / standard maintenance practices</t>
  </si>
  <si>
    <t>All active personnel must have initial AVSEC</t>
  </si>
  <si>
    <t>Mandatory for Maintenance Department</t>
  </si>
  <si>
    <t>Type Initial</t>
  </si>
  <si>
    <t>Mandatory type training for certifying staff</t>
  </si>
  <si>
    <t>Mandatory licence tracking for certifying staff</t>
  </si>
  <si>
    <t>Auditor</t>
  </si>
  <si>
    <t>All stores personnel must have DGR training</t>
  </si>
  <si>
    <t>One-off</t>
  </si>
  <si>
    <t>All Quality Personnel must have QMS training</t>
  </si>
  <si>
    <t>Role Group</t>
  </si>
  <si>
    <r>
      <t xml:space="preserve">Click </t>
    </r>
    <r>
      <rPr>
        <i/>
        <sz val="10"/>
        <color rgb="FF0000FF"/>
        <rFont val="Abadi"/>
        <family val="2"/>
      </rPr>
      <t>Search</t>
    </r>
    <r>
      <rPr>
        <i/>
        <sz val="10"/>
        <color rgb="FF555555"/>
        <rFont val="Abadi"/>
        <family val="2"/>
      </rPr>
      <t xml:space="preserve"> Button, the table below returns the soonest-due attendees for that course.</t>
    </r>
  </si>
  <si>
    <t xml:space="preserve">How it works: </t>
  </si>
  <si>
    <r>
      <t xml:space="preserve">CAUTION: 
</t>
    </r>
    <r>
      <rPr>
        <b/>
        <sz val="16"/>
        <color rgb="FFFF0000"/>
        <rFont val="Calibri"/>
        <family val="2"/>
        <scheme val="minor"/>
      </rPr>
      <t>DO NOT TYPE,</t>
    </r>
    <r>
      <rPr>
        <b/>
        <sz val="11"/>
        <color rgb="FFFF0000"/>
        <rFont val="Calibri"/>
        <family val="2"/>
        <scheme val="minor"/>
      </rPr>
      <t xml:space="preserve"> 
USE BUTTONS PROVIDED</t>
    </r>
  </si>
  <si>
    <t>AVIONICS</t>
  </si>
  <si>
    <t>All active personnel assigned to Avionics Department</t>
  </si>
  <si>
    <t xml:space="preserve">All Avionics personnel trained on Garmin 1000 Avionics </t>
  </si>
  <si>
    <t>RAMP</t>
  </si>
  <si>
    <t>All Key Management Personnel must have CIT training</t>
  </si>
  <si>
    <t>All active personnel operating/supporting Ground Operations</t>
  </si>
  <si>
    <t>QUALITY OFFICER</t>
  </si>
  <si>
    <t>ERP-ADMIN</t>
  </si>
  <si>
    <t>Emergency Planning and Response for Airlines</t>
  </si>
  <si>
    <t>HEAD OF MAINTENANCE</t>
  </si>
  <si>
    <t>BASE MAINTENANCE &amp; WORKSHOP MANAGER</t>
  </si>
  <si>
    <t>SAFETY &amp; SECURITY MANAGER</t>
  </si>
  <si>
    <t>QUALITY MANAGER</t>
  </si>
  <si>
    <t>LINE MAINTENANCE MANAGER</t>
  </si>
  <si>
    <t>All</t>
  </si>
  <si>
    <t>All Planning and Technical Records personnel</t>
  </si>
  <si>
    <t>FLIGHT_ENGINEER</t>
  </si>
  <si>
    <t>Maintenance personnel on active Flight Duty (DHC8)</t>
  </si>
  <si>
    <t>Maintenance personnel on Flight Duty</t>
  </si>
  <si>
    <t>Overdue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</si>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</sst>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555555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Arial"/>
      <family val="2"/>
    </font>
    <font>
      <sz val="9"/>
      <color theme="1"/>
      <name val="Arial"/>
      <family val="2"/>
    </font>
    <font>
      <sz val="8"/>
      <name val="Calibri"/>
      <family val="2"/>
      <scheme val="minor"/>
    </font>
    <font>
      <b/>
      <sz val="10"/>
      <color theme="1"/>
      <name val="Abadi"/>
      <family val="2"/>
    </font>
    <font>
      <sz val="10"/>
      <color theme="1"/>
      <name val="Abadi"/>
      <family val="2"/>
    </font>
    <font>
      <i/>
      <sz val="10"/>
      <color rgb="FF555555"/>
      <name val="Abadi"/>
      <family val="2"/>
    </font>
    <font>
      <sz val="11"/>
      <color theme="1"/>
      <name val="Aptos Display"/>
      <family val="2"/>
    </font>
    <font>
      <b/>
      <sz val="11"/>
      <color rgb="FF0000FF"/>
      <name val="Aptos ExtraBold"/>
      <family val="2"/>
    </font>
    <font>
      <sz val="11"/>
      <color rgb="FF008000"/>
      <name val="Calibri"/>
      <family val="2"/>
    </font>
    <font>
      <sz val="9"/>
      <color theme="1"/>
      <name val="Aptos"/>
      <family val="2"/>
    </font>
    <font>
      <b/>
      <sz val="10"/>
      <color rgb="FFFFFFFF"/>
      <name val="Aptos Display"/>
      <family val="2"/>
    </font>
    <font>
      <sz val="24"/>
      <color theme="1"/>
      <name val="Bookman Old Style"/>
      <family val="1"/>
    </font>
    <font>
      <sz val="12"/>
      <color theme="1"/>
      <name val="Bookman Old Style"/>
      <family val="1"/>
    </font>
    <font>
      <sz val="10"/>
      <color theme="1"/>
      <name val="Calibri"/>
      <family val="2"/>
      <scheme val="minor"/>
    </font>
    <font>
      <sz val="12"/>
      <color rgb="FF0000FF"/>
      <name val="Abadi"/>
      <family val="2"/>
    </font>
    <font>
      <b/>
      <sz val="11"/>
      <color rgb="FF0000FF"/>
      <name val="Calibri"/>
      <family val="2"/>
    </font>
    <font>
      <b/>
      <sz val="11"/>
      <color rgb="FF0000F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FF"/>
      <name val="Aptos Display"/>
      <family val="2"/>
    </font>
    <font>
      <b/>
      <u/>
      <sz val="11"/>
      <color rgb="FFFF0000"/>
      <name val="Abadi"/>
      <family val="2"/>
    </font>
    <font>
      <sz val="11"/>
      <color rgb="FFFF0000"/>
      <name val="Abadi"/>
      <family val="2"/>
    </font>
    <font>
      <sz val="11"/>
      <color rgb="FF00CC00"/>
      <name val="Abadi"/>
      <family val="2"/>
    </font>
    <font>
      <b/>
      <sz val="10"/>
      <color rgb="FF0000FF"/>
      <name val="Abadi"/>
      <family val="2"/>
    </font>
    <font>
      <b/>
      <sz val="10"/>
      <name val="Abadi"/>
      <family val="2"/>
    </font>
    <font>
      <i/>
      <sz val="10"/>
      <color theme="0"/>
      <name val="Abadi"/>
      <family val="2"/>
    </font>
    <font>
      <b/>
      <sz val="10"/>
      <color theme="1"/>
      <name val="Agency FB"/>
      <family val="2"/>
    </font>
    <font>
      <i/>
      <sz val="10"/>
      <color rgb="FFFF0000"/>
      <name val="Abadi"/>
      <family val="2"/>
    </font>
    <font>
      <b/>
      <sz val="10"/>
      <color theme="1"/>
      <name val="Bookman Old Style"/>
      <family val="1"/>
    </font>
    <font>
      <sz val="11"/>
      <color theme="1"/>
      <name val="Bookman Old Style"/>
      <family val="1"/>
    </font>
    <font>
      <sz val="10"/>
      <color theme="1"/>
      <name val="Bookman Old Style"/>
      <family val="1"/>
    </font>
    <font>
      <sz val="10"/>
      <color theme="1"/>
      <name val="Aptos Narrow"/>
      <family val="2"/>
    </font>
    <font>
      <u/>
      <sz val="10"/>
      <color theme="10"/>
      <name val="Aptos Narrow"/>
      <family val="2"/>
    </font>
    <font>
      <i/>
      <sz val="10"/>
      <color rgb="FF0000FF"/>
      <name val="Abadi"/>
      <family val="2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A9923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/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6D6D6"/>
      </left>
      <right style="thin">
        <color rgb="FFD6D6D6"/>
      </right>
      <top style="thin">
        <color rgb="FFD6D6D6"/>
      </top>
      <bottom style="thin">
        <color rgb="FFD6D6D6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D6D6D6"/>
      </right>
      <top style="thin">
        <color rgb="FFD6D6D6"/>
      </top>
      <bottom style="thin">
        <color rgb="FFD6D6D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141">
    <xf numFmtId="0" fontId="0" fillId="0" borderId="0" xfId="0"/>
    <xf numFmtId="0" fontId="1" fillId="2" borderId="1" xfId="0" applyFont="1" applyFill="1" applyBorder="1"/>
    <xf numFmtId="164" fontId="0" fillId="0" borderId="0" xfId="0" applyNumberForma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8" fillId="0" borderId="0" xfId="0" applyFont="1"/>
    <xf numFmtId="0" fontId="10" fillId="0" borderId="0" xfId="0" applyFont="1"/>
    <xf numFmtId="0" fontId="9" fillId="0" borderId="0" xfId="0" applyFont="1" applyAlignment="1">
      <alignment vertical="top" wrapText="1"/>
    </xf>
    <xf numFmtId="0" fontId="0" fillId="0" borderId="0" xfId="0" applyAlignment="1">
      <alignment wrapText="1"/>
    </xf>
    <xf numFmtId="0" fontId="8" fillId="0" borderId="0" xfId="0" applyFont="1" applyAlignment="1">
      <alignment wrapText="1"/>
    </xf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0" xfId="0" applyFont="1" applyAlignment="1">
      <alignment vertical="center" wrapText="1"/>
    </xf>
    <xf numFmtId="164" fontId="13" fillId="0" borderId="0" xfId="0" applyNumberFormat="1" applyFont="1" applyAlignment="1">
      <alignment vertical="center"/>
    </xf>
    <xf numFmtId="164" fontId="13" fillId="0" borderId="0" xfId="0" applyNumberFormat="1" applyFont="1" applyAlignment="1">
      <alignment horizontal="right" vertical="center"/>
    </xf>
    <xf numFmtId="0" fontId="0" fillId="0" borderId="0" xfId="0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5" fillId="0" borderId="0" xfId="0" applyFont="1" applyAlignment="1">
      <alignment wrapText="1"/>
    </xf>
    <xf numFmtId="0" fontId="0" fillId="0" borderId="0" xfId="0" applyAlignment="1">
      <alignment vertical="center" wrapText="1"/>
    </xf>
    <xf numFmtId="164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4" fillId="3" borderId="2" xfId="0" applyFont="1" applyFill="1" applyBorder="1"/>
    <xf numFmtId="0" fontId="14" fillId="3" borderId="2" xfId="0" applyFont="1" applyFill="1" applyBorder="1" applyAlignment="1">
      <alignment wrapText="1"/>
    </xf>
    <xf numFmtId="0" fontId="14" fillId="3" borderId="2" xfId="0" applyFont="1" applyFill="1" applyBorder="1" applyAlignment="1">
      <alignment horizontal="center"/>
    </xf>
    <xf numFmtId="0" fontId="15" fillId="0" borderId="0" xfId="0" applyFont="1"/>
    <xf numFmtId="0" fontId="16" fillId="0" borderId="0" xfId="0" applyFont="1"/>
    <xf numFmtId="0" fontId="3" fillId="0" borderId="3" xfId="0" applyFont="1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1" fillId="2" borderId="3" xfId="0" applyFont="1" applyFill="1" applyBorder="1" applyAlignment="1">
      <alignment horizontal="left" vertical="center"/>
    </xf>
    <xf numFmtId="0" fontId="15" fillId="0" borderId="3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wrapText="1"/>
    </xf>
    <xf numFmtId="0" fontId="14" fillId="3" borderId="2" xfId="0" applyFont="1" applyFill="1" applyBorder="1" applyAlignment="1">
      <alignment horizontal="center" wrapText="1"/>
    </xf>
    <xf numFmtId="0" fontId="7" fillId="2" borderId="1" xfId="0" applyFont="1" applyFill="1" applyBorder="1" applyAlignment="1">
      <alignment vertical="center" wrapText="1"/>
    </xf>
    <xf numFmtId="0" fontId="7" fillId="2" borderId="1" xfId="0" applyFont="1" applyFill="1" applyBorder="1" applyAlignment="1">
      <alignment wrapText="1"/>
    </xf>
    <xf numFmtId="0" fontId="0" fillId="0" borderId="0" xfId="0" applyAlignment="1">
      <alignment horizontal="left"/>
    </xf>
    <xf numFmtId="0" fontId="21" fillId="0" borderId="0" xfId="1"/>
    <xf numFmtId="0" fontId="8" fillId="0" borderId="0" xfId="0" applyFont="1" applyAlignment="1">
      <alignment horizontal="center" wrapText="1"/>
    </xf>
    <xf numFmtId="0" fontId="10" fillId="0" borderId="0" xfId="0" applyFont="1" applyAlignment="1">
      <alignment horizontal="center" wrapText="1"/>
    </xf>
    <xf numFmtId="0" fontId="11" fillId="0" borderId="0" xfId="0" applyFont="1" applyAlignment="1">
      <alignment horizontal="center" wrapText="1"/>
    </xf>
    <xf numFmtId="0" fontId="24" fillId="0" borderId="0" xfId="0" applyFont="1"/>
    <xf numFmtId="0" fontId="8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164" fontId="8" fillId="0" borderId="0" xfId="0" applyNumberFormat="1" applyFont="1" applyAlignment="1">
      <alignment horizontal="left" vertical="center" wrapText="1"/>
    </xf>
    <xf numFmtId="164" fontId="8" fillId="0" borderId="0" xfId="0" applyNumberFormat="1" applyFont="1" applyAlignment="1">
      <alignment horizontal="left" wrapText="1"/>
    </xf>
    <xf numFmtId="0" fontId="1" fillId="0" borderId="0" xfId="0" applyFont="1" applyAlignment="1">
      <alignment horizontal="center"/>
    </xf>
    <xf numFmtId="0" fontId="27" fillId="0" borderId="0" xfId="0" applyFont="1"/>
    <xf numFmtId="0" fontId="11" fillId="0" borderId="0" xfId="0" applyFont="1" applyAlignment="1">
      <alignment horizontal="left" wrapText="1"/>
    </xf>
    <xf numFmtId="1" fontId="29" fillId="0" borderId="0" xfId="0" applyNumberFormat="1" applyFont="1" applyAlignment="1">
      <alignment horizontal="right" vertical="center" wrapText="1"/>
    </xf>
    <xf numFmtId="0" fontId="25" fillId="0" borderId="0" xfId="0" applyFont="1"/>
    <xf numFmtId="0" fontId="14" fillId="3" borderId="5" xfId="0" applyFont="1" applyFill="1" applyBorder="1" applyAlignment="1">
      <alignment horizontal="center" wrapText="1"/>
    </xf>
    <xf numFmtId="0" fontId="10" fillId="0" borderId="0" xfId="0" applyFont="1" applyAlignment="1">
      <alignment horizontal="center" vertical="center" wrapText="1"/>
    </xf>
    <xf numFmtId="0" fontId="29" fillId="0" borderId="0" xfId="0" applyFont="1" applyAlignment="1">
      <alignment vertical="center" wrapText="1"/>
    </xf>
    <xf numFmtId="0" fontId="20" fillId="0" borderId="0" xfId="0" applyFont="1" applyAlignment="1">
      <alignment vertical="center"/>
    </xf>
    <xf numFmtId="0" fontId="20" fillId="0" borderId="0" xfId="0" applyFont="1" applyAlignment="1">
      <alignment vertical="center" wrapText="1"/>
    </xf>
    <xf numFmtId="0" fontId="22" fillId="0" borderId="0" xfId="0" applyFont="1" applyAlignment="1">
      <alignment horizontal="center" vertical="center" wrapText="1"/>
    </xf>
    <xf numFmtId="0" fontId="8" fillId="0" borderId="2" xfId="0" applyFont="1" applyBorder="1" applyAlignment="1">
      <alignment vertical="center" wrapText="1"/>
    </xf>
    <xf numFmtId="164" fontId="8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4" fillId="3" borderId="2" xfId="0" applyFont="1" applyFill="1" applyBorder="1" applyAlignment="1">
      <alignment horizontal="left"/>
    </xf>
    <xf numFmtId="0" fontId="8" fillId="0" borderId="0" xfId="0" applyFont="1" applyAlignment="1">
      <alignment horizontal="left" vertical="center"/>
    </xf>
    <xf numFmtId="0" fontId="29" fillId="0" borderId="0" xfId="0" applyFont="1" applyAlignment="1">
      <alignment wrapText="1"/>
    </xf>
    <xf numFmtId="0" fontId="0" fillId="0" borderId="0" xfId="0" applyAlignment="1">
      <alignment horizontal="left" vertical="center"/>
    </xf>
    <xf numFmtId="0" fontId="30" fillId="4" borderId="6" xfId="0" applyFont="1" applyFill="1" applyBorder="1" applyAlignment="1">
      <alignment wrapText="1"/>
    </xf>
    <xf numFmtId="0" fontId="30" fillId="4" borderId="8" xfId="0" applyFont="1" applyFill="1" applyBorder="1" applyAlignment="1">
      <alignment wrapText="1"/>
    </xf>
    <xf numFmtId="0" fontId="30" fillId="4" borderId="10" xfId="0" applyFont="1" applyFill="1" applyBorder="1" applyAlignment="1">
      <alignment wrapText="1"/>
    </xf>
    <xf numFmtId="0" fontId="31" fillId="0" borderId="3" xfId="0" applyFont="1" applyBorder="1" applyAlignment="1">
      <alignment horizontal="left" vertical="center"/>
    </xf>
    <xf numFmtId="0" fontId="31" fillId="4" borderId="3" xfId="0" applyFont="1" applyFill="1" applyBorder="1" applyAlignment="1">
      <alignment horizontal="left" vertical="center"/>
    </xf>
    <xf numFmtId="0" fontId="16" fillId="4" borderId="3" xfId="0" applyFont="1" applyFill="1" applyBorder="1" applyAlignment="1">
      <alignment horizontal="center" vertical="center"/>
    </xf>
    <xf numFmtId="0" fontId="32" fillId="0" borderId="3" xfId="0" applyFont="1" applyBorder="1" applyAlignment="1">
      <alignment horizontal="left" vertical="center" wrapText="1"/>
    </xf>
    <xf numFmtId="0" fontId="33" fillId="0" borderId="3" xfId="0" applyFont="1" applyBorder="1" applyAlignment="1">
      <alignment horizontal="left" vertic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35" fillId="0" borderId="0" xfId="1" applyFont="1" applyAlignment="1">
      <alignment vertical="center"/>
    </xf>
    <xf numFmtId="0" fontId="34" fillId="0" borderId="0" xfId="0" applyFont="1"/>
    <xf numFmtId="14" fontId="34" fillId="0" borderId="0" xfId="0" applyNumberFormat="1" applyFont="1" applyAlignment="1">
      <alignment vertical="center"/>
    </xf>
    <xf numFmtId="14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 wrapText="1"/>
    </xf>
    <xf numFmtId="0" fontId="14" fillId="3" borderId="2" xfId="0" applyFont="1" applyFill="1" applyBorder="1" applyAlignment="1">
      <alignment horizontal="left" wrapText="1"/>
    </xf>
    <xf numFmtId="0" fontId="8" fillId="0" borderId="0" xfId="0" applyFont="1" applyAlignment="1">
      <alignment horizontal="left" vertical="center" wrapText="1"/>
    </xf>
    <xf numFmtId="0" fontId="21" fillId="0" borderId="0" xfId="1" applyAlignment="1">
      <alignment vertical="center"/>
    </xf>
    <xf numFmtId="164" fontId="8" fillId="0" borderId="2" xfId="0" applyNumberFormat="1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" fillId="0" borderId="0" xfId="0" applyFont="1"/>
    <xf numFmtId="0" fontId="9" fillId="4" borderId="7" xfId="0" applyFont="1" applyFill="1" applyBorder="1" applyAlignment="1">
      <alignment vertical="center" wrapText="1"/>
    </xf>
    <xf numFmtId="0" fontId="9" fillId="4" borderId="9" xfId="0" applyFont="1" applyFill="1" applyBorder="1" applyAlignment="1">
      <alignment vertical="center" wrapText="1"/>
    </xf>
    <xf numFmtId="0" fontId="9" fillId="4" borderId="1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9" fillId="5" borderId="0" xfId="0" applyFont="1" applyFill="1"/>
    <xf numFmtId="0" fontId="9" fillId="5" borderId="0" xfId="0" applyFont="1" applyFill="1" applyAlignment="1">
      <alignment vertical="top" wrapText="1"/>
    </xf>
    <xf numFmtId="0" fontId="8" fillId="5" borderId="0" xfId="0" applyFont="1" applyFill="1" applyAlignment="1">
      <alignment horizontal="center"/>
    </xf>
    <xf numFmtId="0" fontId="0" fillId="5" borderId="0" xfId="0" applyFill="1" applyAlignment="1">
      <alignment horizontal="left"/>
    </xf>
    <xf numFmtId="0" fontId="3" fillId="6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9" fillId="6" borderId="0" xfId="0" applyFont="1" applyFill="1"/>
    <xf numFmtId="0" fontId="8" fillId="6" borderId="0" xfId="0" applyFont="1" applyFill="1"/>
    <xf numFmtId="0" fontId="8" fillId="6" borderId="0" xfId="0" applyFont="1" applyFill="1" applyAlignment="1">
      <alignment horizontal="center"/>
    </xf>
    <xf numFmtId="0" fontId="9" fillId="6" borderId="0" xfId="0" applyFont="1" applyFill="1" applyAlignment="1">
      <alignment vertical="top"/>
    </xf>
    <xf numFmtId="0" fontId="9" fillId="6" borderId="0" xfId="0" applyFont="1" applyFill="1" applyAlignment="1">
      <alignment vertical="top" wrapText="1"/>
    </xf>
    <xf numFmtId="0" fontId="28" fillId="6" borderId="0" xfId="0" applyFont="1" applyFill="1" applyAlignment="1">
      <alignment vertical="top" wrapText="1"/>
    </xf>
    <xf numFmtId="0" fontId="2" fillId="0" borderId="0" xfId="0" applyFont="1" applyAlignment="1">
      <alignment vertical="center" wrapText="1"/>
    </xf>
    <xf numFmtId="0" fontId="11" fillId="0" borderId="4" xfId="0" applyFont="1" applyBorder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 wrapText="1" indent="2"/>
    </xf>
    <xf numFmtId="0" fontId="37" fillId="4" borderId="0" xfId="0" applyFont="1" applyFill="1" applyAlignment="1">
      <alignment horizontal="center" vertical="center" wrapText="1"/>
    </xf>
    <xf numFmtId="0" fontId="15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wrapText="1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 wrapText="1"/>
    </xf>
    <xf numFmtId="164" fontId="8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 wrapText="1"/>
    </xf>
    <xf numFmtId="164" fontId="8" fillId="0" borderId="2" xfId="0" applyNumberFormat="1" applyFont="1" applyFill="1" applyBorder="1" applyAlignment="1">
      <alignment horizontal="center" vertical="center"/>
    </xf>
    <xf numFmtId="164" fontId="8" fillId="0" borderId="2" xfId="0" applyNumberFormat="1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/>
    </xf>
    <xf numFmtId="0" fontId="13" fillId="0" borderId="0" xfId="0" applyNumberFormat="1" applyFont="1" applyAlignment="1">
      <alignment vertical="center"/>
    </xf>
  </cellXfs>
  <cellStyles count="2">
    <cellStyle name="Hyperlink" xfId="1" builtinId="8"/>
    <cellStyle name="Normal" xfId="0" builtinId="0"/>
  </cellStyles>
  <dxfs count="802"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4" formatCode="yyyy\-mm\-dd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0000FF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4</xdr:row>
          <xdr:rowOff>0</xdr:rowOff>
        </xdr:from>
        <xdr:to>
          <xdr:col>6</xdr:col>
          <xdr:colOff>333375</xdr:colOff>
          <xdr:row>5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KE" sz="1200" b="0" i="0" u="none" strike="noStrike" baseline="0">
                  <a:solidFill>
                    <a:srgbClr val="0000FF"/>
                  </a:solidFill>
                  <a:latin typeface="Abad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476250</xdr:colOff>
          <xdr:row>4</xdr:row>
          <xdr:rowOff>0</xdr:rowOff>
        </xdr:from>
        <xdr:to>
          <xdr:col>7</xdr:col>
          <xdr:colOff>114300</xdr:colOff>
          <xdr:row>5</xdr:row>
          <xdr:rowOff>171450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KE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New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3</xdr:row>
          <xdr:rowOff>47625</xdr:rowOff>
        </xdr:from>
        <xdr:to>
          <xdr:col>4</xdr:col>
          <xdr:colOff>811051</xdr:colOff>
          <xdr:row>4</xdr:row>
          <xdr:rowOff>145125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EAA53E24-AF0C-8BAA-B096-F31729A91B99}"/>
                </a:ext>
              </a:extLst>
            </xdr:cNvPr>
            <xdr:cNvGrpSpPr/>
          </xdr:nvGrpSpPr>
          <xdr:grpSpPr>
            <a:xfrm>
              <a:off x="4476750" y="47625"/>
              <a:ext cx="1830226" cy="468975"/>
              <a:chOff x="4105202" y="133350"/>
              <a:chExt cx="1773076" cy="288000"/>
            </a:xfrm>
            <a:solidFill>
              <a:schemeClr val="tx1"/>
            </a:solidFill>
          </xdr:grpSpPr>
          <xdr:sp macro="" textlink="">
            <xdr:nvSpPr>
              <xdr:cNvPr id="7169" name="Button 1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id="{00000000-0008-0000-0700-0000011C0000}"/>
                  </a:ext>
                </a:extLst>
              </xdr:cNvPr>
              <xdr:cNvSpPr/>
            </xdr:nvSpPr>
            <xdr:spPr bwMode="auto">
              <a:xfrm>
                <a:off x="5086278" y="133350"/>
                <a:ext cx="792000" cy="288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KE" sz="1100" b="0" i="0" u="none" strike="noStrike" baseline="0">
                    <a:solidFill>
                      <a:srgbClr val="008000"/>
                    </a:solidFill>
                    <a:latin typeface="Calibri"/>
                    <a:cs typeface="Calibri"/>
                  </a:rPr>
                  <a:t>New Record</a:t>
                </a:r>
              </a:p>
            </xdr:txBody>
          </xdr:sp>
          <xdr:sp macro="" textlink="">
            <xdr:nvSpPr>
              <xdr:cNvPr id="7171" name="Button 3" hidden="1">
                <a:extLst>
                  <a:ext uri="{63B3BB69-23CF-44E3-9099-C40C66FF867C}">
                    <a14:compatExt spid="_x0000_s7171"/>
                  </a:ext>
                  <a:ext uri="{FF2B5EF4-FFF2-40B4-BE49-F238E27FC236}">
                    <a16:creationId xmlns:a16="http://schemas.microsoft.com/office/drawing/2014/main" id="{00000000-0008-0000-0700-0000031C0000}"/>
                  </a:ext>
                </a:extLst>
              </xdr:cNvPr>
              <xdr:cNvSpPr/>
            </xdr:nvSpPr>
            <xdr:spPr bwMode="auto">
              <a:xfrm>
                <a:off x="4105202" y="133350"/>
                <a:ext cx="792000" cy="288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KE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Search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695325</xdr:colOff>
          <xdr:row>3</xdr:row>
          <xdr:rowOff>38100</xdr:rowOff>
        </xdr:from>
        <xdr:to>
          <xdr:col>5</xdr:col>
          <xdr:colOff>19050</xdr:colOff>
          <xdr:row>4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KE" sz="1200" b="0" i="0" u="none" strike="noStrike" baseline="0">
                  <a:solidFill>
                    <a:srgbClr val="0000FF"/>
                  </a:solidFill>
                  <a:latin typeface="Abad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3</xdr:row>
          <xdr:rowOff>38100</xdr:rowOff>
        </xdr:from>
        <xdr:to>
          <xdr:col>5</xdr:col>
          <xdr:colOff>1066800</xdr:colOff>
          <xdr:row>4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KE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New Record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462F3D1-955C-43A8-B83F-06B11DA3711F}" autoFormatId="16" applyNumberFormats="0" applyBorderFormats="0" applyFontFormats="0" applyPatternFormats="0" applyAlignmentFormats="0" applyWidthHeightFormats="0">
  <queryTableRefresh nextId="3">
    <queryTableFields count="2">
      <queryTableField id="1" name="RoleGroup" tableColumnId="1"/>
      <queryTableField id="2" name="Description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A2807F6-3F08-4A9F-83C0-83EC76ABA1F3}" autoFormatId="16" applyNumberFormats="0" applyBorderFormats="0" applyFontFormats="0" applyPatternFormats="0" applyAlignmentFormats="0" applyWidthHeightFormats="0">
  <queryTableRefresh nextId="7">
    <queryTableFields count="6">
      <queryTableField id="1" name="PersonID" tableColumnId="1"/>
      <queryTableField id="2" name="RoleGroup" tableColumnId="2"/>
      <queryTableField id="3" name="Department" tableColumnId="3"/>
      <queryTableField id="4" name="Position" tableColumnId="4"/>
      <queryTableField id="5" name="ActiveRole" tableColumnId="5"/>
      <queryTableField id="6" name="Note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E0A867D-2E77-4CFA-8B96-7E26E6A457A0}" autoFormatId="16" applyNumberFormats="0" applyBorderFormats="0" applyFontFormats="0" applyPatternFormats="0" applyAlignmentFormats="0" applyWidthHeightFormats="0">
  <queryTableRefresh nextId="6">
    <queryTableFields count="5">
      <queryTableField id="1" name="CourseID" tableColumnId="1"/>
      <queryTableField id="2" name="RoleGroup" tableColumnId="2"/>
      <queryTableField id="3" name="Required" tableColumnId="3"/>
      <queryTableField id="4" name="RequirementType" tableColumnId="4"/>
      <queryTableField id="5" name="Notes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5A4F51-57F0-4675-80BC-69B8A6686CFA}" name="tblRoleGroups" displayName="tblRoleGroups" ref="A1:B15" tableType="queryTable" totalsRowShown="0">
  <autoFilter ref="A1:B15" xr:uid="{F05A4F51-57F0-4675-80BC-69B8A6686CFA}"/>
  <tableColumns count="2">
    <tableColumn id="1" xr3:uid="{B17177AB-F875-42FF-AFFB-750FED25F4D6}" uniqueName="1" name="RoleGroup" queryTableFieldId="1" dataDxfId="801"/>
    <tableColumn id="2" xr3:uid="{43BB71A2-E6F2-4CE4-AE18-8BD00925E6D9}" uniqueName="2" name="Description" queryTableFieldId="2" dataDxfId="80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B1884B8-AB9D-4973-9C66-44799A18F258}" name="tblPersonRoles" displayName="tblPersonRoles" ref="A1:F140" tableType="queryTable" totalsRowShown="0">
  <autoFilter ref="A1:F140" xr:uid="{5B1884B8-AB9D-4973-9C66-44799A18F258}"/>
  <tableColumns count="6">
    <tableColumn id="1" xr3:uid="{2A5E4FA9-3DA5-4ADB-AD56-EE941032C3AE}" uniqueName="1" name="PersonID" queryTableFieldId="1" dataDxfId="799"/>
    <tableColumn id="2" xr3:uid="{0AE1DA94-9B3E-4A2A-A584-430750AA0D69}" uniqueName="2" name="RoleGroup" queryTableFieldId="2" dataDxfId="798"/>
    <tableColumn id="3" xr3:uid="{C28C2683-0703-421A-90E4-F86898C64FA3}" uniqueName="3" name="Department" queryTableFieldId="3" dataDxfId="797"/>
    <tableColumn id="4" xr3:uid="{D42C5916-21D2-4630-8493-B1AB249AD2FB}" uniqueName="4" name="Position" queryTableFieldId="4" dataDxfId="796"/>
    <tableColumn id="5" xr3:uid="{2FED33C5-7A9D-44AE-8EC3-D818FE7548A2}" uniqueName="5" name="ActiveRole" queryTableFieldId="5" dataDxfId="795"/>
    <tableColumn id="6" xr3:uid="{8EDBBD79-E99A-4A8E-8E90-A51C0431A208}" uniqueName="6" name="Notes" queryTableFieldId="6" dataDxfId="79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A2BC80A-E6F2-4533-8230-6DAD96D5B415}" name="tblCourseMatrix" displayName="tblCourseMatrix" ref="A1:E19" tableType="queryTable" totalsRowShown="0">
  <autoFilter ref="A1:E19" xr:uid="{9A2BC80A-E6F2-4533-8230-6DAD96D5B415}"/>
  <tableColumns count="5">
    <tableColumn id="1" xr3:uid="{A8CAE534-9801-49F1-9965-BCA0C8B74608}" uniqueName="1" name="CourseID" queryTableFieldId="1" dataDxfId="793"/>
    <tableColumn id="2" xr3:uid="{A93C2614-DE65-423E-8B6A-C78FD084327F}" uniqueName="2" name="RoleGroup" queryTableFieldId="2" dataDxfId="792"/>
    <tableColumn id="3" xr3:uid="{C4719D58-DE2D-4CC2-B31D-8BEA44607DE7}" uniqueName="3" name="Required" queryTableFieldId="3" dataDxfId="791"/>
    <tableColumn id="4" xr3:uid="{05D066EE-55C3-4931-8E53-3D3934EE877D}" uniqueName="4" name="RequirementType" queryTableFieldId="4" dataDxfId="790"/>
    <tableColumn id="5" xr3:uid="{D8E2989A-0A17-410E-8583-666D54D6FFB9}" uniqueName="5" name="Notes" queryTableFieldId="5" dataDxfId="78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Training" displayName="tblTraining" ref="A1:I1548" totalsRowShown="0" headerRowDxfId="788" dataDxfId="787">
  <autoFilter ref="A1:I1548" xr:uid="{00000000-0009-0000-0100-000003000000}"/>
  <sortState xmlns:xlrd2="http://schemas.microsoft.com/office/spreadsheetml/2017/richdata2" ref="A163:I489">
    <sortCondition descending="1" ref="B1:B489"/>
  </sortState>
  <tableColumns count="9">
    <tableColumn id="1" xr3:uid="{00000000-0010-0000-0200-000001000000}" name="RecordID" dataDxfId="786"/>
    <tableColumn id="2" xr3:uid="{00000000-0010-0000-0200-000002000000}" name="PersonID" dataDxfId="785"/>
    <tableColumn id="3" xr3:uid="{00000000-0010-0000-0200-000003000000}" name="PersonName" dataDxfId="784">
      <calculatedColumnFormula array="1">IFERROR(_xlfn.XLOOKUP(B2, tblPeople[PersonID], tblPeople[PersonName], ""), "")</calculatedColumnFormula>
    </tableColumn>
    <tableColumn id="4" xr3:uid="{00000000-0010-0000-0200-000004000000}" name="CourseID" dataDxfId="783"/>
    <tableColumn id="5" xr3:uid="{00000000-0010-0000-0200-000005000000}" name="CourseName" dataDxfId="782">
      <calculatedColumnFormula>IFERROR(_xlfn.XLOOKUP(D2, tblCourses[CourseID], tblCourses[CourseName], ""), "")</calculatedColumnFormula>
    </tableColumn>
    <tableColumn id="6" xr3:uid="{00000000-0010-0000-0200-000006000000}" name="LastTrainingDate" dataDxfId="781"/>
    <tableColumn id="7" xr3:uid="{00000000-0010-0000-0200-000007000000}" name="NextDueDate" dataDxfId="780">
      <calculatedColumnFormula array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calculatedColumnFormula>
    </tableColumn>
    <tableColumn id="8" xr3:uid="{00000000-0010-0000-0200-000008000000}" name="DaysToDue" dataDxfId="779">
      <calculatedColumnFormula>IF(OR(tblTraining[[#This Row],[Status]]="Renewed",tblTraining[[#This Row],[NextDueDate]]=""),"",tblTraining[[#This Row],[NextDueDate]]-TODAY())</calculatedColumnFormula>
    </tableColumn>
    <tableColumn id="9" xr3:uid="{00000000-0010-0000-0200-000009000000}" name="Status" dataDxfId="778">
      <calculatedColumnFormula array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ourses" displayName="tblCourses" ref="A1:H84" totalsRowShown="0" headerRowDxfId="777" dataDxfId="776">
  <autoFilter ref="A1:H84" xr:uid="{00000000-0009-0000-0100-000002000000}"/>
  <sortState xmlns:xlrd2="http://schemas.microsoft.com/office/spreadsheetml/2017/richdata2" ref="A2:H66">
    <sortCondition ref="A1:A66"/>
  </sortState>
  <tableColumns count="8">
    <tableColumn id="1" xr3:uid="{00000000-0010-0000-0100-000001000000}" name="CourseID" dataDxfId="775"/>
    <tableColumn id="2" xr3:uid="{00000000-0010-0000-0100-000002000000}" name="CourseName" dataDxfId="774"/>
    <tableColumn id="3" xr3:uid="{00000000-0010-0000-0100-000003000000}" name="FrequencyMonths" dataDxfId="773"/>
    <tableColumn id="8" xr3:uid="{85C8B97C-CB4F-437F-8EF6-014AD0590CDE}" name="Status" dataDxfId="772"/>
    <tableColumn id="4" xr3:uid="{00000000-0010-0000-0100-000004000000}" name="Category" dataDxfId="771"/>
    <tableColumn id="5" xr3:uid="{6D04830F-25A1-4D7E-9602-90657C90689D}" name="Mandatory" dataDxfId="770"/>
    <tableColumn id="6" xr3:uid="{9ADC52D5-5932-4F73-AF03-134D7420305C}" name="Scope" dataDxfId="769"/>
    <tableColumn id="7" xr3:uid="{9AF27F68-F150-448A-8B02-41597DFB7F9E}" name="Reference" dataDxfId="768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People" displayName="tblPeople" ref="A1:U74" totalsRowCount="1">
  <autoFilter ref="A1:U73" xr:uid="{00000000-0009-0000-0100-000001000000}">
    <filterColumn colId="16">
      <filters>
        <filter val="Active"/>
      </filters>
    </filterColumn>
  </autoFilter>
  <sortState xmlns:xlrd2="http://schemas.microsoft.com/office/spreadsheetml/2017/richdata2" ref="A2:Q61">
    <sortCondition ref="A1:A61"/>
  </sortState>
  <tableColumns count="21">
    <tableColumn id="1" xr3:uid="{00000000-0010-0000-0000-000001000000}" name="PersonID" totalsRowLabel="Total" totalsRowDxfId="767">
      <calculatedColumnFormula array="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calculatedColumnFormula>
    </tableColumn>
    <tableColumn id="5" xr3:uid="{83A7D017-DD3D-4F74-9D91-9764FBDF48DB}" name="FIRSTNAME" totalsRowDxfId="766">
      <calculatedColumnFormula>UPPER(_xlfn.TEXTBEFORE(TRIM(tblPeople[[#This Row],[PersonName]])," "))</calculatedColumnFormula>
    </tableColumn>
    <tableColumn id="4" xr3:uid="{22533DA1-3CA1-4FEF-A4D6-1F780A763236}" name="LASTNAME" totalsRowDxfId="765">
      <calculatedColumnFormula>UPPER(_xlfn.TEXTAFTER(TRIM(tblPeople[[#This Row],[PersonName]])," ",-1))</calculatedColumnFormula>
    </tableColumn>
    <tableColumn id="2" xr3:uid="{00000000-0010-0000-0000-000002000000}" name="PersonName" totalsRowDxfId="764"/>
    <tableColumn id="14" xr3:uid="{3A3C4761-244E-47E3-8E0F-F1E46DCF5866}" name="nid" totalsRowDxfId="763"/>
    <tableColumn id="19" xr3:uid="{012CCA51-5B31-4D45-BF9C-2E017196DA7F}" name="Category (Reg. 2013)" totalsRowDxfId="762"/>
    <tableColumn id="22" xr3:uid="{E0445A59-2A2F-4FB2-8D33-DB43A45FE65E}" name="Category (Reg. 2018)" totalsRowDxfId="761"/>
    <tableColumn id="6" xr3:uid="{65E7640A-B903-4305-8CC4-7EDB36AE96FA}" name="KAMEL NO:" totalsRowDxfId="760"/>
    <tableColumn id="8" xr3:uid="{D61B88A6-407C-4BEA-B938-B1AE227DFF72}" name="Internal Certification Stamp No:" totalsRowDxfId="759"/>
    <tableColumn id="15" xr3:uid="{731CF534-2384-488D-A287-CF74A128880C}" name="initial_auth" totalsRowDxfId="758"/>
    <tableColumn id="3" xr3:uid="{00000000-0010-0000-0000-000003000000}" name="Department" totalsRowFunction="count" totalsRowDxfId="757"/>
    <tableColumn id="7" xr3:uid="{F3BB923C-951C-4608-AA54-DB6D6A7E79F9}" name="Position" totalsRowDxfId="756"/>
    <tableColumn id="10" xr3:uid="{4FB522C2-6781-424B-9E84-858D180058C3}" name="PhoneNumber" totalsRowDxfId="755"/>
    <tableColumn id="11" xr3:uid="{E8AD3610-948F-4F90-B6A9-6ED1810CD6C4}" name="Email" totalsRowDxfId="754"/>
    <tableColumn id="9" xr3:uid="{AAF7EBE2-D684-4045-A015-7D5938FC6D52}" name="HireDate" totalsRowDxfId="753" dataCellStyle="Hyperlink"/>
    <tableColumn id="13" xr3:uid="{6E1A399D-7A7E-41BC-B207-48BBE6B02B54}" name="Employment_Status" totalsRowDxfId="752"/>
    <tableColumn id="12" xr3:uid="{6C86945D-1315-45CC-A5DE-8B13EEAA1662}" name="Status" totalsRowFunction="count" totalsRowDxfId="751"/>
    <tableColumn id="16" xr3:uid="{3790BCE2-4687-400D-9FE8-DECEC6D502E2}" name="DOB" totalsRowDxfId="750"/>
    <tableColumn id="17" xr3:uid="{51A24586-2DBE-442F-AC20-CF3C4D48F34F}" name="birthplace" totalsRowDxfId="749"/>
    <tableColumn id="20" xr3:uid="{F193997D-36AC-4BDE-85DB-D861DB35C1BE}" name="E-AMEL" totalsRowDxfId="748"/>
    <tableColumn id="21" xr3:uid="{8BCE804D-5FDD-4D78-97DA-00EFA7E2893A}" name="G-AMEL" totalsRowDxfId="747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hyperlink" Target="mailto:mmuriukifrancis@yahoo.com" TargetMode="External"/><Relationship Id="rId21" Type="http://schemas.openxmlformats.org/officeDocument/2006/relationships/hyperlink" Target="mailto:ibnmajah17@gmail.com" TargetMode="External"/><Relationship Id="rId42" Type="http://schemas.openxmlformats.org/officeDocument/2006/relationships/hyperlink" Target="mailto:andrewondi@yahoo.com" TargetMode="External"/><Relationship Id="rId47" Type="http://schemas.openxmlformats.org/officeDocument/2006/relationships/hyperlink" Target="mailto:stephentunje98@gmail.com" TargetMode="External"/><Relationship Id="rId63" Type="http://schemas.openxmlformats.org/officeDocument/2006/relationships/hyperlink" Target="mailto:dickmzungu@gmail.com" TargetMode="External"/><Relationship Id="rId68" Type="http://schemas.openxmlformats.org/officeDocument/2006/relationships/printerSettings" Target="../printerSettings/printerSettings6.bin"/><Relationship Id="rId7" Type="http://schemas.openxmlformats.org/officeDocument/2006/relationships/hyperlink" Target="mailto:smithjunia@gmail.com" TargetMode="External"/><Relationship Id="rId2" Type="http://schemas.openxmlformats.org/officeDocument/2006/relationships/hyperlink" Target="mailto:churchillbill022@gmail.com" TargetMode="External"/><Relationship Id="rId16" Type="http://schemas.openxmlformats.org/officeDocument/2006/relationships/hyperlink" Target="mailto:chrispuskingori14@gmail.com" TargetMode="External"/><Relationship Id="rId29" Type="http://schemas.openxmlformats.org/officeDocument/2006/relationships/hyperlink" Target="mailto:musyokamosh@gmail.com" TargetMode="External"/><Relationship Id="rId11" Type="http://schemas.openxmlformats.org/officeDocument/2006/relationships/hyperlink" Target="mailto:ezzykare@yahoo.co.uk" TargetMode="External"/><Relationship Id="rId24" Type="http://schemas.openxmlformats.org/officeDocument/2006/relationships/hyperlink" Target="mailto:mbuvi2008@yahoo.com" TargetMode="External"/><Relationship Id="rId32" Type="http://schemas.openxmlformats.org/officeDocument/2006/relationships/hyperlink" Target="mailto:gideonmwasio@gmail.com" TargetMode="External"/><Relationship Id="rId37" Type="http://schemas.openxmlformats.org/officeDocument/2006/relationships/hyperlink" Target="mailto:nyawirajulius@gmail.com" TargetMode="External"/><Relationship Id="rId40" Type="http://schemas.openxmlformats.org/officeDocument/2006/relationships/hyperlink" Target="mailto:mikeolunga366@gmail.com" TargetMode="External"/><Relationship Id="rId45" Type="http://schemas.openxmlformats.org/officeDocument/2006/relationships/hyperlink" Target="mailto:sawesydney@gmail.com" TargetMode="External"/><Relationship Id="rId53" Type="http://schemas.openxmlformats.org/officeDocument/2006/relationships/hyperlink" Target="mailto:muisyo.james@protonmail.com" TargetMode="External"/><Relationship Id="rId58" Type="http://schemas.openxmlformats.org/officeDocument/2006/relationships/hyperlink" Target="mailto:alfredgiggs@gmail.com" TargetMode="External"/><Relationship Id="rId66" Type="http://schemas.openxmlformats.org/officeDocument/2006/relationships/hyperlink" Target="mailto:brianbrifams@gmail.com" TargetMode="External"/><Relationship Id="rId5" Type="http://schemas.openxmlformats.org/officeDocument/2006/relationships/hyperlink" Target="mailto:bensongitahi@yahoo.com" TargetMode="External"/><Relationship Id="rId61" Type="http://schemas.openxmlformats.org/officeDocument/2006/relationships/hyperlink" Target="mailto:martinchege44@gmail.com" TargetMode="External"/><Relationship Id="rId19" Type="http://schemas.openxmlformats.org/officeDocument/2006/relationships/hyperlink" Target="mailto:williamwashigadi@gmail.com" TargetMode="External"/><Relationship Id="rId14" Type="http://schemas.openxmlformats.org/officeDocument/2006/relationships/hyperlink" Target="mailto:benard.kibiwot123@gmail.com" TargetMode="External"/><Relationship Id="rId22" Type="http://schemas.openxmlformats.org/officeDocument/2006/relationships/hyperlink" Target="mailto:mongaret21@gmail.com" TargetMode="External"/><Relationship Id="rId27" Type="http://schemas.openxmlformats.org/officeDocument/2006/relationships/hyperlink" Target="mailto:patrickmusau34@gmail.com" TargetMode="External"/><Relationship Id="rId30" Type="http://schemas.openxmlformats.org/officeDocument/2006/relationships/hyperlink" Target="mailto:philmwania@yahoo.com" TargetMode="External"/><Relationship Id="rId35" Type="http://schemas.openxmlformats.org/officeDocument/2006/relationships/hyperlink" Target="mailto:mikenjihia@gmail.com" TargetMode="External"/><Relationship Id="rId43" Type="http://schemas.openxmlformats.org/officeDocument/2006/relationships/hyperlink" Target="mailto:reubenotieno69@gmail.com" TargetMode="External"/><Relationship Id="rId48" Type="http://schemas.openxmlformats.org/officeDocument/2006/relationships/hyperlink" Target="mailto:wachophoenix23@gmail.com" TargetMode="External"/><Relationship Id="rId56" Type="http://schemas.openxmlformats.org/officeDocument/2006/relationships/hyperlink" Target="mailto:wamaithaprudence35@gmail.com" TargetMode="External"/><Relationship Id="rId64" Type="http://schemas.openxmlformats.org/officeDocument/2006/relationships/hyperlink" Target="mailto:briyankingsman@gmail.com" TargetMode="External"/><Relationship Id="rId69" Type="http://schemas.openxmlformats.org/officeDocument/2006/relationships/table" Target="../tables/table6.xml"/><Relationship Id="rId8" Type="http://schemas.openxmlformats.org/officeDocument/2006/relationships/hyperlink" Target="mailto:dhurgins@gmail.com" TargetMode="External"/><Relationship Id="rId51" Type="http://schemas.openxmlformats.org/officeDocument/2006/relationships/hyperlink" Target="mailto:aumajudy6@gmail.com" TargetMode="External"/><Relationship Id="rId3" Type="http://schemas.openxmlformats.org/officeDocument/2006/relationships/hyperlink" Target="mailto:edupuwalter01@gmail.com" TargetMode="External"/><Relationship Id="rId12" Type="http://schemas.openxmlformats.org/officeDocument/2006/relationships/hyperlink" Target="mailto:educhemtips@gmail.com" TargetMode="External"/><Relationship Id="rId17" Type="http://schemas.openxmlformats.org/officeDocument/2006/relationships/hyperlink" Target="mailto:erungukdun@gmail.com" TargetMode="External"/><Relationship Id="rId25" Type="http://schemas.openxmlformats.org/officeDocument/2006/relationships/hyperlink" Target="mailto:johnmuriithi86@gmail.com" TargetMode="External"/><Relationship Id="rId33" Type="http://schemas.openxmlformats.org/officeDocument/2006/relationships/hyperlink" Target="mailto:paulmzera73@gmail.com" TargetMode="External"/><Relationship Id="rId38" Type="http://schemas.openxmlformats.org/officeDocument/2006/relationships/hyperlink" Target="mailto:romyisaac99@gmail.com" TargetMode="External"/><Relationship Id="rId46" Type="http://schemas.openxmlformats.org/officeDocument/2006/relationships/hyperlink" Target="mailto:titusshunza@gmail.com" TargetMode="External"/><Relationship Id="rId59" Type="http://schemas.openxmlformats.org/officeDocument/2006/relationships/hyperlink" Target="mailto:ericmwanje4@gmail.com" TargetMode="External"/><Relationship Id="rId67" Type="http://schemas.openxmlformats.org/officeDocument/2006/relationships/hyperlink" Target="mailto:muigairobert57@gmail.com" TargetMode="External"/><Relationship Id="rId20" Type="http://schemas.openxmlformats.org/officeDocument/2006/relationships/hyperlink" Target="mailto:jameskarobia90@gmail.com" TargetMode="External"/><Relationship Id="rId41" Type="http://schemas.openxmlformats.org/officeDocument/2006/relationships/hyperlink" Target="mailto:omondif507@gmail.com" TargetMode="External"/><Relationship Id="rId54" Type="http://schemas.openxmlformats.org/officeDocument/2006/relationships/hyperlink" Target="mailto:bruceayuku@gmail.com" TargetMode="External"/><Relationship Id="rId62" Type="http://schemas.openxmlformats.org/officeDocument/2006/relationships/hyperlink" Target="mailto:bwkimiti@gmail.com" TargetMode="External"/><Relationship Id="rId1" Type="http://schemas.openxmlformats.org/officeDocument/2006/relationships/hyperlink" Target="mailto:alex@flysafarilink.com" TargetMode="External"/><Relationship Id="rId6" Type="http://schemas.openxmlformats.org/officeDocument/2006/relationships/hyperlink" Target="mailto:elinahguda@gmail.com" TargetMode="External"/><Relationship Id="rId15" Type="http://schemas.openxmlformats.org/officeDocument/2006/relationships/hyperlink" Target="mailto:johnkinyanjui658@gmail.com" TargetMode="External"/><Relationship Id="rId23" Type="http://schemas.openxmlformats.org/officeDocument/2006/relationships/hyperlink" Target="mailto:jmuembu@gmail.com" TargetMode="External"/><Relationship Id="rId28" Type="http://schemas.openxmlformats.org/officeDocument/2006/relationships/hyperlink" Target="mailto:stephen.mutambu15@gmail.com" TargetMode="External"/><Relationship Id="rId36" Type="http://schemas.openxmlformats.org/officeDocument/2006/relationships/hyperlink" Target="mailto:angelinembithe18@gmail.com" TargetMode="External"/><Relationship Id="rId49" Type="http://schemas.openxmlformats.org/officeDocument/2006/relationships/hyperlink" Target="mailto:twaneal@gmail.com" TargetMode="External"/><Relationship Id="rId57" Type="http://schemas.openxmlformats.org/officeDocument/2006/relationships/hyperlink" Target="mailto:chelagatsit89@gmail.com" TargetMode="External"/><Relationship Id="rId10" Type="http://schemas.openxmlformats.org/officeDocument/2006/relationships/hyperlink" Target="mailto:stephenkariuki1986@yahoo.com" TargetMode="External"/><Relationship Id="rId31" Type="http://schemas.openxmlformats.org/officeDocument/2006/relationships/hyperlink" Target="mailto:patrick_njoroge002@yahoo.com" TargetMode="External"/><Relationship Id="rId44" Type="http://schemas.openxmlformats.org/officeDocument/2006/relationships/hyperlink" Target="mailto:munganiapeter11@gmail.com" TargetMode="External"/><Relationship Id="rId52" Type="http://schemas.openxmlformats.org/officeDocument/2006/relationships/hyperlink" Target="mailto:maukadorine5@gmail.com" TargetMode="External"/><Relationship Id="rId60" Type="http://schemas.openxmlformats.org/officeDocument/2006/relationships/hyperlink" Target="mailto:maingipye573@gmail.com" TargetMode="External"/><Relationship Id="rId65" Type="http://schemas.openxmlformats.org/officeDocument/2006/relationships/hyperlink" Target="mailto:fmmutonga@gmail.com" TargetMode="External"/><Relationship Id="rId4" Type="http://schemas.openxmlformats.org/officeDocument/2006/relationships/hyperlink" Target="mailto:afandilidambiza@gmail.com" TargetMode="External"/><Relationship Id="rId9" Type="http://schemas.openxmlformats.org/officeDocument/2006/relationships/hyperlink" Target="mailto:kananawycliffe@gmail.com" TargetMode="External"/><Relationship Id="rId13" Type="http://schemas.openxmlformats.org/officeDocument/2006/relationships/hyperlink" Target="mailto:kibetanui021@gmail.com" TargetMode="External"/><Relationship Id="rId18" Type="http://schemas.openxmlformats.org/officeDocument/2006/relationships/hyperlink" Target="mailto:fredmagotsi@gmail.com" TargetMode="External"/><Relationship Id="rId39" Type="http://schemas.openxmlformats.org/officeDocument/2006/relationships/hyperlink" Target="mailto:odhiambos28@gmail.com" TargetMode="External"/><Relationship Id="rId34" Type="http://schemas.openxmlformats.org/officeDocument/2006/relationships/hyperlink" Target="mailto:kendrakabeyeka@gmail.com" TargetMode="External"/><Relationship Id="rId50" Type="http://schemas.openxmlformats.org/officeDocument/2006/relationships/hyperlink" Target="mailto:annewambui48@gmail.com" TargetMode="External"/><Relationship Id="rId55" Type="http://schemas.openxmlformats.org/officeDocument/2006/relationships/hyperlink" Target="mailto:venessasusani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"/>
  <sheetViews>
    <sheetView workbookViewId="0">
      <selection activeCell="C21" sqref="C21"/>
    </sheetView>
  </sheetViews>
  <sheetFormatPr defaultRowHeight="15" x14ac:dyDescent="0.25"/>
  <cols>
    <col min="1" max="1" width="26.42578125" bestFit="1" customWidth="1"/>
    <col min="2" max="4" width="18.7109375" customWidth="1"/>
  </cols>
  <sheetData>
    <row r="1" spans="1:4" x14ac:dyDescent="0.25">
      <c r="A1" s="1" t="s">
        <v>0</v>
      </c>
      <c r="B1" s="1" t="s">
        <v>1</v>
      </c>
    </row>
    <row r="2" spans="1:4" x14ac:dyDescent="0.25">
      <c r="A2" t="s">
        <v>2</v>
      </c>
      <c r="B2">
        <v>24</v>
      </c>
    </row>
    <row r="3" spans="1:4" x14ac:dyDescent="0.25">
      <c r="A3" t="s">
        <v>3</v>
      </c>
      <c r="B3" s="2">
        <f ca="1">TODAY()</f>
        <v>46286</v>
      </c>
    </row>
    <row r="5" spans="1:4" x14ac:dyDescent="0.25">
      <c r="A5" s="1" t="s">
        <v>4</v>
      </c>
    </row>
    <row r="6" spans="1:4" x14ac:dyDescent="0.25">
      <c r="A6" s="118" t="s">
        <v>5</v>
      </c>
      <c r="B6" s="118"/>
      <c r="C6" s="118"/>
      <c r="D6" s="118"/>
    </row>
    <row r="7" spans="1:4" x14ac:dyDescent="0.25">
      <c r="A7" s="118"/>
      <c r="B7" s="118"/>
      <c r="C7" s="118"/>
      <c r="D7" s="118"/>
    </row>
    <row r="8" spans="1:4" x14ac:dyDescent="0.25">
      <c r="A8" s="118"/>
      <c r="B8" s="118"/>
      <c r="C8" s="118"/>
      <c r="D8" s="118"/>
    </row>
    <row r="9" spans="1:4" x14ac:dyDescent="0.25">
      <c r="A9" s="118"/>
      <c r="B9" s="118"/>
      <c r="C9" s="118"/>
      <c r="D9" s="118"/>
    </row>
  </sheetData>
  <mergeCells count="1">
    <mergeCell ref="A6:D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051E9-C179-41E3-A5A4-B1C4355D4438}">
  <sheetPr codeName="Sheet5">
    <pageSetUpPr fitToPage="1"/>
  </sheetPr>
  <dimension ref="A1:H161"/>
  <sheetViews>
    <sheetView showGridLines="0" tabSelected="1" topLeftCell="A5" zoomScale="90" zoomScaleNormal="90" zoomScaleSheetLayoutView="150" workbookViewId="0">
      <selection activeCell="D31" sqref="D31"/>
    </sheetView>
  </sheetViews>
  <sheetFormatPr defaultRowHeight="15" x14ac:dyDescent="0.25"/>
  <cols>
    <col min="1" max="1" width="5.7109375" customWidth="1"/>
    <col min="2" max="2" width="17" bestFit="1" customWidth="1"/>
    <col min="3" max="3" width="58.140625" style="11" customWidth="1"/>
    <col min="4" max="4" width="14.85546875" style="22" bestFit="1" customWidth="1"/>
    <col min="5" max="5" width="11.85546875" style="22" bestFit="1" customWidth="1"/>
    <col min="6" max="6" width="10.28515625" style="23" bestFit="1" customWidth="1"/>
    <col min="7" max="7" width="9.7109375" style="24" customWidth="1"/>
    <col min="8" max="8" width="5.7109375" customWidth="1"/>
  </cols>
  <sheetData>
    <row r="1" spans="1:8" ht="18.75" x14ac:dyDescent="0.3">
      <c r="B1" s="3" t="s">
        <v>521</v>
      </c>
    </row>
    <row r="2" spans="1:8" ht="18.75" x14ac:dyDescent="0.3">
      <c r="B2" s="3" t="s">
        <v>8</v>
      </c>
      <c r="C2" s="11" t="s">
        <v>599</v>
      </c>
    </row>
    <row r="3" spans="1:8" ht="18.75" x14ac:dyDescent="0.3">
      <c r="B3" s="3" t="s">
        <v>581</v>
      </c>
      <c r="C3" s="11" t="s">
        <v>524</v>
      </c>
    </row>
    <row r="6" spans="1:8" x14ac:dyDescent="0.25">
      <c r="A6" s="9"/>
      <c r="B6" s="31" t="s">
        <v>7</v>
      </c>
      <c r="C6" s="32" t="s">
        <v>14</v>
      </c>
      <c r="D6" s="33" t="s">
        <v>36</v>
      </c>
      <c r="E6" s="33" t="s">
        <v>37</v>
      </c>
      <c r="F6" s="33" t="s">
        <v>38</v>
      </c>
      <c r="G6" s="33" t="s">
        <v>39</v>
      </c>
      <c r="H6" s="9"/>
    </row>
    <row r="7" spans="1:8" x14ac:dyDescent="0.25">
      <c r="A7" s="28"/>
      <c r="B7" s="135" t="str" cm="1">
        <f t="array" aca="1" ref="B7:G35" ca="1">IFERROR(
  _xlfn.LET(
    _xlpm.deptF,TRIM($C$2),
    _xlpm.roleF,UPPER(TRIM($C$3)),
    _xlpm.statusF,UPPER(TRIM($C$4)),
    _xlpm.trainPID,TRIM(tblTraining[PersonID]),
    _xlpm.peoplePID,TRIM(tblPeople[PersonID]),
    _xlpm.pStatus,UPPER(TRIM(_xlfn.XLOOKUP(_xlpm.trainPID,_xlpm.peoplePID,tblPeople[Status],""))),
    _xlpm.pDept,UPPER(TRIM(_xlfn.XLOOKUP(_xlpm.trainPID,_xlpm.peoplePID,tblPeople[Department],""))),
    _xlpm.rPID,TRIM(tblPersonRoles[PersonID]),
    _xlpm.rRole,UPPER(TRIM(tblPersonRoles[RoleGroup])),
    _xlpm.rActive,UPPER(TRIM(tblPersonRoles[ActiveRole]&amp;"")),
    _xlpm.rActiveOK,--ISNUMBER(_xlfn.XMATCH(_xlpm.rActive,{"YES","Y","TRUE","1"})),
    _xlpm.trainingStatus,UPPER(TRIM(tblTraining[Status])),
    _xlpm.activeMask,--(_xlpm.pStatus="ACTIVE"),
    _xlpm.dueMask,--ISNUMBER(_xlfn.XMATCH(_xlpm.trainingStatus,{"OVERDUE","DUE SOON"})),
    _xlpm.deptMask,
      IF(
        OR(_xlpm.deptF="",UPPER(_xlpm.deptF)="ALL"),
        1,
        --(_xlpm.pDept=UPPER(_xlpm.deptF))
      ),
    _xlpm.roleMask,
      IF(
        OR(_xlpm.roleF="",_xlpm.roleF="ALL"),
        1,
        _xlfn.MAP(
          _xlpm.trainPID,
          _xlfn.LAMBDA(_xlpm.x,
            --(SUM((_xlpm.rPID=_xlpm.x)*_xlpm.rActiveOK*--(_xlpm.rRole=_xlpm.roleF))&gt;0)
          )
        )
      ),
    _xlpm.statusMask,
      IF(
        OR(_xlpm.statusF="",_xlpm.statusF="ALL"),
        1,
        --(_xlpm.trainingStatus=_xlpm.statusF)
      ),
    _xlpm.keep,_xlpm.activeMask*_xlpm.dueMask*_xlpm.deptMask*_xlpm.roleMask*_xlpm.statusMask*(_xlpm.trainPID&lt;&gt;""),
    _xlpm.d,_xlfn._xlws.FILTER(
        _xlfn.CHOOSECOLS(tblTraining[],3,5,6,7,8,9),
        _xlpm.keep,
        ""
      ),
    _xlpm.p,_xlfn.XLOOKUP(UPPER(TRIM(INDEX(_xlpm.d,,6))),{"OVERDUE","DUE SOON"},{1,2}),
    _xlfn.SORTBY(_xlpm.d,_xlpm.p,1,INDEX(_xlpm.d,,5),1)
  ),
"")</f>
        <v>Dickson Mzungu</v>
      </c>
      <c r="C7" s="135" t="str">
        <f ca="1"/>
        <v>DHC-8-400 Series with PWC 150A Engines (Refresher)</v>
      </c>
      <c r="D7" s="137">
        <f ca="1"/>
        <v>42173</v>
      </c>
      <c r="E7" s="137">
        <f ca="1"/>
        <v>42904</v>
      </c>
      <c r="F7" s="138">
        <f ca="1"/>
        <v>-3382</v>
      </c>
      <c r="G7" s="139" t="str">
        <f ca="1"/>
        <v>Overdue</v>
      </c>
      <c r="H7" s="28"/>
    </row>
    <row r="8" spans="1:8" ht="25.5" x14ac:dyDescent="0.25">
      <c r="A8" s="7"/>
      <c r="B8" s="135" t="str">
        <f ca="1"/>
        <v>Alfred Okudo</v>
      </c>
      <c r="C8" s="135" t="str">
        <f ca="1"/>
        <v>Pratt &amp; Whitney Canada PT6A Engine With P&amp;WC PT6A
20/ 27/ 41/ 42/ 60A/ 67D/ 112/ 114A/ 140 (Refresher)</v>
      </c>
      <c r="D8" s="137">
        <f ca="1"/>
        <v>42661</v>
      </c>
      <c r="E8" s="137">
        <f ca="1"/>
        <v>43391</v>
      </c>
      <c r="F8" s="138">
        <f ca="1"/>
        <v>-2895</v>
      </c>
      <c r="G8" s="139" t="str">
        <f ca="1"/>
        <v>Overdue</v>
      </c>
      <c r="H8" s="7"/>
    </row>
    <row r="9" spans="1:8" ht="25.5" x14ac:dyDescent="0.25">
      <c r="A9" s="7"/>
      <c r="B9" s="135" t="str">
        <f ca="1"/>
        <v>Julius Nyawira</v>
      </c>
      <c r="C9" s="135" t="str">
        <f ca="1"/>
        <v>DHC-8 100/200/300 with PWC 120/120A/121/123B/C/D/E Series Engines(Refresher)</v>
      </c>
      <c r="D9" s="137">
        <f ca="1"/>
        <v>43655</v>
      </c>
      <c r="E9" s="137">
        <f ca="1"/>
        <v>44386</v>
      </c>
      <c r="F9" s="138">
        <f ca="1"/>
        <v>-1900</v>
      </c>
      <c r="G9" s="139" t="str">
        <f ca="1"/>
        <v>Overdue</v>
      </c>
      <c r="H9" s="7"/>
    </row>
    <row r="10" spans="1:8" ht="25.5" x14ac:dyDescent="0.25">
      <c r="A10" s="7"/>
      <c r="B10" s="135" t="str">
        <f ca="1"/>
        <v>Julius Nyawira</v>
      </c>
      <c r="C10" s="135" t="str">
        <f ca="1"/>
        <v>Pratt &amp; Whitney Canada PT6A Engine With P&amp;WC PT6A
20/ 27/ 41/ 42/ 60A/ 67D/ 112/ 114A/ 140 (Refresher)</v>
      </c>
      <c r="D10" s="137">
        <f ca="1"/>
        <v>43655</v>
      </c>
      <c r="E10" s="137">
        <f ca="1"/>
        <v>44386</v>
      </c>
      <c r="F10" s="138">
        <f ca="1"/>
        <v>-1900</v>
      </c>
      <c r="G10" s="139" t="str">
        <f ca="1"/>
        <v>Overdue</v>
      </c>
      <c r="H10" s="7"/>
    </row>
    <row r="11" spans="1:8" ht="25.5" x14ac:dyDescent="0.25">
      <c r="A11" s="7"/>
      <c r="B11" s="135" t="str">
        <f ca="1"/>
        <v>Thomas Wambunya</v>
      </c>
      <c r="C11" s="135" t="str">
        <f ca="1"/>
        <v>DHC-8 100/200/300 with PWC 120/120A/121/123B/C/D/E Series Engines(Refresher)</v>
      </c>
      <c r="D11" s="137">
        <f ca="1"/>
        <v>43777</v>
      </c>
      <c r="E11" s="137">
        <f ca="1"/>
        <v>44508</v>
      </c>
      <c r="F11" s="138">
        <f ca="1"/>
        <v>-1778</v>
      </c>
      <c r="G11" s="139" t="str">
        <f ca="1"/>
        <v>Overdue</v>
      </c>
      <c r="H11" s="7"/>
    </row>
    <row r="12" spans="1:8" x14ac:dyDescent="0.25">
      <c r="A12" s="7"/>
      <c r="B12" s="135" t="str">
        <f ca="1"/>
        <v>Thomas Wambunya</v>
      </c>
      <c r="C12" s="135" t="str">
        <f ca="1"/>
        <v>First Aid Training (Refresher)</v>
      </c>
      <c r="D12" s="137">
        <f ca="1"/>
        <v>43707</v>
      </c>
      <c r="E12" s="137">
        <f ca="1"/>
        <v>44803</v>
      </c>
      <c r="F12" s="138">
        <f ca="1"/>
        <v>-1483</v>
      </c>
      <c r="G12" s="139" t="str">
        <f ca="1"/>
        <v>Overdue</v>
      </c>
      <c r="H12" s="7"/>
    </row>
    <row r="13" spans="1:8" x14ac:dyDescent="0.25">
      <c r="A13" s="7"/>
      <c r="B13" s="135" t="str">
        <f ca="1"/>
        <v>Julius Nyawira</v>
      </c>
      <c r="C13" s="135" t="str">
        <f ca="1"/>
        <v>Dangerous Goods Regulations (CBTA 7.3) (Refresher)</v>
      </c>
      <c r="D13" s="137">
        <f ca="1"/>
        <v>44109</v>
      </c>
      <c r="E13" s="137">
        <f ca="1"/>
        <v>44839</v>
      </c>
      <c r="F13" s="138">
        <f ca="1"/>
        <v>-1447</v>
      </c>
      <c r="G13" s="139" t="str">
        <f ca="1"/>
        <v>Overdue</v>
      </c>
      <c r="H13" s="7"/>
    </row>
    <row r="14" spans="1:8" x14ac:dyDescent="0.25">
      <c r="A14" s="7"/>
      <c r="B14" s="135" t="str">
        <f ca="1"/>
        <v>Stephen Mutambu</v>
      </c>
      <c r="C14" s="135" t="str">
        <f ca="1"/>
        <v>Crew Resource Management (Refresher)</v>
      </c>
      <c r="D14" s="137">
        <f ca="1"/>
        <v>44126</v>
      </c>
      <c r="E14" s="137">
        <f ca="1"/>
        <v>44856</v>
      </c>
      <c r="F14" s="138">
        <f ca="1"/>
        <v>-1430</v>
      </c>
      <c r="G14" s="139" t="str">
        <f ca="1"/>
        <v>Overdue</v>
      </c>
      <c r="H14" s="7"/>
    </row>
    <row r="15" spans="1:8" x14ac:dyDescent="0.25">
      <c r="A15" s="7"/>
      <c r="B15" s="135" t="str">
        <f ca="1"/>
        <v>Julius Nyawira</v>
      </c>
      <c r="C15" s="135" t="str">
        <f ca="1"/>
        <v>Crew Resource Management (Refresher)</v>
      </c>
      <c r="D15" s="137">
        <f ca="1"/>
        <v>44148</v>
      </c>
      <c r="E15" s="137">
        <f ca="1"/>
        <v>44878</v>
      </c>
      <c r="F15" s="138">
        <f ca="1"/>
        <v>-1405</v>
      </c>
      <c r="G15" s="139" t="str">
        <f ca="1"/>
        <v>Overdue</v>
      </c>
      <c r="H15" s="7"/>
    </row>
    <row r="16" spans="1:8" x14ac:dyDescent="0.25">
      <c r="A16" s="7"/>
      <c r="B16" s="135" t="str">
        <f ca="1"/>
        <v>Douglas Hurgins</v>
      </c>
      <c r="C16" s="135" t="str">
        <f ca="1"/>
        <v>First Aid Training (Refresher)</v>
      </c>
      <c r="D16" s="137">
        <f ca="1"/>
        <v>43797</v>
      </c>
      <c r="E16" s="137">
        <f ca="1"/>
        <v>44893</v>
      </c>
      <c r="F16" s="138">
        <f ca="1"/>
        <v>-1393</v>
      </c>
      <c r="G16" s="139" t="str">
        <f ca="1"/>
        <v>Overdue</v>
      </c>
      <c r="H16" s="7"/>
    </row>
    <row r="17" spans="1:8" x14ac:dyDescent="0.25">
      <c r="A17" s="7"/>
      <c r="B17" s="135" t="str">
        <f ca="1"/>
        <v>Patrick Musau</v>
      </c>
      <c r="C17" s="135" t="str">
        <f ca="1"/>
        <v>Dangerous Goods Regulations (CBTA 7.3) (Refresher)</v>
      </c>
      <c r="D17" s="137">
        <f ca="1"/>
        <v>44518</v>
      </c>
      <c r="E17" s="137">
        <f ca="1"/>
        <v>45248</v>
      </c>
      <c r="F17" s="138">
        <f ca="1"/>
        <v>-1038</v>
      </c>
      <c r="G17" s="139" t="str">
        <f ca="1"/>
        <v>Overdue</v>
      </c>
      <c r="H17" s="7"/>
    </row>
    <row r="18" spans="1:8" x14ac:dyDescent="0.25">
      <c r="A18" s="7"/>
      <c r="B18" s="135" t="str">
        <f ca="1"/>
        <v xml:space="preserve">Edwin Kemei </v>
      </c>
      <c r="C18" s="135" t="str">
        <f ca="1"/>
        <v>Human Factors in Aviation (Refresher)</v>
      </c>
      <c r="D18" s="137">
        <f ca="1"/>
        <v>45349</v>
      </c>
      <c r="E18" s="137">
        <f ca="1"/>
        <v>46080</v>
      </c>
      <c r="F18" s="138">
        <f ca="1"/>
        <v>-206</v>
      </c>
      <c r="G18" s="139" t="str">
        <f ca="1"/>
        <v>Overdue</v>
      </c>
      <c r="H18" s="7"/>
    </row>
    <row r="19" spans="1:8" x14ac:dyDescent="0.25">
      <c r="A19" s="7"/>
      <c r="B19" s="135" t="str">
        <f ca="1"/>
        <v>Gideon Mwasio</v>
      </c>
      <c r="C19" s="135" t="str">
        <f ca="1"/>
        <v>Fuel Tank Safety Phase 1 &amp; 2 Course (Refresher)</v>
      </c>
      <c r="D19" s="137">
        <f ca="1"/>
        <v>45421</v>
      </c>
      <c r="E19" s="137">
        <f ca="1"/>
        <v>46151</v>
      </c>
      <c r="F19" s="138">
        <f ca="1"/>
        <v>-135</v>
      </c>
      <c r="G19" s="139" t="str">
        <f ca="1"/>
        <v>Overdue</v>
      </c>
      <c r="H19" s="7"/>
    </row>
    <row r="20" spans="1:8" x14ac:dyDescent="0.25">
      <c r="A20" s="7"/>
      <c r="B20" s="135" t="str">
        <f ca="1"/>
        <v>William Mlati</v>
      </c>
      <c r="C20" s="135" t="str">
        <f ca="1"/>
        <v>Fuel Tank Safety Phase 1 &amp; 2 Course (Refresher)</v>
      </c>
      <c r="D20" s="137">
        <f ca="1"/>
        <v>45434</v>
      </c>
      <c r="E20" s="137">
        <f ca="1"/>
        <v>46164</v>
      </c>
      <c r="F20" s="138">
        <f ca="1"/>
        <v>-122</v>
      </c>
      <c r="G20" s="139" t="str">
        <f ca="1"/>
        <v>Overdue</v>
      </c>
      <c r="H20" s="7"/>
    </row>
    <row r="21" spans="1:8" x14ac:dyDescent="0.25">
      <c r="A21" s="7"/>
      <c r="B21" s="135" t="str">
        <f ca="1"/>
        <v>Francis Omondi</v>
      </c>
      <c r="C21" s="135" t="str">
        <f ca="1"/>
        <v>Human Factors in Aviation (Refresher)</v>
      </c>
      <c r="D21" s="137">
        <f ca="1"/>
        <v>45471</v>
      </c>
      <c r="E21" s="137">
        <f ca="1"/>
        <v>46201</v>
      </c>
      <c r="F21" s="138">
        <f ca="1"/>
        <v>-85</v>
      </c>
      <c r="G21" s="139" t="str">
        <f ca="1"/>
        <v>Overdue</v>
      </c>
      <c r="H21" s="7"/>
    </row>
    <row r="22" spans="1:8" x14ac:dyDescent="0.25">
      <c r="A22" s="7"/>
      <c r="B22" s="135" t="str">
        <f ca="1"/>
        <v>James Mugo</v>
      </c>
      <c r="C22" s="135" t="str">
        <f ca="1"/>
        <v>Fuel Tank Safety Phase 1 &amp; 2 Course (Refresher)</v>
      </c>
      <c r="D22" s="137">
        <f ca="1"/>
        <v>45495</v>
      </c>
      <c r="E22" s="137">
        <f ca="1"/>
        <v>46225</v>
      </c>
      <c r="F22" s="138">
        <f ca="1"/>
        <v>-61</v>
      </c>
      <c r="G22" s="139" t="str">
        <f ca="1"/>
        <v>Overdue</v>
      </c>
      <c r="H22" s="7"/>
    </row>
    <row r="23" spans="1:8" x14ac:dyDescent="0.25">
      <c r="A23" s="7"/>
      <c r="B23" s="135" t="str">
        <f ca="1"/>
        <v>Hannah Wambui</v>
      </c>
      <c r="C23" s="135" t="str">
        <f ca="1"/>
        <v>Dangerous Goods Regulations (CBTA 7.3) (Refresher)</v>
      </c>
      <c r="D23" s="137">
        <f ca="1"/>
        <v>45503</v>
      </c>
      <c r="E23" s="137">
        <f ca="1"/>
        <v>46233</v>
      </c>
      <c r="F23" s="138">
        <f ca="1"/>
        <v>-53</v>
      </c>
      <c r="G23" s="139" t="str">
        <f ca="1"/>
        <v>Overdue</v>
      </c>
      <c r="H23" s="7"/>
    </row>
    <row r="24" spans="1:8" x14ac:dyDescent="0.25">
      <c r="A24" s="7"/>
      <c r="B24" s="135" t="str">
        <f ca="1"/>
        <v>Philip Mwania</v>
      </c>
      <c r="C24" s="135" t="str">
        <f ca="1"/>
        <v>Aircraft Maintenance Engineers' Licence</v>
      </c>
      <c r="D24" s="137">
        <f ca="1"/>
        <v>45573</v>
      </c>
      <c r="E24" s="137">
        <f ca="1"/>
        <v>46303</v>
      </c>
      <c r="F24" s="138">
        <f ca="1"/>
        <v>17</v>
      </c>
      <c r="G24" s="139" t="str">
        <f ca="1"/>
        <v>Due Soon</v>
      </c>
      <c r="H24" s="7"/>
    </row>
    <row r="25" spans="1:8" ht="25.5" x14ac:dyDescent="0.25">
      <c r="A25" s="7"/>
      <c r="B25" s="135" t="str">
        <f ca="1"/>
        <v>Paul Mzera</v>
      </c>
      <c r="C25" s="135" t="str">
        <f ca="1"/>
        <v>Cessna 208 Series (Caravan) With P&amp;WC PT6A-114/ -114A/ -140 Engines (Refresher)</v>
      </c>
      <c r="D25" s="137">
        <f ca="1"/>
        <v>45574</v>
      </c>
      <c r="E25" s="137">
        <f ca="1"/>
        <v>46304</v>
      </c>
      <c r="F25" s="138">
        <f ca="1"/>
        <v>18</v>
      </c>
      <c r="G25" s="139" t="str">
        <f ca="1"/>
        <v>Due Soon</v>
      </c>
      <c r="H25" s="7"/>
    </row>
    <row r="26" spans="1:8" ht="25.5" x14ac:dyDescent="0.25">
      <c r="A26" s="7"/>
      <c r="B26" s="135" t="str">
        <f ca="1"/>
        <v>Paul Mzera</v>
      </c>
      <c r="C26" s="135" t="str">
        <f ca="1"/>
        <v>DHC-8 100/200/300 with PWC 120/120A/121/123B/C/D/E Series Engines(Refresher)</v>
      </c>
      <c r="D26" s="137">
        <f ca="1"/>
        <v>45583</v>
      </c>
      <c r="E26" s="137">
        <f ca="1"/>
        <v>46313</v>
      </c>
      <c r="F26" s="138">
        <f ca="1"/>
        <v>27</v>
      </c>
      <c r="G26" s="139" t="str">
        <f ca="1"/>
        <v>Due Soon</v>
      </c>
      <c r="H26" s="7"/>
    </row>
    <row r="27" spans="1:8" x14ac:dyDescent="0.25">
      <c r="A27" s="7"/>
      <c r="B27" s="135" t="str">
        <f ca="1"/>
        <v>Elina Guda</v>
      </c>
      <c r="C27" s="135" t="str">
        <f ca="1"/>
        <v>Safety Management Systems (Refresher)</v>
      </c>
      <c r="D27" s="137">
        <f ca="1"/>
        <v>45590</v>
      </c>
      <c r="E27" s="137">
        <f ca="1"/>
        <v>46320</v>
      </c>
      <c r="F27" s="138">
        <f ca="1"/>
        <v>34</v>
      </c>
      <c r="G27" s="139" t="str">
        <f ca="1"/>
        <v>Due Soon</v>
      </c>
      <c r="H27" s="7"/>
    </row>
    <row r="28" spans="1:8" x14ac:dyDescent="0.25">
      <c r="A28" s="7"/>
      <c r="B28" s="135" t="str">
        <f ca="1"/>
        <v>Samuel Okoth</v>
      </c>
      <c r="C28" s="135" t="str">
        <f ca="1"/>
        <v>Safety Management Systems (Refresher)</v>
      </c>
      <c r="D28" s="137">
        <f ca="1"/>
        <v>45590</v>
      </c>
      <c r="E28" s="137">
        <f ca="1"/>
        <v>46320</v>
      </c>
      <c r="F28" s="138">
        <f ca="1"/>
        <v>34</v>
      </c>
      <c r="G28" s="139" t="str">
        <f ca="1"/>
        <v>Due Soon</v>
      </c>
      <c r="H28" s="7"/>
    </row>
    <row r="29" spans="1:8" x14ac:dyDescent="0.25">
      <c r="A29" s="7"/>
      <c r="B29" s="135" t="str">
        <f ca="1"/>
        <v>Urbanus Muema</v>
      </c>
      <c r="C29" s="135" t="str">
        <f ca="1"/>
        <v>Safety Management Systems (Refresher)</v>
      </c>
      <c r="D29" s="137">
        <f ca="1"/>
        <v>45590</v>
      </c>
      <c r="E29" s="137">
        <f ca="1"/>
        <v>46320</v>
      </c>
      <c r="F29" s="138">
        <f ca="1"/>
        <v>34</v>
      </c>
      <c r="G29" s="139" t="str">
        <f ca="1"/>
        <v>Due Soon</v>
      </c>
      <c r="H29" s="7"/>
    </row>
    <row r="30" spans="1:8" x14ac:dyDescent="0.25">
      <c r="A30" s="7"/>
      <c r="B30" s="135" t="str">
        <f ca="1"/>
        <v>Bernard Kibiwott</v>
      </c>
      <c r="C30" s="135" t="str">
        <f ca="1"/>
        <v>Safety Management Systems (Refresher)</v>
      </c>
      <c r="D30" s="137">
        <f ca="1"/>
        <v>45590</v>
      </c>
      <c r="E30" s="137">
        <f ca="1"/>
        <v>46320</v>
      </c>
      <c r="F30" s="138">
        <f ca="1"/>
        <v>34</v>
      </c>
      <c r="G30" s="139" t="str">
        <f ca="1"/>
        <v>Due Soon</v>
      </c>
      <c r="H30" s="7"/>
    </row>
    <row r="31" spans="1:8" ht="25.5" x14ac:dyDescent="0.25">
      <c r="A31" s="7"/>
      <c r="B31" s="135" t="str">
        <f ca="1"/>
        <v>Andrew Ondiek</v>
      </c>
      <c r="C31" s="135" t="str">
        <f ca="1"/>
        <v>Cessna 208 Series (Caravan) With P&amp;WC PT6A-114/ -114A/ -140 Engines (Refresher)</v>
      </c>
      <c r="D31" s="137">
        <f ca="1"/>
        <v>45590</v>
      </c>
      <c r="E31" s="137">
        <f ca="1"/>
        <v>46320</v>
      </c>
      <c r="F31" s="138">
        <f ca="1"/>
        <v>34</v>
      </c>
      <c r="G31" s="139" t="str">
        <f ca="1"/>
        <v>Due Soon</v>
      </c>
      <c r="H31" s="7"/>
    </row>
    <row r="32" spans="1:8" x14ac:dyDescent="0.25">
      <c r="A32" s="7"/>
      <c r="B32" s="135" t="str">
        <f ca="1"/>
        <v>Stephen Mutambu</v>
      </c>
      <c r="C32" s="135" t="str">
        <f ca="1"/>
        <v>Core Instructional Technique (Refresher)</v>
      </c>
      <c r="D32" s="137">
        <f ca="1"/>
        <v>45597</v>
      </c>
      <c r="E32" s="137">
        <f ca="1"/>
        <v>46327</v>
      </c>
      <c r="F32" s="138">
        <f ca="1"/>
        <v>41</v>
      </c>
      <c r="G32" s="139" t="str">
        <f ca="1"/>
        <v>Due Soon</v>
      </c>
      <c r="H32" s="7"/>
    </row>
    <row r="33" spans="1:8" x14ac:dyDescent="0.25">
      <c r="A33" s="7"/>
      <c r="B33" s="135" t="str">
        <f ca="1"/>
        <v>Paul Mzera</v>
      </c>
      <c r="C33" s="135" t="str">
        <f ca="1"/>
        <v>Human Factors in Aviation (Refresher)</v>
      </c>
      <c r="D33" s="137">
        <f ca="1"/>
        <v>45603</v>
      </c>
      <c r="E33" s="137">
        <f ca="1"/>
        <v>46333</v>
      </c>
      <c r="F33" s="138">
        <f ca="1"/>
        <v>47</v>
      </c>
      <c r="G33" s="139" t="str">
        <f ca="1"/>
        <v>Due Soon</v>
      </c>
      <c r="H33" s="7"/>
    </row>
    <row r="34" spans="1:8" x14ac:dyDescent="0.25">
      <c r="A34" s="7"/>
      <c r="B34" s="135" t="str">
        <f ca="1"/>
        <v>Urbanus Muema</v>
      </c>
      <c r="C34" s="135" t="str">
        <f ca="1"/>
        <v>Human Factors in Aviation (Refresher)</v>
      </c>
      <c r="D34" s="137">
        <f ca="1"/>
        <v>45606</v>
      </c>
      <c r="E34" s="137">
        <f ca="1"/>
        <v>46336</v>
      </c>
      <c r="F34" s="138">
        <f ca="1"/>
        <v>50</v>
      </c>
      <c r="G34" s="139" t="str">
        <f ca="1"/>
        <v>Due Soon</v>
      </c>
      <c r="H34" s="7"/>
    </row>
    <row r="35" spans="1:8" x14ac:dyDescent="0.25">
      <c r="A35" s="7"/>
      <c r="B35" s="135" t="str">
        <f ca="1"/>
        <v>Titus Shunza</v>
      </c>
      <c r="C35" s="135" t="str">
        <f ca="1"/>
        <v>Aircraft Maintenance Engineers' Licence</v>
      </c>
      <c r="D35" s="137">
        <f ca="1"/>
        <v>45607</v>
      </c>
      <c r="E35" s="137">
        <f ca="1"/>
        <v>46337</v>
      </c>
      <c r="F35" s="138">
        <f ca="1"/>
        <v>51</v>
      </c>
      <c r="G35" s="139" t="str">
        <f ca="1"/>
        <v>Due Soon</v>
      </c>
      <c r="H35" s="7"/>
    </row>
    <row r="36" spans="1:8" x14ac:dyDescent="0.25">
      <c r="A36" s="7"/>
      <c r="B36" s="69"/>
      <c r="C36" s="69"/>
      <c r="D36" s="97"/>
      <c r="E36" s="97"/>
      <c r="F36" s="98"/>
      <c r="G36" s="71"/>
      <c r="H36" s="7"/>
    </row>
    <row r="37" spans="1:8" x14ac:dyDescent="0.25">
      <c r="A37" s="7"/>
      <c r="B37" s="69"/>
      <c r="C37" s="69"/>
      <c r="D37" s="97"/>
      <c r="E37" s="97"/>
      <c r="F37" s="98"/>
      <c r="G37" s="71"/>
      <c r="H37" s="7"/>
    </row>
    <row r="38" spans="1:8" x14ac:dyDescent="0.25">
      <c r="A38" s="7"/>
      <c r="B38" s="69"/>
      <c r="C38" s="69"/>
      <c r="D38" s="97"/>
      <c r="E38" s="97"/>
      <c r="F38" s="98"/>
      <c r="G38" s="71"/>
      <c r="H38" s="7"/>
    </row>
    <row r="39" spans="1:8" x14ac:dyDescent="0.25">
      <c r="A39" s="7"/>
      <c r="B39" s="69"/>
      <c r="C39" s="69"/>
      <c r="D39" s="97"/>
      <c r="E39" s="97"/>
      <c r="F39" s="98"/>
      <c r="G39" s="71"/>
      <c r="H39" s="7"/>
    </row>
    <row r="40" spans="1:8" x14ac:dyDescent="0.25">
      <c r="A40" s="7"/>
      <c r="B40" s="69"/>
      <c r="C40" s="69"/>
      <c r="D40" s="97"/>
      <c r="E40" s="97"/>
      <c r="F40" s="98"/>
      <c r="G40" s="71"/>
      <c r="H40" s="7"/>
    </row>
    <row r="41" spans="1:8" x14ac:dyDescent="0.25">
      <c r="A41" s="7"/>
      <c r="B41" s="69"/>
      <c r="C41" s="69"/>
      <c r="D41" s="97"/>
      <c r="E41" s="97"/>
      <c r="F41" s="98"/>
      <c r="G41" s="71"/>
      <c r="H41" s="7"/>
    </row>
    <row r="42" spans="1:8" x14ac:dyDescent="0.25">
      <c r="A42" s="7"/>
      <c r="B42" s="69"/>
      <c r="C42" s="69"/>
      <c r="D42" s="97"/>
      <c r="E42" s="97"/>
      <c r="F42" s="98"/>
      <c r="G42" s="71"/>
      <c r="H42" s="7"/>
    </row>
    <row r="43" spans="1:8" x14ac:dyDescent="0.25">
      <c r="A43" s="7"/>
      <c r="B43" s="69"/>
      <c r="C43" s="69"/>
      <c r="D43" s="97"/>
      <c r="E43" s="97"/>
      <c r="F43" s="98"/>
      <c r="G43" s="71"/>
      <c r="H43" s="7"/>
    </row>
    <row r="44" spans="1:8" x14ac:dyDescent="0.25">
      <c r="A44" s="7"/>
      <c r="B44" s="69"/>
      <c r="C44" s="69"/>
      <c r="D44" s="97"/>
      <c r="E44" s="97"/>
      <c r="F44" s="98"/>
      <c r="G44" s="71"/>
      <c r="H44" s="7"/>
    </row>
    <row r="45" spans="1:8" x14ac:dyDescent="0.25">
      <c r="A45" s="7"/>
      <c r="B45" s="69"/>
      <c r="C45" s="69"/>
      <c r="D45" s="97"/>
      <c r="E45" s="97"/>
      <c r="F45" s="98"/>
      <c r="G45" s="71"/>
      <c r="H45" s="7"/>
    </row>
    <row r="46" spans="1:8" x14ac:dyDescent="0.25">
      <c r="A46" s="7"/>
      <c r="B46" s="69"/>
      <c r="C46" s="69"/>
      <c r="D46" s="97"/>
      <c r="E46" s="97"/>
      <c r="F46" s="98"/>
      <c r="G46" s="71"/>
      <c r="H46" s="7"/>
    </row>
    <row r="47" spans="1:8" x14ac:dyDescent="0.25">
      <c r="A47" s="7"/>
      <c r="B47" s="69"/>
      <c r="C47" s="69"/>
      <c r="D47" s="97"/>
      <c r="E47" s="97"/>
      <c r="F47" s="98"/>
      <c r="G47" s="71"/>
      <c r="H47" s="7"/>
    </row>
    <row r="48" spans="1:8" x14ac:dyDescent="0.25">
      <c r="A48" s="7"/>
      <c r="B48" s="69"/>
      <c r="C48" s="69"/>
      <c r="D48" s="97"/>
      <c r="E48" s="97"/>
      <c r="F48" s="98"/>
      <c r="G48" s="71"/>
      <c r="H48" s="7"/>
    </row>
    <row r="49" spans="1:8" x14ac:dyDescent="0.25">
      <c r="A49" s="7"/>
      <c r="B49" s="69"/>
      <c r="C49" s="69"/>
      <c r="D49" s="97"/>
      <c r="E49" s="97"/>
      <c r="F49" s="98"/>
      <c r="G49" s="71"/>
      <c r="H49" s="7"/>
    </row>
    <row r="50" spans="1:8" x14ac:dyDescent="0.25">
      <c r="A50" s="7"/>
      <c r="B50" s="69"/>
      <c r="C50" s="69"/>
      <c r="D50" s="97"/>
      <c r="E50" s="97"/>
      <c r="F50" s="98"/>
      <c r="G50" s="71"/>
      <c r="H50" s="7"/>
    </row>
    <row r="51" spans="1:8" x14ac:dyDescent="0.25">
      <c r="A51" s="7"/>
      <c r="B51" s="69"/>
      <c r="C51" s="69"/>
      <c r="D51" s="97"/>
      <c r="E51" s="97"/>
      <c r="F51" s="98"/>
      <c r="G51" s="71"/>
      <c r="H51" s="7"/>
    </row>
    <row r="52" spans="1:8" x14ac:dyDescent="0.25">
      <c r="A52" s="7"/>
      <c r="B52" s="69"/>
      <c r="C52" s="69"/>
      <c r="D52" s="97"/>
      <c r="E52" s="97"/>
      <c r="F52" s="98"/>
      <c r="G52" s="71"/>
      <c r="H52" s="7"/>
    </row>
    <row r="53" spans="1:8" x14ac:dyDescent="0.25">
      <c r="A53" s="7"/>
      <c r="B53" s="69"/>
      <c r="C53" s="69"/>
      <c r="D53" s="97"/>
      <c r="E53" s="97"/>
      <c r="F53" s="98"/>
      <c r="G53" s="71"/>
      <c r="H53" s="7"/>
    </row>
    <row r="54" spans="1:8" x14ac:dyDescent="0.25">
      <c r="A54" s="7"/>
      <c r="B54" s="69"/>
      <c r="C54" s="69"/>
      <c r="D54" s="97"/>
      <c r="E54" s="97"/>
      <c r="F54" s="98"/>
      <c r="G54" s="71"/>
      <c r="H54" s="7"/>
    </row>
    <row r="55" spans="1:8" x14ac:dyDescent="0.25">
      <c r="A55" s="7"/>
      <c r="B55" s="69"/>
      <c r="C55" s="69"/>
      <c r="D55" s="97"/>
      <c r="E55" s="97"/>
      <c r="F55" s="98"/>
      <c r="G55" s="71"/>
      <c r="H55" s="7"/>
    </row>
    <row r="56" spans="1:8" x14ac:dyDescent="0.25">
      <c r="A56" s="7"/>
      <c r="B56" s="69"/>
      <c r="C56" s="69"/>
      <c r="D56" s="70"/>
      <c r="E56" s="70"/>
      <c r="F56" s="71"/>
      <c r="G56" s="71"/>
      <c r="H56" s="7"/>
    </row>
    <row r="57" spans="1:8" x14ac:dyDescent="0.25">
      <c r="A57" s="7"/>
      <c r="B57" s="69"/>
      <c r="C57" s="69"/>
      <c r="D57" s="70"/>
      <c r="E57" s="70"/>
      <c r="F57" s="71"/>
      <c r="G57" s="71"/>
      <c r="H57" s="7"/>
    </row>
    <row r="58" spans="1:8" x14ac:dyDescent="0.25">
      <c r="A58" s="7"/>
      <c r="B58" s="69"/>
      <c r="C58" s="69"/>
      <c r="D58" s="70"/>
      <c r="E58" s="70"/>
      <c r="F58" s="71"/>
      <c r="G58" s="71"/>
      <c r="H58" s="7"/>
    </row>
    <row r="59" spans="1:8" x14ac:dyDescent="0.25">
      <c r="A59" s="7"/>
      <c r="B59" s="69"/>
      <c r="C59" s="69"/>
      <c r="D59" s="70"/>
      <c r="E59" s="70"/>
      <c r="F59" s="71"/>
      <c r="G59" s="71"/>
      <c r="H59" s="7"/>
    </row>
    <row r="60" spans="1:8" x14ac:dyDescent="0.25">
      <c r="A60" s="7"/>
      <c r="B60" s="69"/>
      <c r="C60" s="69"/>
      <c r="D60" s="70"/>
      <c r="E60" s="70"/>
      <c r="F60" s="71"/>
      <c r="G60" s="71"/>
      <c r="H60" s="7"/>
    </row>
    <row r="61" spans="1:8" x14ac:dyDescent="0.25">
      <c r="A61" s="7"/>
      <c r="B61" s="69"/>
      <c r="C61" s="69"/>
      <c r="D61" s="70"/>
      <c r="E61" s="70"/>
      <c r="F61" s="71"/>
      <c r="G61" s="71"/>
      <c r="H61" s="7"/>
    </row>
    <row r="62" spans="1:8" x14ac:dyDescent="0.25">
      <c r="A62" s="7"/>
      <c r="B62" s="69"/>
      <c r="C62" s="69"/>
      <c r="D62" s="70"/>
      <c r="E62" s="70"/>
      <c r="F62" s="71"/>
      <c r="G62" s="71"/>
      <c r="H62" s="7"/>
    </row>
    <row r="63" spans="1:8" x14ac:dyDescent="0.25">
      <c r="A63" s="7"/>
      <c r="B63" s="69"/>
      <c r="C63" s="69"/>
      <c r="D63" s="70"/>
      <c r="E63" s="70"/>
      <c r="F63" s="71"/>
      <c r="G63" s="71"/>
      <c r="H63" s="7"/>
    </row>
    <row r="64" spans="1:8" x14ac:dyDescent="0.25">
      <c r="A64" s="7"/>
      <c r="B64" s="69"/>
      <c r="C64" s="69"/>
      <c r="D64" s="70"/>
      <c r="E64" s="70"/>
      <c r="F64" s="71"/>
      <c r="G64" s="71"/>
      <c r="H64" s="7"/>
    </row>
    <row r="65" spans="1:8" x14ac:dyDescent="0.25">
      <c r="A65" s="7"/>
      <c r="B65" s="69"/>
      <c r="C65" s="69"/>
      <c r="D65" s="70"/>
      <c r="E65" s="70"/>
      <c r="F65" s="71"/>
      <c r="G65" s="71"/>
      <c r="H65" s="7"/>
    </row>
    <row r="66" spans="1:8" x14ac:dyDescent="0.25">
      <c r="A66" s="7"/>
      <c r="B66" s="69"/>
      <c r="C66" s="69"/>
      <c r="D66" s="70"/>
      <c r="E66" s="70"/>
      <c r="F66" s="71"/>
      <c r="G66" s="71"/>
      <c r="H66" s="7"/>
    </row>
    <row r="67" spans="1:8" x14ac:dyDescent="0.25">
      <c r="A67" s="7"/>
      <c r="B67" s="69"/>
      <c r="C67" s="69"/>
      <c r="D67" s="70"/>
      <c r="E67" s="70"/>
      <c r="F67" s="71"/>
      <c r="G67" s="71"/>
      <c r="H67" s="7"/>
    </row>
    <row r="68" spans="1:8" x14ac:dyDescent="0.25">
      <c r="A68" s="7"/>
      <c r="B68" s="69"/>
      <c r="C68" s="69"/>
      <c r="D68" s="70"/>
      <c r="E68" s="70"/>
      <c r="F68" s="71"/>
      <c r="G68" s="71"/>
      <c r="H68" s="7"/>
    </row>
    <row r="69" spans="1:8" x14ac:dyDescent="0.25">
      <c r="A69" s="7"/>
      <c r="B69" s="69"/>
      <c r="C69" s="69"/>
      <c r="D69" s="70"/>
      <c r="E69" s="70"/>
      <c r="F69" s="71"/>
      <c r="G69" s="71"/>
      <c r="H69" s="7"/>
    </row>
    <row r="70" spans="1:8" x14ac:dyDescent="0.25">
      <c r="A70" s="7"/>
      <c r="B70" s="69"/>
      <c r="C70" s="69"/>
      <c r="D70" s="70"/>
      <c r="E70" s="70"/>
      <c r="F70" s="71"/>
      <c r="G70" s="71"/>
      <c r="H70" s="7"/>
    </row>
    <row r="71" spans="1:8" x14ac:dyDescent="0.25">
      <c r="A71" s="7"/>
      <c r="B71" s="69"/>
      <c r="C71" s="69"/>
      <c r="D71" s="70"/>
      <c r="E71" s="70"/>
      <c r="F71" s="71"/>
      <c r="G71" s="71"/>
      <c r="H71" s="7"/>
    </row>
    <row r="72" spans="1:8" x14ac:dyDescent="0.25">
      <c r="A72" s="7"/>
      <c r="B72" s="69"/>
      <c r="C72" s="69"/>
      <c r="D72" s="70"/>
      <c r="E72" s="70"/>
      <c r="F72" s="71"/>
      <c r="G72" s="71"/>
      <c r="H72" s="7"/>
    </row>
    <row r="73" spans="1:8" x14ac:dyDescent="0.25">
      <c r="A73" s="7"/>
      <c r="B73" s="69"/>
      <c r="C73" s="69"/>
      <c r="D73" s="70"/>
      <c r="E73" s="70"/>
      <c r="F73" s="71"/>
      <c r="G73" s="71"/>
      <c r="H73" s="7"/>
    </row>
    <row r="74" spans="1:8" x14ac:dyDescent="0.25">
      <c r="A74" s="7"/>
      <c r="B74" s="69"/>
      <c r="C74" s="69"/>
      <c r="D74" s="70"/>
      <c r="E74" s="70"/>
      <c r="F74" s="71"/>
      <c r="G74" s="71"/>
      <c r="H74" s="7"/>
    </row>
    <row r="75" spans="1:8" x14ac:dyDescent="0.25">
      <c r="A75" s="7"/>
      <c r="B75" s="69"/>
      <c r="C75" s="69"/>
      <c r="D75" s="70"/>
      <c r="E75" s="70"/>
      <c r="F75" s="71"/>
      <c r="G75" s="71"/>
      <c r="H75" s="7"/>
    </row>
    <row r="76" spans="1:8" x14ac:dyDescent="0.25">
      <c r="A76" s="7"/>
      <c r="B76" s="69"/>
      <c r="C76" s="69"/>
      <c r="D76" s="70"/>
      <c r="E76" s="70"/>
      <c r="F76" s="71"/>
      <c r="G76" s="71"/>
      <c r="H76" s="7"/>
    </row>
    <row r="77" spans="1:8" x14ac:dyDescent="0.25">
      <c r="A77" s="7"/>
      <c r="B77" s="69"/>
      <c r="C77" s="69"/>
      <c r="D77" s="70"/>
      <c r="E77" s="70"/>
      <c r="F77" s="71"/>
      <c r="G77" s="71"/>
      <c r="H77" s="7"/>
    </row>
    <row r="78" spans="1:8" x14ac:dyDescent="0.25">
      <c r="A78" s="7"/>
      <c r="B78" s="69"/>
      <c r="C78" s="69"/>
      <c r="D78" s="70"/>
      <c r="E78" s="70"/>
      <c r="F78" s="71"/>
      <c r="G78" s="71"/>
      <c r="H78" s="7"/>
    </row>
    <row r="79" spans="1:8" x14ac:dyDescent="0.25">
      <c r="A79" s="7"/>
      <c r="B79" s="69"/>
      <c r="C79" s="69"/>
      <c r="D79" s="70"/>
      <c r="E79" s="70"/>
      <c r="F79" s="71"/>
      <c r="G79" s="71"/>
      <c r="H79" s="7"/>
    </row>
    <row r="80" spans="1:8" x14ac:dyDescent="0.25">
      <c r="A80" s="7"/>
      <c r="B80" s="69"/>
      <c r="C80" s="69"/>
      <c r="D80" s="70"/>
      <c r="E80" s="70"/>
      <c r="F80" s="71"/>
      <c r="G80" s="71"/>
      <c r="H80" s="7"/>
    </row>
    <row r="81" spans="1:8" x14ac:dyDescent="0.25">
      <c r="A81" s="7"/>
      <c r="B81" s="69"/>
      <c r="C81" s="69"/>
      <c r="D81" s="70"/>
      <c r="E81" s="70"/>
      <c r="F81" s="71"/>
      <c r="G81" s="71"/>
      <c r="H81" s="7"/>
    </row>
    <row r="82" spans="1:8" x14ac:dyDescent="0.25">
      <c r="A82" s="7"/>
      <c r="B82" s="69"/>
      <c r="C82" s="69"/>
      <c r="D82" s="70"/>
      <c r="E82" s="70"/>
      <c r="F82" s="71"/>
      <c r="G82" s="71"/>
      <c r="H82" s="7"/>
    </row>
    <row r="83" spans="1:8" x14ac:dyDescent="0.25">
      <c r="A83" s="7"/>
      <c r="B83" s="69"/>
      <c r="C83" s="69"/>
      <c r="D83" s="70"/>
      <c r="E83" s="70"/>
      <c r="F83" s="71"/>
      <c r="G83" s="71"/>
      <c r="H83" s="7"/>
    </row>
    <row r="84" spans="1:8" x14ac:dyDescent="0.25">
      <c r="A84" s="7"/>
      <c r="B84" s="69"/>
      <c r="C84" s="69"/>
      <c r="D84" s="70"/>
      <c r="E84" s="70"/>
      <c r="F84" s="71"/>
      <c r="G84" s="71"/>
      <c r="H84" s="7"/>
    </row>
    <row r="85" spans="1:8" x14ac:dyDescent="0.25">
      <c r="A85" s="7"/>
      <c r="B85" s="69"/>
      <c r="C85" s="69"/>
      <c r="D85" s="70"/>
      <c r="E85" s="70"/>
      <c r="F85" s="71"/>
      <c r="G85" s="71"/>
      <c r="H85" s="7"/>
    </row>
    <row r="86" spans="1:8" x14ac:dyDescent="0.25">
      <c r="A86" s="7"/>
      <c r="B86" s="69"/>
      <c r="C86" s="69"/>
      <c r="D86" s="70"/>
      <c r="E86" s="70"/>
      <c r="F86" s="71"/>
      <c r="G86" s="71"/>
      <c r="H86" s="7"/>
    </row>
    <row r="87" spans="1:8" x14ac:dyDescent="0.25">
      <c r="A87" s="7"/>
      <c r="B87" s="69"/>
      <c r="C87" s="69"/>
      <c r="D87" s="70"/>
      <c r="E87" s="70"/>
      <c r="F87" s="71"/>
      <c r="G87" s="71"/>
      <c r="H87" s="7"/>
    </row>
    <row r="88" spans="1:8" x14ac:dyDescent="0.25">
      <c r="A88" s="7"/>
      <c r="B88" s="69"/>
      <c r="C88" s="69"/>
      <c r="D88" s="70"/>
      <c r="E88" s="70"/>
      <c r="F88" s="71"/>
      <c r="G88" s="71"/>
      <c r="H88" s="7"/>
    </row>
    <row r="89" spans="1:8" x14ac:dyDescent="0.25">
      <c r="A89" s="7"/>
      <c r="B89" s="69"/>
      <c r="C89" s="69"/>
      <c r="D89" s="70"/>
      <c r="E89" s="70"/>
      <c r="F89" s="71"/>
      <c r="G89" s="71"/>
      <c r="H89" s="7"/>
    </row>
    <row r="90" spans="1:8" x14ac:dyDescent="0.25">
      <c r="A90" s="7"/>
      <c r="B90" s="69"/>
      <c r="C90" s="69"/>
      <c r="D90" s="70"/>
      <c r="E90" s="70"/>
      <c r="F90" s="71"/>
      <c r="G90" s="71"/>
      <c r="H90" s="7"/>
    </row>
    <row r="91" spans="1:8" x14ac:dyDescent="0.25">
      <c r="A91" s="7"/>
      <c r="B91" s="69"/>
      <c r="C91" s="69"/>
      <c r="D91" s="70"/>
      <c r="E91" s="70"/>
      <c r="F91" s="71"/>
      <c r="G91" s="71"/>
      <c r="H91" s="7"/>
    </row>
    <row r="92" spans="1:8" x14ac:dyDescent="0.25">
      <c r="A92" s="7"/>
      <c r="B92" s="69"/>
      <c r="C92" s="69"/>
      <c r="D92" s="70"/>
      <c r="E92" s="70"/>
      <c r="F92" s="71"/>
      <c r="G92" s="71"/>
      <c r="H92" s="7"/>
    </row>
    <row r="93" spans="1:8" x14ac:dyDescent="0.25">
      <c r="A93" s="7"/>
      <c r="B93" s="69"/>
      <c r="C93" s="69"/>
      <c r="D93" s="70"/>
      <c r="E93" s="70"/>
      <c r="F93" s="71"/>
      <c r="G93" s="71"/>
      <c r="H93" s="7"/>
    </row>
    <row r="94" spans="1:8" x14ac:dyDescent="0.25">
      <c r="A94" s="7"/>
      <c r="B94" s="69"/>
      <c r="C94" s="69"/>
      <c r="D94" s="70"/>
      <c r="E94" s="70"/>
      <c r="F94" s="71"/>
      <c r="G94" s="71"/>
      <c r="H94" s="7"/>
    </row>
    <row r="95" spans="1:8" x14ac:dyDescent="0.25">
      <c r="A95" s="7"/>
      <c r="B95" s="69"/>
      <c r="C95" s="69"/>
      <c r="D95" s="70"/>
      <c r="E95" s="70"/>
      <c r="F95" s="71"/>
      <c r="G95" s="71"/>
      <c r="H95" s="7"/>
    </row>
    <row r="96" spans="1:8" x14ac:dyDescent="0.25">
      <c r="A96" s="7"/>
      <c r="B96" s="69"/>
      <c r="C96" s="69"/>
      <c r="D96" s="70"/>
      <c r="E96" s="70"/>
      <c r="F96" s="71"/>
      <c r="G96" s="71"/>
      <c r="H96" s="7"/>
    </row>
    <row r="97" spans="1:8" x14ac:dyDescent="0.25">
      <c r="A97" s="7"/>
      <c r="B97" s="69"/>
      <c r="C97" s="69"/>
      <c r="D97" s="70"/>
      <c r="E97" s="70"/>
      <c r="F97" s="71"/>
      <c r="G97" s="71"/>
      <c r="H97" s="7"/>
    </row>
    <row r="98" spans="1:8" x14ac:dyDescent="0.25">
      <c r="A98" s="7"/>
      <c r="B98" s="69"/>
      <c r="C98" s="69"/>
      <c r="D98" s="70"/>
      <c r="E98" s="70"/>
      <c r="F98" s="71"/>
      <c r="G98" s="71"/>
      <c r="H98" s="7"/>
    </row>
    <row r="99" spans="1:8" x14ac:dyDescent="0.25">
      <c r="A99" s="7"/>
      <c r="B99" s="69"/>
      <c r="C99" s="69"/>
      <c r="D99" s="70"/>
      <c r="E99" s="70"/>
      <c r="F99" s="71"/>
      <c r="G99" s="71"/>
      <c r="H99" s="7"/>
    </row>
    <row r="100" spans="1:8" x14ac:dyDescent="0.25">
      <c r="A100" s="7"/>
      <c r="B100" s="69"/>
      <c r="C100" s="69"/>
      <c r="D100" s="70"/>
      <c r="E100" s="70"/>
      <c r="F100" s="71"/>
      <c r="G100" s="71"/>
      <c r="H100" s="7"/>
    </row>
    <row r="101" spans="1:8" x14ac:dyDescent="0.25">
      <c r="A101" s="7"/>
      <c r="B101" s="69"/>
      <c r="C101" s="69"/>
      <c r="D101" s="70"/>
      <c r="E101" s="70"/>
      <c r="F101" s="71"/>
      <c r="G101" s="71"/>
      <c r="H101" s="7"/>
    </row>
    <row r="102" spans="1:8" x14ac:dyDescent="0.25">
      <c r="A102" s="7"/>
      <c r="B102" s="69"/>
      <c r="C102" s="69"/>
      <c r="D102" s="70"/>
      <c r="E102" s="70"/>
      <c r="F102" s="71"/>
      <c r="G102" s="71"/>
      <c r="H102" s="7"/>
    </row>
    <row r="103" spans="1:8" x14ac:dyDescent="0.25">
      <c r="A103" s="7"/>
      <c r="B103" s="13"/>
      <c r="C103" s="14"/>
      <c r="D103" s="20"/>
      <c r="E103" s="20"/>
      <c r="F103" s="21"/>
      <c r="G103" s="21"/>
      <c r="H103" s="7"/>
    </row>
    <row r="104" spans="1:8" x14ac:dyDescent="0.25">
      <c r="A104" s="7"/>
      <c r="B104" s="13"/>
      <c r="C104" s="14"/>
      <c r="D104" s="20"/>
      <c r="E104" s="20"/>
      <c r="F104" s="21"/>
      <c r="G104" s="21"/>
      <c r="H104" s="7"/>
    </row>
    <row r="105" spans="1:8" x14ac:dyDescent="0.25">
      <c r="A105" s="7"/>
      <c r="B105" s="13"/>
      <c r="C105" s="14"/>
      <c r="D105" s="20"/>
      <c r="E105" s="20"/>
      <c r="F105" s="21"/>
      <c r="G105" s="21"/>
      <c r="H105" s="7"/>
    </row>
    <row r="106" spans="1:8" x14ac:dyDescent="0.25">
      <c r="A106" s="7"/>
      <c r="B106" s="13"/>
      <c r="C106" s="14"/>
      <c r="D106" s="20"/>
      <c r="E106" s="20"/>
      <c r="F106" s="21"/>
      <c r="G106" s="21"/>
      <c r="H106" s="7"/>
    </row>
    <row r="107" spans="1:8" x14ac:dyDescent="0.25">
      <c r="A107" s="7"/>
      <c r="B107" s="13"/>
      <c r="C107" s="14"/>
      <c r="D107" s="20"/>
      <c r="E107" s="20"/>
      <c r="F107" s="21"/>
      <c r="G107" s="21"/>
      <c r="H107" s="7"/>
    </row>
    <row r="108" spans="1:8" x14ac:dyDescent="0.25">
      <c r="A108" s="7"/>
      <c r="B108" s="13"/>
      <c r="C108" s="14"/>
      <c r="D108" s="20"/>
      <c r="E108" s="20"/>
      <c r="F108" s="21"/>
      <c r="G108" s="21"/>
      <c r="H108" s="7"/>
    </row>
    <row r="109" spans="1:8" x14ac:dyDescent="0.25">
      <c r="A109" s="7"/>
      <c r="B109" s="13"/>
      <c r="C109" s="14"/>
      <c r="D109" s="20"/>
      <c r="E109" s="20"/>
      <c r="F109" s="21"/>
      <c r="G109" s="21"/>
      <c r="H109" s="7"/>
    </row>
    <row r="110" spans="1:8" x14ac:dyDescent="0.25">
      <c r="A110" s="7"/>
      <c r="B110" s="13"/>
      <c r="C110" s="14"/>
      <c r="D110" s="20"/>
      <c r="E110" s="20"/>
      <c r="F110" s="21"/>
      <c r="G110" s="21"/>
      <c r="H110" s="7"/>
    </row>
    <row r="111" spans="1:8" x14ac:dyDescent="0.25">
      <c r="A111" s="7"/>
      <c r="B111" s="13"/>
      <c r="C111" s="14"/>
      <c r="D111" s="20"/>
      <c r="E111" s="20"/>
      <c r="F111" s="21"/>
      <c r="G111" s="21"/>
      <c r="H111" s="7"/>
    </row>
    <row r="112" spans="1:8" x14ac:dyDescent="0.25">
      <c r="A112" s="7"/>
      <c r="B112" s="13"/>
      <c r="C112" s="14"/>
      <c r="D112" s="20"/>
      <c r="E112" s="20"/>
      <c r="F112" s="21"/>
      <c r="G112" s="21"/>
      <c r="H112" s="7"/>
    </row>
    <row r="113" spans="1:8" x14ac:dyDescent="0.25">
      <c r="A113" s="7"/>
      <c r="B113" s="13"/>
      <c r="C113" s="14"/>
      <c r="D113" s="20"/>
      <c r="E113" s="20"/>
      <c r="F113" s="21"/>
      <c r="G113" s="21"/>
      <c r="H113" s="7"/>
    </row>
    <row r="114" spans="1:8" x14ac:dyDescent="0.25">
      <c r="A114" s="7"/>
      <c r="B114" s="13"/>
      <c r="C114" s="14"/>
      <c r="D114" s="20"/>
      <c r="E114" s="20"/>
      <c r="F114" s="21"/>
      <c r="G114" s="21"/>
      <c r="H114" s="7"/>
    </row>
    <row r="115" spans="1:8" x14ac:dyDescent="0.25">
      <c r="A115" s="7"/>
      <c r="B115" s="13"/>
      <c r="C115" s="14"/>
      <c r="D115" s="20"/>
      <c r="E115" s="20"/>
      <c r="F115" s="21"/>
      <c r="G115" s="21"/>
      <c r="H115" s="7"/>
    </row>
    <row r="116" spans="1:8" x14ac:dyDescent="0.25">
      <c r="A116" s="7"/>
      <c r="B116" s="13"/>
      <c r="C116" s="14"/>
      <c r="D116" s="20"/>
      <c r="E116" s="20"/>
      <c r="F116" s="21"/>
      <c r="G116" s="21"/>
      <c r="H116" s="7"/>
    </row>
    <row r="117" spans="1:8" x14ac:dyDescent="0.25">
      <c r="A117" s="7"/>
      <c r="B117" s="13"/>
      <c r="C117" s="14"/>
      <c r="D117" s="20"/>
      <c r="E117" s="20"/>
      <c r="F117" s="21"/>
      <c r="G117" s="21"/>
      <c r="H117" s="7"/>
    </row>
    <row r="118" spans="1:8" x14ac:dyDescent="0.25">
      <c r="B118" s="8"/>
      <c r="C118" s="12"/>
      <c r="D118" s="25"/>
      <c r="E118" s="25"/>
      <c r="F118" s="26"/>
      <c r="G118" s="26"/>
    </row>
    <row r="119" spans="1:8" x14ac:dyDescent="0.25">
      <c r="B119" s="8"/>
      <c r="C119" s="12"/>
      <c r="D119" s="25"/>
      <c r="E119" s="25"/>
      <c r="F119" s="26"/>
      <c r="G119" s="26"/>
    </row>
    <row r="120" spans="1:8" x14ac:dyDescent="0.25">
      <c r="B120" s="8"/>
      <c r="C120" s="12"/>
      <c r="D120" s="25"/>
      <c r="E120" s="25"/>
      <c r="F120" s="26"/>
      <c r="G120" s="26"/>
    </row>
    <row r="121" spans="1:8" x14ac:dyDescent="0.25">
      <c r="B121" s="8"/>
      <c r="C121" s="12"/>
      <c r="D121" s="25"/>
      <c r="E121" s="25"/>
      <c r="F121" s="26"/>
      <c r="G121" s="26"/>
    </row>
    <row r="122" spans="1:8" x14ac:dyDescent="0.25">
      <c r="B122" s="8"/>
      <c r="C122" s="12"/>
      <c r="D122" s="25"/>
      <c r="E122" s="25"/>
      <c r="F122" s="26"/>
      <c r="G122" s="26"/>
    </row>
    <row r="123" spans="1:8" x14ac:dyDescent="0.25">
      <c r="B123" s="8"/>
      <c r="C123" s="12"/>
      <c r="D123" s="25"/>
      <c r="E123" s="25"/>
      <c r="F123" s="26"/>
      <c r="G123" s="26"/>
    </row>
    <row r="124" spans="1:8" x14ac:dyDescent="0.25">
      <c r="B124" s="8"/>
      <c r="C124" s="12"/>
      <c r="D124" s="25"/>
      <c r="E124" s="25"/>
      <c r="F124" s="26"/>
      <c r="G124" s="26"/>
    </row>
    <row r="125" spans="1:8" x14ac:dyDescent="0.25">
      <c r="B125" s="8"/>
      <c r="C125" s="12"/>
      <c r="D125" s="25"/>
      <c r="E125" s="25"/>
      <c r="F125" s="26"/>
      <c r="G125" s="26"/>
    </row>
    <row r="126" spans="1:8" x14ac:dyDescent="0.25">
      <c r="B126" s="8"/>
      <c r="C126" s="12"/>
      <c r="D126" s="25"/>
      <c r="E126" s="25"/>
      <c r="F126" s="26"/>
      <c r="G126" s="26"/>
    </row>
    <row r="127" spans="1:8" x14ac:dyDescent="0.25">
      <c r="B127" s="8"/>
      <c r="C127" s="12"/>
      <c r="D127" s="25"/>
      <c r="E127" s="25"/>
      <c r="F127" s="26"/>
      <c r="G127" s="26"/>
    </row>
    <row r="128" spans="1:8" x14ac:dyDescent="0.25">
      <c r="B128" s="8"/>
      <c r="C128" s="12"/>
      <c r="D128" s="25"/>
      <c r="E128" s="25"/>
      <c r="F128" s="26"/>
      <c r="G128" s="26"/>
    </row>
    <row r="129" spans="2:7" x14ac:dyDescent="0.25">
      <c r="B129" s="8"/>
      <c r="C129" s="12"/>
      <c r="D129" s="25"/>
      <c r="E129" s="25"/>
      <c r="F129" s="26"/>
      <c r="G129" s="26"/>
    </row>
    <row r="130" spans="2:7" x14ac:dyDescent="0.25">
      <c r="B130" s="8"/>
      <c r="C130" s="12"/>
      <c r="D130" s="25"/>
      <c r="E130" s="25"/>
      <c r="F130" s="26"/>
      <c r="G130" s="26"/>
    </row>
    <row r="131" spans="2:7" x14ac:dyDescent="0.25">
      <c r="B131" s="8"/>
      <c r="C131" s="12"/>
      <c r="D131" s="25"/>
      <c r="E131" s="25"/>
      <c r="F131" s="26"/>
      <c r="G131" s="26"/>
    </row>
    <row r="132" spans="2:7" x14ac:dyDescent="0.25">
      <c r="B132" s="8"/>
      <c r="C132" s="12"/>
      <c r="D132" s="25"/>
      <c r="E132" s="25"/>
      <c r="F132" s="26"/>
      <c r="G132" s="26"/>
    </row>
    <row r="133" spans="2:7" x14ac:dyDescent="0.25">
      <c r="B133" s="8"/>
      <c r="C133" s="12"/>
      <c r="D133" s="25"/>
      <c r="E133" s="25"/>
      <c r="F133" s="26"/>
      <c r="G133" s="26"/>
    </row>
    <row r="134" spans="2:7" x14ac:dyDescent="0.25">
      <c r="B134" s="8"/>
      <c r="C134" s="12"/>
      <c r="D134" s="25"/>
      <c r="E134" s="25"/>
      <c r="F134" s="26"/>
      <c r="G134" s="26"/>
    </row>
    <row r="135" spans="2:7" x14ac:dyDescent="0.25">
      <c r="B135" s="8"/>
      <c r="C135" s="12"/>
      <c r="D135" s="25"/>
      <c r="E135" s="25"/>
      <c r="F135" s="26"/>
      <c r="G135" s="26"/>
    </row>
    <row r="136" spans="2:7" x14ac:dyDescent="0.25">
      <c r="B136" s="8"/>
      <c r="C136" s="12"/>
      <c r="D136" s="25"/>
      <c r="E136" s="25"/>
      <c r="F136" s="26"/>
      <c r="G136" s="26"/>
    </row>
    <row r="137" spans="2:7" x14ac:dyDescent="0.25">
      <c r="B137" s="8"/>
      <c r="C137" s="12"/>
      <c r="D137" s="25"/>
      <c r="E137" s="25"/>
      <c r="F137" s="26"/>
      <c r="G137" s="26"/>
    </row>
    <row r="138" spans="2:7" x14ac:dyDescent="0.25">
      <c r="B138" s="8"/>
      <c r="C138" s="12"/>
      <c r="D138" s="25"/>
      <c r="E138" s="25"/>
      <c r="F138" s="26"/>
      <c r="G138" s="26"/>
    </row>
    <row r="139" spans="2:7" x14ac:dyDescent="0.25">
      <c r="B139" s="8"/>
      <c r="C139" s="12"/>
      <c r="D139" s="25"/>
      <c r="E139" s="25"/>
      <c r="F139" s="26"/>
      <c r="G139" s="26"/>
    </row>
    <row r="140" spans="2:7" x14ac:dyDescent="0.25">
      <c r="B140" s="8"/>
      <c r="C140" s="12"/>
      <c r="D140" s="25"/>
      <c r="E140" s="25"/>
      <c r="F140" s="26"/>
      <c r="G140" s="26"/>
    </row>
    <row r="141" spans="2:7" x14ac:dyDescent="0.25">
      <c r="B141" s="8"/>
      <c r="C141" s="12"/>
      <c r="D141" s="25"/>
      <c r="E141" s="25"/>
      <c r="F141" s="26"/>
      <c r="G141" s="26"/>
    </row>
    <row r="142" spans="2:7" x14ac:dyDescent="0.25">
      <c r="B142" s="8"/>
      <c r="C142" s="12"/>
      <c r="D142" s="25"/>
      <c r="E142" s="25"/>
      <c r="F142" s="26"/>
      <c r="G142" s="26"/>
    </row>
    <row r="143" spans="2:7" x14ac:dyDescent="0.25">
      <c r="B143" s="8"/>
      <c r="C143" s="12"/>
      <c r="D143" s="25"/>
      <c r="E143" s="25"/>
      <c r="F143" s="26"/>
      <c r="G143" s="26"/>
    </row>
    <row r="144" spans="2:7" x14ac:dyDescent="0.25">
      <c r="B144" s="8"/>
      <c r="C144" s="12"/>
      <c r="D144" s="25"/>
      <c r="E144" s="25"/>
      <c r="F144" s="26"/>
      <c r="G144" s="26"/>
    </row>
    <row r="145" spans="2:7" x14ac:dyDescent="0.25">
      <c r="B145" s="8"/>
      <c r="C145" s="12"/>
      <c r="D145" s="25"/>
      <c r="E145" s="25"/>
      <c r="F145" s="26"/>
      <c r="G145" s="26"/>
    </row>
    <row r="146" spans="2:7" x14ac:dyDescent="0.25">
      <c r="B146" s="8"/>
      <c r="C146" s="12"/>
      <c r="D146" s="25"/>
      <c r="E146" s="25"/>
      <c r="F146" s="26"/>
      <c r="G146" s="26"/>
    </row>
    <row r="147" spans="2:7" x14ac:dyDescent="0.25">
      <c r="B147" s="8"/>
      <c r="C147" s="12"/>
      <c r="D147" s="25"/>
      <c r="E147" s="25"/>
      <c r="F147" s="26"/>
      <c r="G147" s="26"/>
    </row>
    <row r="148" spans="2:7" x14ac:dyDescent="0.25">
      <c r="B148" s="8"/>
      <c r="C148" s="12"/>
      <c r="D148" s="25"/>
      <c r="E148" s="25"/>
      <c r="F148" s="26"/>
      <c r="G148" s="26"/>
    </row>
    <row r="149" spans="2:7" x14ac:dyDescent="0.25">
      <c r="B149" s="8"/>
      <c r="C149" s="12"/>
      <c r="D149" s="25"/>
      <c r="E149" s="25"/>
      <c r="F149" s="26"/>
      <c r="G149" s="26"/>
    </row>
    <row r="150" spans="2:7" x14ac:dyDescent="0.25">
      <c r="B150" s="8"/>
      <c r="C150" s="12"/>
      <c r="D150" s="25"/>
      <c r="E150" s="25"/>
      <c r="F150" s="26"/>
      <c r="G150" s="26"/>
    </row>
    <row r="151" spans="2:7" x14ac:dyDescent="0.25">
      <c r="B151" s="8"/>
      <c r="C151" s="12"/>
      <c r="D151" s="25"/>
      <c r="E151" s="25"/>
      <c r="F151" s="26"/>
      <c r="G151" s="26"/>
    </row>
    <row r="152" spans="2:7" x14ac:dyDescent="0.25">
      <c r="B152" s="8"/>
      <c r="C152" s="12"/>
      <c r="D152" s="25"/>
      <c r="E152" s="25"/>
      <c r="F152" s="26"/>
      <c r="G152" s="26"/>
    </row>
    <row r="153" spans="2:7" x14ac:dyDescent="0.25">
      <c r="B153" s="8"/>
      <c r="C153" s="12"/>
      <c r="D153" s="25"/>
      <c r="E153" s="25"/>
      <c r="F153" s="26"/>
      <c r="G153" s="26"/>
    </row>
    <row r="154" spans="2:7" x14ac:dyDescent="0.25">
      <c r="B154" s="8"/>
      <c r="C154" s="12"/>
      <c r="D154" s="25"/>
      <c r="E154" s="25"/>
      <c r="F154" s="26"/>
      <c r="G154" s="26"/>
    </row>
    <row r="155" spans="2:7" x14ac:dyDescent="0.25">
      <c r="B155" s="8"/>
      <c r="C155" s="12"/>
      <c r="D155" s="25"/>
      <c r="E155" s="25"/>
      <c r="F155" s="26"/>
      <c r="G155" s="26"/>
    </row>
    <row r="156" spans="2:7" x14ac:dyDescent="0.25">
      <c r="B156" s="8"/>
      <c r="C156" s="12"/>
      <c r="D156" s="25"/>
      <c r="E156" s="25"/>
      <c r="F156" s="26"/>
      <c r="G156" s="26"/>
    </row>
    <row r="157" spans="2:7" x14ac:dyDescent="0.25">
      <c r="B157" s="8"/>
      <c r="C157" s="12"/>
      <c r="D157" s="25"/>
      <c r="E157" s="25"/>
      <c r="F157" s="26"/>
      <c r="G157" s="26"/>
    </row>
    <row r="158" spans="2:7" x14ac:dyDescent="0.25">
      <c r="B158" s="8"/>
      <c r="C158" s="12"/>
      <c r="D158" s="25"/>
      <c r="E158" s="25"/>
      <c r="F158" s="26"/>
      <c r="G158" s="26"/>
    </row>
    <row r="159" spans="2:7" x14ac:dyDescent="0.25">
      <c r="B159" s="8"/>
      <c r="C159" s="12"/>
      <c r="D159" s="25"/>
      <c r="E159" s="25"/>
      <c r="F159" s="26"/>
      <c r="G159" s="26"/>
    </row>
    <row r="160" spans="2:7" x14ac:dyDescent="0.25">
      <c r="B160" s="8"/>
      <c r="C160" s="12"/>
      <c r="D160" s="25"/>
      <c r="E160" s="25"/>
      <c r="F160" s="26"/>
      <c r="G160" s="26"/>
    </row>
    <row r="161" spans="2:7" x14ac:dyDescent="0.25">
      <c r="B161" s="8"/>
      <c r="C161" s="12"/>
      <c r="D161" s="25"/>
      <c r="E161" s="25"/>
      <c r="F161" s="26"/>
      <c r="G161" s="26"/>
    </row>
  </sheetData>
  <sheetProtection sheet="1" objects="1" scenarios="1"/>
  <conditionalFormatting sqref="B102:G102">
    <cfRule type="expression" dxfId="746" priority="15969" stopIfTrue="1">
      <formula>MOD(ROW()-7,2)=0</formula>
    </cfRule>
  </conditionalFormatting>
  <conditionalFormatting sqref="G102">
    <cfRule type="expression" dxfId="745" priority="15967" stopIfTrue="1">
      <formula>ISNUMBER(SEARCH("Due Soon",G102))</formula>
    </cfRule>
    <cfRule type="expression" dxfId="744" priority="15968" stopIfTrue="1">
      <formula>ISNUMBER(SEARCH("Overdue",G102))</formula>
    </cfRule>
  </conditionalFormatting>
  <conditionalFormatting sqref="B101:G101">
    <cfRule type="expression" dxfId="743" priority="15970" stopIfTrue="1">
      <formula>MOD(ROW()-7,2)=0</formula>
    </cfRule>
  </conditionalFormatting>
  <conditionalFormatting sqref="G101">
    <cfRule type="expression" dxfId="742" priority="15925" stopIfTrue="1">
      <formula>ISNUMBER(SEARCH("Due Soon",G101))</formula>
    </cfRule>
    <cfRule type="expression" dxfId="741" priority="15926" stopIfTrue="1">
      <formula>ISNUMBER(SEARCH("Overdue",G101))</formula>
    </cfRule>
  </conditionalFormatting>
  <conditionalFormatting sqref="B100:G100">
    <cfRule type="expression" dxfId="740" priority="15971" stopIfTrue="1">
      <formula>MOD(ROW()-7,2)=0</formula>
    </cfRule>
  </conditionalFormatting>
  <conditionalFormatting sqref="G100">
    <cfRule type="expression" dxfId="739" priority="15907" stopIfTrue="1">
      <formula>ISNUMBER(SEARCH("Due Soon",G100))</formula>
    </cfRule>
    <cfRule type="expression" dxfId="738" priority="15908" stopIfTrue="1">
      <formula>ISNUMBER(SEARCH("Overdue",G100))</formula>
    </cfRule>
  </conditionalFormatting>
  <conditionalFormatting sqref="B99:G99">
    <cfRule type="expression" dxfId="737" priority="15972" stopIfTrue="1">
      <formula>MOD(ROW()-7,2)=0</formula>
    </cfRule>
  </conditionalFormatting>
  <conditionalFormatting sqref="G99">
    <cfRule type="expression" dxfId="736" priority="15889" stopIfTrue="1">
      <formula>ISNUMBER(SEARCH("Due Soon",G99))</formula>
    </cfRule>
    <cfRule type="expression" dxfId="735" priority="15890" stopIfTrue="1">
      <formula>ISNUMBER(SEARCH("Overdue",G99))</formula>
    </cfRule>
  </conditionalFormatting>
  <conditionalFormatting sqref="B98:G98">
    <cfRule type="expression" dxfId="734" priority="15973" stopIfTrue="1">
      <formula>MOD(ROW()-7,2)=0</formula>
    </cfRule>
  </conditionalFormatting>
  <conditionalFormatting sqref="G98">
    <cfRule type="expression" dxfId="733" priority="15871" stopIfTrue="1">
      <formula>ISNUMBER(SEARCH("Due Soon",G98))</formula>
    </cfRule>
    <cfRule type="expression" dxfId="732" priority="15872" stopIfTrue="1">
      <formula>ISNUMBER(SEARCH("Overdue",G98))</formula>
    </cfRule>
  </conditionalFormatting>
  <conditionalFormatting sqref="B97:G97">
    <cfRule type="expression" dxfId="731" priority="15974" stopIfTrue="1">
      <formula>MOD(ROW()-7,2)=0</formula>
    </cfRule>
  </conditionalFormatting>
  <conditionalFormatting sqref="G97">
    <cfRule type="expression" dxfId="730" priority="15853" stopIfTrue="1">
      <formula>ISNUMBER(SEARCH("Due Soon",G97))</formula>
    </cfRule>
    <cfRule type="expression" dxfId="729" priority="15854" stopIfTrue="1">
      <formula>ISNUMBER(SEARCH("Overdue",G97))</formula>
    </cfRule>
  </conditionalFormatting>
  <conditionalFormatting sqref="B96:G96">
    <cfRule type="expression" dxfId="728" priority="15975" stopIfTrue="1">
      <formula>MOD(ROW()-7,2)=0</formula>
    </cfRule>
  </conditionalFormatting>
  <conditionalFormatting sqref="G96">
    <cfRule type="expression" dxfId="727" priority="15461" stopIfTrue="1">
      <formula>ISNUMBER(SEARCH("Due Soon",G96))</formula>
    </cfRule>
    <cfRule type="expression" dxfId="726" priority="15462" stopIfTrue="1">
      <formula>ISNUMBER(SEARCH("Overdue",G96))</formula>
    </cfRule>
  </conditionalFormatting>
  <conditionalFormatting sqref="B95:G95">
    <cfRule type="expression" dxfId="725" priority="15976" stopIfTrue="1">
      <formula>MOD(ROW()-7,2)=0</formula>
    </cfRule>
  </conditionalFormatting>
  <conditionalFormatting sqref="G95">
    <cfRule type="expression" dxfId="724" priority="15443" stopIfTrue="1">
      <formula>ISNUMBER(SEARCH("Due Soon",G95))</formula>
    </cfRule>
    <cfRule type="expression" dxfId="723" priority="15444" stopIfTrue="1">
      <formula>ISNUMBER(SEARCH("Overdue",G95))</formula>
    </cfRule>
  </conditionalFormatting>
  <conditionalFormatting sqref="B94:G94">
    <cfRule type="expression" dxfId="722" priority="15977" stopIfTrue="1">
      <formula>MOD(ROW()-7,2)=0</formula>
    </cfRule>
  </conditionalFormatting>
  <conditionalFormatting sqref="G94">
    <cfRule type="expression" dxfId="721" priority="15425" stopIfTrue="1">
      <formula>ISNUMBER(SEARCH("Due Soon",G94))</formula>
    </cfRule>
    <cfRule type="expression" dxfId="720" priority="15426" stopIfTrue="1">
      <formula>ISNUMBER(SEARCH("Overdue",G94))</formula>
    </cfRule>
  </conditionalFormatting>
  <conditionalFormatting sqref="B93:G93">
    <cfRule type="expression" dxfId="719" priority="15978" stopIfTrue="1">
      <formula>MOD(ROW()-7,2)=0</formula>
    </cfRule>
  </conditionalFormatting>
  <conditionalFormatting sqref="G93">
    <cfRule type="expression" dxfId="718" priority="15407" stopIfTrue="1">
      <formula>ISNUMBER(SEARCH("Due Soon",G93))</formula>
    </cfRule>
    <cfRule type="expression" dxfId="717" priority="15408" stopIfTrue="1">
      <formula>ISNUMBER(SEARCH("Overdue",G93))</formula>
    </cfRule>
  </conditionalFormatting>
  <conditionalFormatting sqref="B92:G92">
    <cfRule type="expression" dxfId="716" priority="15979" stopIfTrue="1">
      <formula>MOD(ROW()-7,2)=0</formula>
    </cfRule>
  </conditionalFormatting>
  <conditionalFormatting sqref="G92">
    <cfRule type="expression" dxfId="715" priority="15389" stopIfTrue="1">
      <formula>ISNUMBER(SEARCH("Due Soon",G92))</formula>
    </cfRule>
    <cfRule type="expression" dxfId="714" priority="15390" stopIfTrue="1">
      <formula>ISNUMBER(SEARCH("Overdue",G92))</formula>
    </cfRule>
  </conditionalFormatting>
  <conditionalFormatting sqref="B91:G91">
    <cfRule type="expression" dxfId="713" priority="15980" stopIfTrue="1">
      <formula>MOD(ROW()-7,2)=0</formula>
    </cfRule>
  </conditionalFormatting>
  <conditionalFormatting sqref="G91">
    <cfRule type="expression" dxfId="712" priority="15353" stopIfTrue="1">
      <formula>ISNUMBER(SEARCH("Due Soon",G91))</formula>
    </cfRule>
    <cfRule type="expression" dxfId="711" priority="15354" stopIfTrue="1">
      <formula>ISNUMBER(SEARCH("Overdue",G91))</formula>
    </cfRule>
  </conditionalFormatting>
  <conditionalFormatting sqref="B90:G90">
    <cfRule type="expression" dxfId="710" priority="15981" stopIfTrue="1">
      <formula>MOD(ROW()-7,2)=0</formula>
    </cfRule>
  </conditionalFormatting>
  <conditionalFormatting sqref="G90">
    <cfRule type="expression" dxfId="709" priority="14903" stopIfTrue="1">
      <formula>ISNUMBER(SEARCH("Due Soon",G90))</formula>
    </cfRule>
    <cfRule type="expression" dxfId="708" priority="14904" stopIfTrue="1">
      <formula>ISNUMBER(SEARCH("Overdue",G90))</formula>
    </cfRule>
  </conditionalFormatting>
  <conditionalFormatting sqref="B89:G89">
    <cfRule type="expression" dxfId="707" priority="15982" stopIfTrue="1">
      <formula>MOD(ROW()-7,2)=0</formula>
    </cfRule>
  </conditionalFormatting>
  <conditionalFormatting sqref="G89">
    <cfRule type="expression" dxfId="706" priority="14715" stopIfTrue="1">
      <formula>ISNUMBER(SEARCH("Due Soon",G89))</formula>
    </cfRule>
    <cfRule type="expression" dxfId="705" priority="14716" stopIfTrue="1">
      <formula>ISNUMBER(SEARCH("Overdue",G89))</formula>
    </cfRule>
  </conditionalFormatting>
  <conditionalFormatting sqref="B88:G88">
    <cfRule type="expression" dxfId="704" priority="15983" stopIfTrue="1">
      <formula>MOD(ROW()-7,2)=0</formula>
    </cfRule>
  </conditionalFormatting>
  <conditionalFormatting sqref="G88">
    <cfRule type="expression" dxfId="703" priority="14679" stopIfTrue="1">
      <formula>ISNUMBER(SEARCH("Due Soon",G88))</formula>
    </cfRule>
    <cfRule type="expression" dxfId="702" priority="14680" stopIfTrue="1">
      <formula>ISNUMBER(SEARCH("Overdue",G88))</formula>
    </cfRule>
  </conditionalFormatting>
  <conditionalFormatting sqref="B87:G87">
    <cfRule type="expression" dxfId="701" priority="15984" stopIfTrue="1">
      <formula>MOD(ROW()-7,2)=0</formula>
    </cfRule>
  </conditionalFormatting>
  <conditionalFormatting sqref="G87">
    <cfRule type="expression" dxfId="700" priority="14661" stopIfTrue="1">
      <formula>ISNUMBER(SEARCH("Due Soon",G87))</formula>
    </cfRule>
    <cfRule type="expression" dxfId="699" priority="14662" stopIfTrue="1">
      <formula>ISNUMBER(SEARCH("Overdue",G87))</formula>
    </cfRule>
  </conditionalFormatting>
  <conditionalFormatting sqref="B86:G86">
    <cfRule type="expression" dxfId="698" priority="15985" stopIfTrue="1">
      <formula>MOD(ROW()-7,2)=0</formula>
    </cfRule>
  </conditionalFormatting>
  <conditionalFormatting sqref="G86">
    <cfRule type="expression" dxfId="697" priority="14643" stopIfTrue="1">
      <formula>ISNUMBER(SEARCH("Due Soon",G86))</formula>
    </cfRule>
    <cfRule type="expression" dxfId="696" priority="14644" stopIfTrue="1">
      <formula>ISNUMBER(SEARCH("Overdue",G86))</formula>
    </cfRule>
  </conditionalFormatting>
  <conditionalFormatting sqref="B85:G85">
    <cfRule type="expression" dxfId="695" priority="15986" stopIfTrue="1">
      <formula>MOD(ROW()-7,2)=0</formula>
    </cfRule>
  </conditionalFormatting>
  <conditionalFormatting sqref="G85">
    <cfRule type="expression" dxfId="694" priority="14625" stopIfTrue="1">
      <formula>ISNUMBER(SEARCH("Due Soon",G85))</formula>
    </cfRule>
    <cfRule type="expression" dxfId="693" priority="14626" stopIfTrue="1">
      <formula>ISNUMBER(SEARCH("Overdue",G85))</formula>
    </cfRule>
  </conditionalFormatting>
  <conditionalFormatting sqref="B84:G84">
    <cfRule type="expression" dxfId="692" priority="15987" stopIfTrue="1">
      <formula>MOD(ROW()-7,2)=0</formula>
    </cfRule>
  </conditionalFormatting>
  <conditionalFormatting sqref="G84">
    <cfRule type="expression" dxfId="691" priority="13813" stopIfTrue="1">
      <formula>ISNUMBER(SEARCH("Due Soon",G84))</formula>
    </cfRule>
    <cfRule type="expression" dxfId="690" priority="13814" stopIfTrue="1">
      <formula>ISNUMBER(SEARCH("Overdue",G84))</formula>
    </cfRule>
  </conditionalFormatting>
  <conditionalFormatting sqref="B83:G83">
    <cfRule type="expression" dxfId="689" priority="15988" stopIfTrue="1">
      <formula>MOD(ROW()-7,2)=0</formula>
    </cfRule>
  </conditionalFormatting>
  <conditionalFormatting sqref="G83">
    <cfRule type="expression" dxfId="688" priority="13369" stopIfTrue="1">
      <formula>ISNUMBER(SEARCH("Due Soon",G83))</formula>
    </cfRule>
    <cfRule type="expression" dxfId="687" priority="13370" stopIfTrue="1">
      <formula>ISNUMBER(SEARCH("Overdue",G83))</formula>
    </cfRule>
  </conditionalFormatting>
  <conditionalFormatting sqref="B82:G82">
    <cfRule type="expression" dxfId="686" priority="15989" stopIfTrue="1">
      <formula>MOD(ROW()-7,2)=0</formula>
    </cfRule>
  </conditionalFormatting>
  <conditionalFormatting sqref="G82">
    <cfRule type="expression" dxfId="685" priority="13351" stopIfTrue="1">
      <formula>ISNUMBER(SEARCH("Due Soon",G82))</formula>
    </cfRule>
    <cfRule type="expression" dxfId="684" priority="13352" stopIfTrue="1">
      <formula>ISNUMBER(SEARCH("Overdue",G82))</formula>
    </cfRule>
  </conditionalFormatting>
  <conditionalFormatting sqref="B81:G81">
    <cfRule type="expression" dxfId="683" priority="15990" stopIfTrue="1">
      <formula>MOD(ROW()-7,2)=0</formula>
    </cfRule>
  </conditionalFormatting>
  <conditionalFormatting sqref="G81">
    <cfRule type="expression" dxfId="682" priority="13281" stopIfTrue="1">
      <formula>ISNUMBER(SEARCH("Due Soon",G81))</formula>
    </cfRule>
    <cfRule type="expression" dxfId="681" priority="13282" stopIfTrue="1">
      <formula>ISNUMBER(SEARCH("Overdue",G81))</formula>
    </cfRule>
  </conditionalFormatting>
  <conditionalFormatting sqref="B80:G80">
    <cfRule type="expression" dxfId="680" priority="15991" stopIfTrue="1">
      <formula>MOD(ROW()-7,2)=0</formula>
    </cfRule>
  </conditionalFormatting>
  <conditionalFormatting sqref="G80">
    <cfRule type="expression" dxfId="679" priority="13261" stopIfTrue="1">
      <formula>ISNUMBER(SEARCH("Due Soon",G80))</formula>
    </cfRule>
    <cfRule type="expression" dxfId="678" priority="13262" stopIfTrue="1">
      <formula>ISNUMBER(SEARCH("Overdue",G80))</formula>
    </cfRule>
  </conditionalFormatting>
  <conditionalFormatting sqref="B79:G79">
    <cfRule type="expression" dxfId="677" priority="15992" stopIfTrue="1">
      <formula>MOD(ROW()-7,2)=0</formula>
    </cfRule>
  </conditionalFormatting>
  <conditionalFormatting sqref="G79">
    <cfRule type="expression" dxfId="676" priority="13139" stopIfTrue="1">
      <formula>ISNUMBER(SEARCH("Due Soon",G79))</formula>
    </cfRule>
    <cfRule type="expression" dxfId="675" priority="13140" stopIfTrue="1">
      <formula>ISNUMBER(SEARCH("Overdue",G79))</formula>
    </cfRule>
  </conditionalFormatting>
  <conditionalFormatting sqref="B78:G78">
    <cfRule type="expression" dxfId="674" priority="15993" stopIfTrue="1">
      <formula>MOD(ROW()-7,2)=0</formula>
    </cfRule>
  </conditionalFormatting>
  <conditionalFormatting sqref="G78">
    <cfRule type="expression" dxfId="673" priority="13119" stopIfTrue="1">
      <formula>ISNUMBER(SEARCH("Due Soon",G78))</formula>
    </cfRule>
    <cfRule type="expression" dxfId="672" priority="13120" stopIfTrue="1">
      <formula>ISNUMBER(SEARCH("Overdue",G78))</formula>
    </cfRule>
  </conditionalFormatting>
  <conditionalFormatting sqref="B77:G77">
    <cfRule type="expression" dxfId="671" priority="15994" stopIfTrue="1">
      <formula>MOD(ROW()-7,2)=0</formula>
    </cfRule>
  </conditionalFormatting>
  <conditionalFormatting sqref="G77">
    <cfRule type="expression" dxfId="670" priority="12981" stopIfTrue="1">
      <formula>ISNUMBER(SEARCH("Due Soon",G77))</formula>
    </cfRule>
    <cfRule type="expression" dxfId="669" priority="12982" stopIfTrue="1">
      <formula>ISNUMBER(SEARCH("Overdue",G77))</formula>
    </cfRule>
  </conditionalFormatting>
  <conditionalFormatting sqref="B76:G76">
    <cfRule type="expression" dxfId="668" priority="15995" stopIfTrue="1">
      <formula>MOD(ROW()-7,2)=0</formula>
    </cfRule>
  </conditionalFormatting>
  <conditionalFormatting sqref="G76">
    <cfRule type="expression" dxfId="667" priority="12869" stopIfTrue="1">
      <formula>ISNUMBER(SEARCH("Due Soon",G76))</formula>
    </cfRule>
    <cfRule type="expression" dxfId="666" priority="12870" stopIfTrue="1">
      <formula>ISNUMBER(SEARCH("Overdue",G76))</formula>
    </cfRule>
  </conditionalFormatting>
  <conditionalFormatting sqref="B75:G75">
    <cfRule type="expression" dxfId="665" priority="15996" stopIfTrue="1">
      <formula>MOD(ROW()-7,2)=0</formula>
    </cfRule>
  </conditionalFormatting>
  <conditionalFormatting sqref="G75">
    <cfRule type="expression" dxfId="664" priority="12849" stopIfTrue="1">
      <formula>ISNUMBER(SEARCH("Due Soon",G75))</formula>
    </cfRule>
    <cfRule type="expression" dxfId="663" priority="12850" stopIfTrue="1">
      <formula>ISNUMBER(SEARCH("Overdue",G75))</formula>
    </cfRule>
  </conditionalFormatting>
  <conditionalFormatting sqref="B74:G74">
    <cfRule type="expression" dxfId="662" priority="15997" stopIfTrue="1">
      <formula>MOD(ROW()-7,2)=0</formula>
    </cfRule>
  </conditionalFormatting>
  <conditionalFormatting sqref="G74">
    <cfRule type="expression" dxfId="661" priority="10503" stopIfTrue="1">
      <formula>ISNUMBER(SEARCH("Due Soon",G74))</formula>
    </cfRule>
    <cfRule type="expression" dxfId="660" priority="10504" stopIfTrue="1">
      <formula>ISNUMBER(SEARCH("Overdue",G74))</formula>
    </cfRule>
  </conditionalFormatting>
  <conditionalFormatting sqref="B73:G73">
    <cfRule type="expression" dxfId="659" priority="15998" stopIfTrue="1">
      <formula>MOD(ROW()-7,2)=0</formula>
    </cfRule>
  </conditionalFormatting>
  <conditionalFormatting sqref="G73">
    <cfRule type="expression" dxfId="658" priority="10485" stopIfTrue="1">
      <formula>ISNUMBER(SEARCH("Due Soon",G73))</formula>
    </cfRule>
    <cfRule type="expression" dxfId="657" priority="10486" stopIfTrue="1">
      <formula>ISNUMBER(SEARCH("Overdue",G73))</formula>
    </cfRule>
  </conditionalFormatting>
  <conditionalFormatting sqref="B72:G72">
    <cfRule type="expression" dxfId="656" priority="15999" stopIfTrue="1">
      <formula>MOD(ROW()-7,2)=0</formula>
    </cfRule>
  </conditionalFormatting>
  <conditionalFormatting sqref="G72">
    <cfRule type="expression" dxfId="655" priority="10463" stopIfTrue="1">
      <formula>ISNUMBER(SEARCH("Due Soon",G72))</formula>
    </cfRule>
    <cfRule type="expression" dxfId="654" priority="10464" stopIfTrue="1">
      <formula>ISNUMBER(SEARCH("Overdue",G72))</formula>
    </cfRule>
  </conditionalFormatting>
  <conditionalFormatting sqref="B71:G71">
    <cfRule type="expression" dxfId="653" priority="16000" stopIfTrue="1">
      <formula>MOD(ROW()-7,2)=0</formula>
    </cfRule>
  </conditionalFormatting>
  <conditionalFormatting sqref="G71">
    <cfRule type="expression" dxfId="652" priority="10445" stopIfTrue="1">
      <formula>ISNUMBER(SEARCH("Due Soon",G71))</formula>
    </cfRule>
    <cfRule type="expression" dxfId="651" priority="10446" stopIfTrue="1">
      <formula>ISNUMBER(SEARCH("Overdue",G71))</formula>
    </cfRule>
  </conditionalFormatting>
  <conditionalFormatting sqref="B70:G70">
    <cfRule type="expression" dxfId="650" priority="16001" stopIfTrue="1">
      <formula>MOD(ROW()-7,2)=0</formula>
    </cfRule>
  </conditionalFormatting>
  <conditionalFormatting sqref="G70">
    <cfRule type="expression" dxfId="649" priority="10415" stopIfTrue="1">
      <formula>ISNUMBER(SEARCH("Due Soon",G70))</formula>
    </cfRule>
    <cfRule type="expression" dxfId="648" priority="10416" stopIfTrue="1">
      <formula>ISNUMBER(SEARCH("Overdue",G70))</formula>
    </cfRule>
  </conditionalFormatting>
  <conditionalFormatting sqref="B69:G69">
    <cfRule type="expression" dxfId="647" priority="16002" stopIfTrue="1">
      <formula>MOD(ROW()-7,2)=0</formula>
    </cfRule>
  </conditionalFormatting>
  <conditionalFormatting sqref="G69">
    <cfRule type="expression" dxfId="646" priority="10373" stopIfTrue="1">
      <formula>ISNUMBER(SEARCH("Due Soon",G69))</formula>
    </cfRule>
    <cfRule type="expression" dxfId="645" priority="10374" stopIfTrue="1">
      <formula>ISNUMBER(SEARCH("Overdue",G69))</formula>
    </cfRule>
  </conditionalFormatting>
  <conditionalFormatting sqref="B68:G68">
    <cfRule type="expression" dxfId="644" priority="16003" stopIfTrue="1">
      <formula>MOD(ROW()-7,2)=0</formula>
    </cfRule>
  </conditionalFormatting>
  <conditionalFormatting sqref="G68">
    <cfRule type="expression" dxfId="643" priority="10345" stopIfTrue="1">
      <formula>ISNUMBER(SEARCH("Due Soon",G68))</formula>
    </cfRule>
    <cfRule type="expression" dxfId="642" priority="10346" stopIfTrue="1">
      <formula>ISNUMBER(SEARCH("Overdue",G68))</formula>
    </cfRule>
  </conditionalFormatting>
  <conditionalFormatting sqref="B67:G67">
    <cfRule type="expression" dxfId="641" priority="16004" stopIfTrue="1">
      <formula>MOD(ROW()-7,2)=0</formula>
    </cfRule>
  </conditionalFormatting>
  <conditionalFormatting sqref="G67">
    <cfRule type="expression" dxfId="640" priority="10327" stopIfTrue="1">
      <formula>ISNUMBER(SEARCH("Due Soon",G67))</formula>
    </cfRule>
    <cfRule type="expression" dxfId="639" priority="10328" stopIfTrue="1">
      <formula>ISNUMBER(SEARCH("Overdue",G67))</formula>
    </cfRule>
  </conditionalFormatting>
  <conditionalFormatting sqref="B66:G66">
    <cfRule type="expression" dxfId="638" priority="16005" stopIfTrue="1">
      <formula>MOD(ROW()-7,2)=0</formula>
    </cfRule>
  </conditionalFormatting>
  <conditionalFormatting sqref="G66">
    <cfRule type="expression" dxfId="637" priority="10309" stopIfTrue="1">
      <formula>ISNUMBER(SEARCH("Due Soon",G66))</formula>
    </cfRule>
    <cfRule type="expression" dxfId="636" priority="10310" stopIfTrue="1">
      <formula>ISNUMBER(SEARCH("Overdue",G66))</formula>
    </cfRule>
  </conditionalFormatting>
  <conditionalFormatting sqref="B65:G65">
    <cfRule type="expression" dxfId="635" priority="16006" stopIfTrue="1">
      <formula>MOD(ROW()-7,2)=0</formula>
    </cfRule>
  </conditionalFormatting>
  <conditionalFormatting sqref="G65">
    <cfRule type="expression" dxfId="634" priority="10291" stopIfTrue="1">
      <formula>ISNUMBER(SEARCH("Due Soon",G65))</formula>
    </cfRule>
    <cfRule type="expression" dxfId="633" priority="10292" stopIfTrue="1">
      <formula>ISNUMBER(SEARCH("Overdue",G65))</formula>
    </cfRule>
  </conditionalFormatting>
  <conditionalFormatting sqref="B64:G64">
    <cfRule type="expression" dxfId="632" priority="16007" stopIfTrue="1">
      <formula>MOD(ROW()-7,2)=0</formula>
    </cfRule>
  </conditionalFormatting>
  <conditionalFormatting sqref="G64">
    <cfRule type="expression" dxfId="631" priority="10273" stopIfTrue="1">
      <formula>ISNUMBER(SEARCH("Due Soon",G64))</formula>
    </cfRule>
    <cfRule type="expression" dxfId="630" priority="10274" stopIfTrue="1">
      <formula>ISNUMBER(SEARCH("Overdue",G64))</formula>
    </cfRule>
  </conditionalFormatting>
  <conditionalFormatting sqref="B63:G63">
    <cfRule type="expression" dxfId="629" priority="16008" stopIfTrue="1">
      <formula>MOD(ROW()-7,2)=0</formula>
    </cfRule>
  </conditionalFormatting>
  <conditionalFormatting sqref="G63">
    <cfRule type="expression" dxfId="628" priority="10255" stopIfTrue="1">
      <formula>ISNUMBER(SEARCH("Due Soon",G63))</formula>
    </cfRule>
    <cfRule type="expression" dxfId="627" priority="10256" stopIfTrue="1">
      <formula>ISNUMBER(SEARCH("Overdue",G63))</formula>
    </cfRule>
  </conditionalFormatting>
  <conditionalFormatting sqref="B62:G62">
    <cfRule type="expression" dxfId="626" priority="16009" stopIfTrue="1">
      <formula>MOD(ROW()-7,2)=0</formula>
    </cfRule>
  </conditionalFormatting>
  <conditionalFormatting sqref="G62">
    <cfRule type="expression" dxfId="625" priority="10237" stopIfTrue="1">
      <formula>ISNUMBER(SEARCH("Due Soon",G62))</formula>
    </cfRule>
    <cfRule type="expression" dxfId="624" priority="10238" stopIfTrue="1">
      <formula>ISNUMBER(SEARCH("Overdue",G62))</formula>
    </cfRule>
  </conditionalFormatting>
  <conditionalFormatting sqref="B61:G61">
    <cfRule type="expression" dxfId="623" priority="16010" stopIfTrue="1">
      <formula>MOD(ROW()-7,2)=0</formula>
    </cfRule>
  </conditionalFormatting>
  <conditionalFormatting sqref="G61">
    <cfRule type="expression" dxfId="622" priority="10219" stopIfTrue="1">
      <formula>ISNUMBER(SEARCH("Due Soon",G61))</formula>
    </cfRule>
    <cfRule type="expression" dxfId="621" priority="10220" stopIfTrue="1">
      <formula>ISNUMBER(SEARCH("Overdue",G61))</formula>
    </cfRule>
  </conditionalFormatting>
  <conditionalFormatting sqref="B60:G60">
    <cfRule type="expression" dxfId="620" priority="16011" stopIfTrue="1">
      <formula>MOD(ROW()-7,2)=0</formula>
    </cfRule>
  </conditionalFormatting>
  <conditionalFormatting sqref="G60">
    <cfRule type="expression" dxfId="619" priority="6383" stopIfTrue="1">
      <formula>ISNUMBER(SEARCH("Due Soon",G60))</formula>
    </cfRule>
    <cfRule type="expression" dxfId="618" priority="6384" stopIfTrue="1">
      <formula>ISNUMBER(SEARCH("Overdue",G60))</formula>
    </cfRule>
  </conditionalFormatting>
  <conditionalFormatting sqref="B59:G59">
    <cfRule type="expression" dxfId="617" priority="16012" stopIfTrue="1">
      <formula>MOD(ROW()-7,2)=0</formula>
    </cfRule>
  </conditionalFormatting>
  <conditionalFormatting sqref="G59">
    <cfRule type="expression" dxfId="616" priority="5037" stopIfTrue="1">
      <formula>ISNUMBER(SEARCH("Due Soon",G59))</formula>
    </cfRule>
    <cfRule type="expression" dxfId="615" priority="5038" stopIfTrue="1">
      <formula>ISNUMBER(SEARCH("Overdue",G59))</formula>
    </cfRule>
  </conditionalFormatting>
  <conditionalFormatting sqref="B58:G58">
    <cfRule type="expression" dxfId="614" priority="16013" stopIfTrue="1">
      <formula>MOD(ROW()-7,2)=0</formula>
    </cfRule>
  </conditionalFormatting>
  <conditionalFormatting sqref="G58">
    <cfRule type="expression" dxfId="613" priority="4845" stopIfTrue="1">
      <formula>ISNUMBER(SEARCH("Due Soon",G58))</formula>
    </cfRule>
    <cfRule type="expression" dxfId="612" priority="4846" stopIfTrue="1">
      <formula>ISNUMBER(SEARCH("Overdue",G58))</formula>
    </cfRule>
  </conditionalFormatting>
  <conditionalFormatting sqref="B57:G57">
    <cfRule type="expression" dxfId="611" priority="16014" stopIfTrue="1">
      <formula>MOD(ROW()-7,2)=0</formula>
    </cfRule>
  </conditionalFormatting>
  <conditionalFormatting sqref="G57">
    <cfRule type="expression" dxfId="610" priority="4707" stopIfTrue="1">
      <formula>ISNUMBER(SEARCH("Due Soon",G57))</formula>
    </cfRule>
    <cfRule type="expression" dxfId="609" priority="4708" stopIfTrue="1">
      <formula>ISNUMBER(SEARCH("Overdue",G57))</formula>
    </cfRule>
  </conditionalFormatting>
  <conditionalFormatting sqref="B56:G56">
    <cfRule type="expression" dxfId="608" priority="16015" stopIfTrue="1">
      <formula>MOD(ROW()-7,2)=0</formula>
    </cfRule>
  </conditionalFormatting>
  <conditionalFormatting sqref="G56">
    <cfRule type="expression" dxfId="607" priority="4687" stopIfTrue="1">
      <formula>ISNUMBER(SEARCH("Due Soon",G56))</formula>
    </cfRule>
    <cfRule type="expression" dxfId="606" priority="4688" stopIfTrue="1">
      <formula>ISNUMBER(SEARCH("Overdue",G56))</formula>
    </cfRule>
  </conditionalFormatting>
  <conditionalFormatting sqref="B55:G55">
    <cfRule type="expression" dxfId="605" priority="16016" stopIfTrue="1">
      <formula>MOD(ROW()-7,2)=0</formula>
    </cfRule>
  </conditionalFormatting>
  <conditionalFormatting sqref="G55">
    <cfRule type="expression" dxfId="604" priority="4591" stopIfTrue="1">
      <formula>ISNUMBER(SEARCH("Due Soon",G55))</formula>
    </cfRule>
    <cfRule type="expression" dxfId="603" priority="4592" stopIfTrue="1">
      <formula>ISNUMBER(SEARCH("Overdue",G55))</formula>
    </cfRule>
  </conditionalFormatting>
  <conditionalFormatting sqref="B54:G54">
    <cfRule type="expression" dxfId="602" priority="16017" stopIfTrue="1">
      <formula>MOD(ROW()-7,2)=0</formula>
    </cfRule>
  </conditionalFormatting>
  <conditionalFormatting sqref="G54">
    <cfRule type="expression" dxfId="601" priority="4321" stopIfTrue="1">
      <formula>ISNUMBER(SEARCH("Due Soon",G54))</formula>
    </cfRule>
    <cfRule type="expression" dxfId="600" priority="4322" stopIfTrue="1">
      <formula>ISNUMBER(SEARCH("Overdue",G54))</formula>
    </cfRule>
  </conditionalFormatting>
  <conditionalFormatting sqref="B53:G53">
    <cfRule type="expression" dxfId="599" priority="16018" stopIfTrue="1">
      <formula>MOD(ROW()-7,2)=0</formula>
    </cfRule>
  </conditionalFormatting>
  <conditionalFormatting sqref="G53">
    <cfRule type="expression" dxfId="598" priority="4303" stopIfTrue="1">
      <formula>ISNUMBER(SEARCH("Due Soon",G53))</formula>
    </cfRule>
    <cfRule type="expression" dxfId="597" priority="4304" stopIfTrue="1">
      <formula>ISNUMBER(SEARCH("Overdue",G53))</formula>
    </cfRule>
  </conditionalFormatting>
  <conditionalFormatting sqref="B52:G52">
    <cfRule type="expression" dxfId="596" priority="16019" stopIfTrue="1">
      <formula>MOD(ROW()-7,2)=0</formula>
    </cfRule>
  </conditionalFormatting>
  <conditionalFormatting sqref="G52">
    <cfRule type="expression" dxfId="595" priority="4285" stopIfTrue="1">
      <formula>ISNUMBER(SEARCH("Due Soon",G52))</formula>
    </cfRule>
    <cfRule type="expression" dxfId="594" priority="4286" stopIfTrue="1">
      <formula>ISNUMBER(SEARCH("Overdue",G52))</formula>
    </cfRule>
  </conditionalFormatting>
  <conditionalFormatting sqref="B51:G51">
    <cfRule type="expression" dxfId="593" priority="16020" stopIfTrue="1">
      <formula>MOD(ROW()-7,2)=0</formula>
    </cfRule>
  </conditionalFormatting>
  <conditionalFormatting sqref="G51">
    <cfRule type="expression" dxfId="592" priority="4267" stopIfTrue="1">
      <formula>ISNUMBER(SEARCH("Due Soon",G51))</formula>
    </cfRule>
    <cfRule type="expression" dxfId="591" priority="4268" stopIfTrue="1">
      <formula>ISNUMBER(SEARCH("Overdue",G51))</formula>
    </cfRule>
  </conditionalFormatting>
  <conditionalFormatting sqref="B50:G50">
    <cfRule type="expression" dxfId="590" priority="16021" stopIfTrue="1">
      <formula>MOD(ROW()-7,2)=0</formula>
    </cfRule>
  </conditionalFormatting>
  <conditionalFormatting sqref="G50">
    <cfRule type="expression" dxfId="589" priority="4249" stopIfTrue="1">
      <formula>ISNUMBER(SEARCH("Due Soon",G50))</formula>
    </cfRule>
    <cfRule type="expression" dxfId="588" priority="4250" stopIfTrue="1">
      <formula>ISNUMBER(SEARCH("Overdue",G50))</formula>
    </cfRule>
  </conditionalFormatting>
  <conditionalFormatting sqref="B49:G49">
    <cfRule type="expression" dxfId="587" priority="16022" stopIfTrue="1">
      <formula>MOD(ROW()-7,2)=0</formula>
    </cfRule>
  </conditionalFormatting>
  <conditionalFormatting sqref="G49">
    <cfRule type="expression" dxfId="586" priority="4231" stopIfTrue="1">
      <formula>ISNUMBER(SEARCH("Due Soon",G49))</formula>
    </cfRule>
    <cfRule type="expression" dxfId="585" priority="4232" stopIfTrue="1">
      <formula>ISNUMBER(SEARCH("Overdue",G49))</formula>
    </cfRule>
  </conditionalFormatting>
  <conditionalFormatting sqref="B48:G48">
    <cfRule type="expression" dxfId="584" priority="16023" stopIfTrue="1">
      <formula>MOD(ROW()-7,2)=0</formula>
    </cfRule>
  </conditionalFormatting>
  <conditionalFormatting sqref="G48">
    <cfRule type="expression" dxfId="583" priority="4213" stopIfTrue="1">
      <formula>ISNUMBER(SEARCH("Due Soon",G48))</formula>
    </cfRule>
    <cfRule type="expression" dxfId="582" priority="4214" stopIfTrue="1">
      <formula>ISNUMBER(SEARCH("Overdue",G48))</formula>
    </cfRule>
  </conditionalFormatting>
  <conditionalFormatting sqref="B47:G47">
    <cfRule type="expression" dxfId="581" priority="16024" stopIfTrue="1">
      <formula>MOD(ROW()-7,2)=0</formula>
    </cfRule>
  </conditionalFormatting>
  <conditionalFormatting sqref="G47">
    <cfRule type="expression" dxfId="580" priority="851" stopIfTrue="1">
      <formula>ISNUMBER(SEARCH("Due Soon",G47))</formula>
    </cfRule>
    <cfRule type="expression" dxfId="579" priority="852" stopIfTrue="1">
      <formula>ISNUMBER(SEARCH("Overdue",G47))</formula>
    </cfRule>
  </conditionalFormatting>
  <conditionalFormatting sqref="B46:G46">
    <cfRule type="expression" dxfId="578" priority="16025" stopIfTrue="1">
      <formula>MOD(ROW()-7,2)=0</formula>
    </cfRule>
  </conditionalFormatting>
  <conditionalFormatting sqref="G46">
    <cfRule type="expression" dxfId="577" priority="841" stopIfTrue="1">
      <formula>ISNUMBER(SEARCH("Due Soon",G46))</formula>
    </cfRule>
    <cfRule type="expression" dxfId="576" priority="842" stopIfTrue="1">
      <formula>ISNUMBER(SEARCH("Overdue",G46))</formula>
    </cfRule>
  </conditionalFormatting>
  <conditionalFormatting sqref="B45:G45">
    <cfRule type="expression" dxfId="575" priority="16026" stopIfTrue="1">
      <formula>MOD(ROW()-7,2)=0</formula>
    </cfRule>
  </conditionalFormatting>
  <conditionalFormatting sqref="G45">
    <cfRule type="expression" dxfId="574" priority="837" stopIfTrue="1">
      <formula>ISNUMBER(SEARCH("Due Soon",G45))</formula>
    </cfRule>
    <cfRule type="expression" dxfId="573" priority="838" stopIfTrue="1">
      <formula>ISNUMBER(SEARCH("Overdue",G45))</formula>
    </cfRule>
  </conditionalFormatting>
  <conditionalFormatting sqref="B44:G44">
    <cfRule type="expression" dxfId="572" priority="16027" stopIfTrue="1">
      <formula>MOD(ROW()-7,2)=0</formula>
    </cfRule>
  </conditionalFormatting>
  <conditionalFormatting sqref="G44">
    <cfRule type="expression" dxfId="571" priority="803" stopIfTrue="1">
      <formula>ISNUMBER(SEARCH("Due Soon",G44))</formula>
    </cfRule>
    <cfRule type="expression" dxfId="570" priority="804" stopIfTrue="1">
      <formula>ISNUMBER(SEARCH("Overdue",G44))</formula>
    </cfRule>
  </conditionalFormatting>
  <conditionalFormatting sqref="B43:G43">
    <cfRule type="expression" dxfId="569" priority="16028" stopIfTrue="1">
      <formula>MOD(ROW()-7,2)=0</formula>
    </cfRule>
  </conditionalFormatting>
  <conditionalFormatting sqref="G43">
    <cfRule type="expression" dxfId="568" priority="779" stopIfTrue="1">
      <formula>ISNUMBER(SEARCH("Due Soon",G43))</formula>
    </cfRule>
    <cfRule type="expression" dxfId="567" priority="780" stopIfTrue="1">
      <formula>ISNUMBER(SEARCH("Overdue",G43))</formula>
    </cfRule>
  </conditionalFormatting>
  <conditionalFormatting sqref="B42:G42">
    <cfRule type="expression" dxfId="566" priority="16029" stopIfTrue="1">
      <formula>MOD(ROW()-7,2)=0</formula>
    </cfRule>
  </conditionalFormatting>
  <conditionalFormatting sqref="G42">
    <cfRule type="expression" dxfId="565" priority="719" stopIfTrue="1">
      <formula>ISNUMBER(SEARCH("Due Soon",G42))</formula>
    </cfRule>
    <cfRule type="expression" dxfId="564" priority="720" stopIfTrue="1">
      <formula>ISNUMBER(SEARCH("Overdue",G42))</formula>
    </cfRule>
  </conditionalFormatting>
  <conditionalFormatting sqref="B41:G41">
    <cfRule type="expression" dxfId="563" priority="16030" stopIfTrue="1">
      <formula>MOD(ROW()-7,2)=0</formula>
    </cfRule>
  </conditionalFormatting>
  <conditionalFormatting sqref="G41">
    <cfRule type="expression" dxfId="562" priority="663" stopIfTrue="1">
      <formula>ISNUMBER(SEARCH("Due Soon",G41))</formula>
    </cfRule>
    <cfRule type="expression" dxfId="561" priority="664" stopIfTrue="1">
      <formula>ISNUMBER(SEARCH("Overdue",G41))</formula>
    </cfRule>
  </conditionalFormatting>
  <conditionalFormatting sqref="B40:G40">
    <cfRule type="expression" dxfId="560" priority="16031" stopIfTrue="1">
      <formula>MOD(ROW()-7,2)=0</formula>
    </cfRule>
  </conditionalFormatting>
  <conditionalFormatting sqref="G40">
    <cfRule type="expression" dxfId="559" priority="643" stopIfTrue="1">
      <formula>ISNUMBER(SEARCH("Due Soon",G40))</formula>
    </cfRule>
    <cfRule type="expression" dxfId="558" priority="644" stopIfTrue="1">
      <formula>ISNUMBER(SEARCH("Overdue",G40))</formula>
    </cfRule>
  </conditionalFormatting>
  <conditionalFormatting sqref="B38:G39">
    <cfRule type="expression" dxfId="557" priority="16032" stopIfTrue="1">
      <formula>MOD(ROW()-7,2)=0</formula>
    </cfRule>
  </conditionalFormatting>
  <conditionalFormatting sqref="G38:G39">
    <cfRule type="expression" dxfId="556" priority="529" stopIfTrue="1">
      <formula>ISNUMBER(SEARCH("Due Soon",G38))</formula>
    </cfRule>
    <cfRule type="expression" dxfId="555" priority="530" stopIfTrue="1">
      <formula>ISNUMBER(SEARCH("Overdue",G38))</formula>
    </cfRule>
  </conditionalFormatting>
  <conditionalFormatting sqref="B36:G37">
    <cfRule type="expression" dxfId="554" priority="16033" stopIfTrue="1">
      <formula>MOD(ROW()-7,2)=0</formula>
    </cfRule>
  </conditionalFormatting>
  <conditionalFormatting sqref="G36:G37">
    <cfRule type="expression" dxfId="553" priority="527" stopIfTrue="1">
      <formula>ISNUMBER(SEARCH("Due Soon",G36))</formula>
    </cfRule>
    <cfRule type="expression" dxfId="552" priority="528" stopIfTrue="1">
      <formula>ISNUMBER(SEARCH("Overdue",G36))</formula>
    </cfRule>
  </conditionalFormatting>
  <conditionalFormatting sqref="B7:G35">
    <cfRule type="expression" dxfId="2" priority="16034" stopIfTrue="1">
      <formula>MOD(ROW()-7,2)=0</formula>
    </cfRule>
  </conditionalFormatting>
  <conditionalFormatting sqref="G7:G35">
    <cfRule type="expression" dxfId="1" priority="2" stopIfTrue="1">
      <formula>ISNUMBER(SEARCH("Overdue",G7))</formula>
    </cfRule>
    <cfRule type="expression" dxfId="0" priority="1" stopIfTrue="1">
      <formula>ISNUMBER(SEARCH("Due Soon",G7))</formula>
    </cfRule>
  </conditionalFormatting>
  <printOptions horizontalCentered="1"/>
  <pageMargins left="0.70866141732283472" right="0.70866141732283472" top="0.94488188976377963" bottom="0.74803149606299213" header="0.31496062992125984" footer="0.31496062992125984"/>
  <pageSetup paperSize="9" fitToHeight="0" orientation="landscape" r:id="rId1"/>
  <headerFooter>
    <oddHeader>&amp;L&amp;G&amp;C&amp;"Arial,Bold"&amp;20UPCOMING TRAINING&amp;R&amp;"Garamond,Bold"&amp;12As of &amp;D</oddHeader>
    <oddFooter>&amp;L&amp;"+,Italic"&amp;K02-024&amp;F&amp;R&amp;P of &amp;N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755F8D-457E-4B35-8360-ED92BE424627}">
          <x14:formula1>
            <xm:f>Sheet1!$B$2:$B$26</xm:f>
          </x14:formula1>
          <xm:sqref>C2</xm:sqref>
        </x14:dataValidation>
        <x14:dataValidation type="list" allowBlank="1" showInputMessage="1" showErrorMessage="1" xr:uid="{152DEB7A-659F-47F2-9DC1-555C48BEABB1}">
          <x14:formula1>
            <xm:f>Sheet1!$C$2:$C$26</xm:f>
          </x14:formula1>
          <xm:sqref>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E862-5CBC-4200-B091-9274FE7CE83F}">
  <dimension ref="B1:D16"/>
  <sheetViews>
    <sheetView workbookViewId="0">
      <selection activeCell="H9" sqref="H9"/>
    </sheetView>
  </sheetViews>
  <sheetFormatPr defaultRowHeight="15" x14ac:dyDescent="0.25"/>
  <cols>
    <col min="2" max="2" width="14.42578125" bestFit="1" customWidth="1"/>
    <col min="3" max="3" width="31.42578125" bestFit="1" customWidth="1"/>
    <col min="4" max="4" width="9.42578125" bestFit="1" customWidth="1"/>
  </cols>
  <sheetData>
    <row r="1" spans="2:4" x14ac:dyDescent="0.25">
      <c r="B1" s="99" t="s">
        <v>8</v>
      </c>
      <c r="C1" s="99" t="s">
        <v>520</v>
      </c>
      <c r="D1" s="99" t="s">
        <v>39</v>
      </c>
    </row>
    <row r="2" spans="2:4" x14ac:dyDescent="0.25">
      <c r="B2" t="str" cm="1">
        <f t="array" ref="B2:B10">_xlfn.VSTACK("All",_xlfn._xlws.SORT(_xlfn.UNIQUE(_xlfn._xlws.FILTER(tblPeople[Department],(UPPER(TRIM(tblPeople[Status]))="ACTIVE")*(tblPeople[Department]&lt;&gt;"")))))</f>
        <v>All</v>
      </c>
      <c r="C2" t="str" cm="1">
        <f t="array" ref="C2:C16">_xlfn.VSTACK("All",_xlfn._xlws.SORT(_xlfn.UNIQUE(_xlfn._xlws.FILTER(tblRoleGroups[RoleGroup],tblRoleGroups[RoleGroup]&lt;&gt;""))))</f>
        <v>All</v>
      </c>
      <c r="D2" t="str" cm="1">
        <f t="array" ref="D2:D4">{"All";"Overdue";"Due Soon"}</f>
        <v>All</v>
      </c>
    </row>
    <row r="3" spans="2:4" x14ac:dyDescent="0.25">
      <c r="B3" t="str">
        <v>AVIONICS</v>
      </c>
      <c r="C3" t="str">
        <v>ALL</v>
      </c>
      <c r="D3" t="str">
        <v>Overdue</v>
      </c>
    </row>
    <row r="4" spans="2:4" x14ac:dyDescent="0.25">
      <c r="B4" t="str">
        <v>MAINTENANCE</v>
      </c>
      <c r="C4" t="str">
        <v>AUDITOR</v>
      </c>
      <c r="D4" t="str">
        <v>Due Soon</v>
      </c>
    </row>
    <row r="5" spans="2:4" x14ac:dyDescent="0.25">
      <c r="B5" t="str">
        <v>POSTHOLDER</v>
      </c>
      <c r="C5" t="str">
        <v>AVIONICS</v>
      </c>
    </row>
    <row r="6" spans="2:4" x14ac:dyDescent="0.25">
      <c r="B6" t="str">
        <v>PRODUCTION</v>
      </c>
      <c r="C6" t="str">
        <v>CERTIFYING_STAFF</v>
      </c>
    </row>
    <row r="7" spans="2:4" x14ac:dyDescent="0.25">
      <c r="B7" t="str">
        <v>QUALITY</v>
      </c>
      <c r="C7" t="str">
        <v>ENGINEER</v>
      </c>
    </row>
    <row r="8" spans="2:4" x14ac:dyDescent="0.25">
      <c r="B8" t="str">
        <v>RAMP</v>
      </c>
      <c r="C8" t="str">
        <v>FLIGHT_ENGINEER</v>
      </c>
    </row>
    <row r="9" spans="2:4" x14ac:dyDescent="0.25">
      <c r="B9" t="str">
        <v>SAFETY</v>
      </c>
      <c r="C9" t="str">
        <v>MAINTENANCE</v>
      </c>
    </row>
    <row r="10" spans="2:4" x14ac:dyDescent="0.25">
      <c r="B10" t="str">
        <v>STORES</v>
      </c>
      <c r="C10" t="str">
        <v>POSTHOLDER</v>
      </c>
    </row>
    <row r="11" spans="2:4" x14ac:dyDescent="0.25">
      <c r="C11" t="str">
        <v>PRODUCTION</v>
      </c>
    </row>
    <row r="12" spans="2:4" x14ac:dyDescent="0.25">
      <c r="C12" t="str">
        <v>QUALITY</v>
      </c>
    </row>
    <row r="13" spans="2:4" x14ac:dyDescent="0.25">
      <c r="C13" t="str">
        <v>RAMP</v>
      </c>
    </row>
    <row r="14" spans="2:4" x14ac:dyDescent="0.25">
      <c r="C14" t="str">
        <v>SAFETY</v>
      </c>
    </row>
    <row r="15" spans="2:4" x14ac:dyDescent="0.25">
      <c r="C15" t="str">
        <v>STORES</v>
      </c>
    </row>
    <row r="16" spans="2:4" x14ac:dyDescent="0.25">
      <c r="C16" t="str">
        <v>TECHNICAL_RECORDS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H41"/>
  <sheetViews>
    <sheetView showGridLines="0" workbookViewId="0">
      <selection activeCell="H23" sqref="H23"/>
    </sheetView>
  </sheetViews>
  <sheetFormatPr defaultRowHeight="15" x14ac:dyDescent="0.25"/>
  <cols>
    <col min="1" max="1" width="3.7109375" customWidth="1"/>
    <col min="2" max="2" width="12.7109375" customWidth="1"/>
    <col min="3" max="3" width="16.42578125" bestFit="1" customWidth="1"/>
    <col min="4" max="4" width="14.42578125" style="24" bestFit="1" customWidth="1"/>
    <col min="5" max="5" width="11.85546875" style="24" customWidth="1"/>
    <col min="6" max="6" width="11.7109375" style="24" customWidth="1"/>
    <col min="7" max="7" width="19" style="24" customWidth="1"/>
    <col min="8" max="8" width="27.7109375" style="48" bestFit="1" customWidth="1"/>
  </cols>
  <sheetData>
    <row r="1" spans="1:8" ht="18.75" x14ac:dyDescent="0.3">
      <c r="B1" s="108" t="s">
        <v>40</v>
      </c>
      <c r="C1" s="109"/>
      <c r="D1" s="110"/>
      <c r="E1" s="110"/>
      <c r="F1" s="110"/>
      <c r="G1" s="110"/>
      <c r="H1" s="111"/>
    </row>
    <row r="2" spans="1:8" x14ac:dyDescent="0.25">
      <c r="B2" s="112" t="s">
        <v>583</v>
      </c>
      <c r="C2" s="113"/>
      <c r="D2" s="114"/>
      <c r="E2" s="114"/>
      <c r="F2" s="114"/>
      <c r="G2" s="114"/>
      <c r="H2" s="111"/>
    </row>
    <row r="3" spans="1:8" ht="15" customHeight="1" x14ac:dyDescent="0.25">
      <c r="B3" s="115" t="s">
        <v>582</v>
      </c>
      <c r="C3" s="116"/>
      <c r="D3" s="114"/>
      <c r="E3" s="114"/>
      <c r="F3" s="114"/>
      <c r="G3" s="114"/>
      <c r="H3" s="122" t="s">
        <v>584</v>
      </c>
    </row>
    <row r="4" spans="1:8" x14ac:dyDescent="0.25">
      <c r="B4" s="112" t="s">
        <v>42</v>
      </c>
      <c r="C4" s="116"/>
      <c r="D4" s="114"/>
      <c r="E4" s="114"/>
      <c r="F4" s="114"/>
      <c r="G4" s="114"/>
      <c r="H4" s="122"/>
    </row>
    <row r="5" spans="1:8" x14ac:dyDescent="0.25">
      <c r="B5" s="112"/>
      <c r="C5" s="116"/>
      <c r="D5" s="114"/>
      <c r="E5" s="114"/>
      <c r="F5" s="114"/>
      <c r="G5" s="114"/>
      <c r="H5" s="122"/>
    </row>
    <row r="6" spans="1:8" x14ac:dyDescent="0.25">
      <c r="B6" s="112" t="s">
        <v>225</v>
      </c>
      <c r="C6" s="117"/>
      <c r="D6" s="114"/>
      <c r="E6" s="114"/>
      <c r="F6" s="114"/>
      <c r="G6" s="114"/>
      <c r="H6" s="122"/>
    </row>
    <row r="7" spans="1:8" x14ac:dyDescent="0.25">
      <c r="B7" s="104"/>
      <c r="C7" s="105"/>
      <c r="D7" s="106"/>
      <c r="E7" s="106"/>
      <c r="F7" s="106"/>
      <c r="G7" s="106"/>
      <c r="H7" s="107"/>
    </row>
    <row r="8" spans="1:8" x14ac:dyDescent="0.25">
      <c r="B8" s="59" t="s">
        <v>370</v>
      </c>
      <c r="C8" s="10"/>
      <c r="D8" s="26"/>
      <c r="E8" s="26"/>
      <c r="F8" s="26"/>
      <c r="G8" s="26"/>
    </row>
    <row r="9" spans="1:8" x14ac:dyDescent="0.25">
      <c r="D9" s="24" t="str" cm="1">
        <f t="array" ref="D9">IF(TRIM($C$9)="","",
  _xlfn._xlws.SORT(
    _xlfn._xlws.FILTER(tblCourses[CourseID]&amp;" — "&amp;tblCourses[CourseName],
           ISNUMBER(SEARCH(LOWER(TRIM($C$9)),
                           LOWER(tblCourses[CourseID]&amp;" "&amp;tblCourses[CourseName]))))
  )
)</f>
        <v/>
      </c>
    </row>
    <row r="10" spans="1:8" x14ac:dyDescent="0.25">
      <c r="A10" s="11"/>
      <c r="B10" s="47" t="s">
        <v>41</v>
      </c>
      <c r="C10" s="60" t="str">
        <f>B6</f>
        <v>QMS-INIT</v>
      </c>
      <c r="D10" s="50"/>
      <c r="E10" s="26"/>
      <c r="F10" s="26"/>
      <c r="G10" s="26"/>
    </row>
    <row r="11" spans="1:8" x14ac:dyDescent="0.25">
      <c r="A11" s="11"/>
      <c r="B11" s="44"/>
      <c r="C11" s="12"/>
      <c r="D11" s="50"/>
      <c r="E11" s="26"/>
      <c r="F11" s="26"/>
      <c r="G11" s="26"/>
    </row>
    <row r="12" spans="1:8" ht="25.5" x14ac:dyDescent="0.25">
      <c r="A12" s="11"/>
      <c r="B12" s="46" t="s">
        <v>275</v>
      </c>
      <c r="C12" s="119" t="str">
        <f>VLOOKUP($C$10,tblCourses[],2,FALSE)</f>
        <v>Quality Management Systems (Initial)</v>
      </c>
      <c r="D12" s="120"/>
      <c r="E12" s="121"/>
      <c r="F12" s="121"/>
      <c r="G12" s="121"/>
    </row>
    <row r="13" spans="1:8" x14ac:dyDescent="0.25">
      <c r="A13" s="11"/>
      <c r="B13" s="44"/>
      <c r="C13" s="12"/>
      <c r="D13" s="50"/>
      <c r="E13" s="26"/>
      <c r="F13" s="26"/>
      <c r="G13" s="26"/>
    </row>
    <row r="14" spans="1:8" s="43" customFormat="1" x14ac:dyDescent="0.25">
      <c r="A14" s="51"/>
      <c r="B14" s="45" t="s">
        <v>6</v>
      </c>
      <c r="C14" s="45" t="s">
        <v>7</v>
      </c>
      <c r="D14" s="45" t="s">
        <v>36</v>
      </c>
      <c r="E14" s="33" t="s">
        <v>37</v>
      </c>
      <c r="F14" s="33" t="s">
        <v>38</v>
      </c>
      <c r="G14" s="33" t="s">
        <v>39</v>
      </c>
      <c r="H14" s="72" t="s">
        <v>283</v>
      </c>
    </row>
    <row r="15" spans="1:8" x14ac:dyDescent="0.25">
      <c r="A15" s="61">
        <f t="shared" ref="A15:A41" ca="1" si="0">IF(B15=ISBLANK(""),"",A14+1)</f>
        <v>1</v>
      </c>
      <c r="B15" s="14" t="str" cm="1">
        <f t="array" aca="1" ref="B15:G16" ca="1">IF($C$10="","",
  IFERROR(
    _xlfn.LET(
      _xlpm.f,TRIM($C$10),
      _xlpm.cType,UPPER(TRIM(_xlfn.XLOOKUP(_xlpm.f,TRIM(tblCourses[CourseID]),tblCourses[Status],""))),
      _xlpm.freq,N(_xlfn.XLOOKUP(_xlpm.f,TRIM(tblCourses[CourseID]),tblCourses[FrequencyMonths],0)),
      _xlpm.isInitial,--(_xlpm.cType="INITIAL"),
      _xlpm.isRecurringItem,--(_xlpm.freq&gt;0),
      _xlpm.pAllID,TRIM(tblPeople[PersonID]),
      _xlpm.pAllName,tblPeople[PersonName],
      _xlpm.pAllStatus,UPPER(TRIM(tblPeople[Status])),
      _xlpm.activePeople,(_xlpm.pAllStatus="ACTIVE")*(_xlpm.pAllID&lt;&gt;""),
      _xlpm.pID,_xlfn._xlws.FILTER(_xlpm.pAllID,_xlpm.activePeople,""),
      _xlpm.pName,_xlfn._xlws.FILTER(_xlpm.pAllName,_xlpm.activePeople,""),
      _xlpm.mCourse,TRIM(tblCourseMatrix[CourseID]),
      _xlpm.mRole,UPPER(TRIM(tblCourseMatrix[RoleGroup])),
      _xlpm.mReq,UPPER(TRIM(tblCourseMatrix[Required]&amp;"")),
      _xlpm.mReqOK,--ISNUMBER(_xlfn.XMATCH(_xlpm.mReq,{"YES","Y","TRUE","1"})),
      _xlpm.mRows,(_xlpm.mCourse=_xlpm.f)*_xlpm.mReqOK,
      _xlpm.matrixHas,--(SUM(_xlpm.mRows)&gt;0),
      _xlpm.appRoles,_xlfn._xlws.FILTER(_xlpm.mRole,_xlpm.mRows,""),
      _xlpm.rPID,TRIM(tblPersonRoles[PersonID]),
      _xlpm.rRole,UPPER(TRIM(tblPersonRoles[RoleGroup])),
      _xlpm.rActive,UPPER(TRIM(tblPersonRoles[ActiveRole]&amp;"")),
      _xlpm.rActiveOK,--ISNUMBER(_xlfn.XMATCH(_xlpm.rActive,{"YES","Y","TRUE","1"})),
      _xlpm.hasAll,--ISNUMBER(_xlfn.XMATCH("ALL",_xlpm.appRoles)),
      _xlpm.roleEligible,
        IF(
          _xlpm.matrixHas,
          IF(
            _xlpm.hasAll,
            TRUE,
            _xlfn.MAP(
              _xlpm.pID,
              _xlfn.LAMBDA(_xlpm.x,
                SUM((_xlpm.rPID=_xlpm.x)*_xlpm.rActiveOK*--ISNUMBER(_xlfn.XMATCH(_xlpm.rRole,_xlpm.appRoles)))&gt;0
              )
            )
          ),
          TRUE
        ),
      _xlpm.last,
        _xlfn.MAP(
          _xlpm.pID,
          _xlfn.LAMBDA(_xlpm.x,
            _xlfn.LET(
              _xlpm.vals,_xlfn._xlws.FILTER(tblTraining[LastTrainingDate],(TRIM(tblTraining[PersonID])=_xlpm.x)*(TRIM(tblTraining[CourseID])=_xlpm.f),""),
              _xlpm.vals2,IFERROR(--_xlpm.vals,IFERROR(DATEVALUE(_xlpm.vals),"")),
              IF(SUM(N(_xlpm.vals2))=0,"",MAX(_xlpm.vals2))
            )
          )
        ),
      _xlpm.hasRecord,--(_xlpm.last&lt;&gt;""),
      _xlpm.missingRequired,--(_xlpm.matrixHas*--_xlpm.roleEligible*(1-_xlpm.hasRecord)),
      _xlpm.due,
        IF(
          _xlpm.hasRecord,
          IF(_xlpm.freq&gt;0,EDATE(_xlpm.last,_xlpm.freq),""),
          IF(_xlpm.missingRequired,TODAY(),"")
        ),
      _xlpm.days,IF(_xlpm.due="","",_xlpm.due-TODAY()),
      _xlpm.courseStatus,
        IF(
          _xlpm.hasRecord,
          IF(_xlpm.freq&lt;=0,"OK",IF(_xlpm.due&lt;TODAY(),"Overdue",IF(_xlpm.days&lt;=60,"Due Soon","OK"))),
          IF(
            _xlpm.missingRequired,
            IF(_xlpm.isInitial,"Initial Required",IF(_xlpm.isRecurringItem,"Record Required","Required")),
            ""
          )
        ),
      _xlpm.keep,--_xlpm.roleEligible*((_xlpm.courseStatus="Initial Required")+(_xlpm.courseStatus="Record Required")+(_xlpm.courseStatus="Required")+(_xlpm.courseStatus="Overdue")+(_xlpm.courseStatus="Due Soon")),
      _xlpm.out,_xlfn.HSTACK(_xlpm.pID,_xlpm.pName,_xlpm.last,_xlpm.due,_xlpm.days,_xlpm.courseStatus),
      _xlpm.list,_xlfn._xlws.FILTER(_xlpm.out,_xlpm.keep,""),
      _xlfn.SORTBY(
        _xlpm.list,
        _xlfn.XLOOKUP(_xlfn.CHOOSECOLS(_xlpm.list,6),{"Initial Required","Record Required","Required","Overdue","Due Soon"},{0,1,2,3,4}),
        1,
        _xlfn.CHOOSECOLS(_xlpm.list,5),
        1,
        _xlfn.CHOOSECOLS(_xlpm.list,2),
        1
      )
    ),
  "")
)</f>
        <v>NTHA01</v>
      </c>
      <c r="C15" s="14" t="str">
        <f ca="1"/>
        <v>Angeline Nthakyo</v>
      </c>
      <c r="D15" s="29" t="str">
        <f ca="1"/>
        <v/>
      </c>
      <c r="E15" s="29">
        <f ca="1"/>
        <v>46286</v>
      </c>
      <c r="F15" s="30">
        <f ca="1"/>
        <v>0</v>
      </c>
      <c r="G15" s="30" t="str">
        <f ca="1"/>
        <v>Initial Required</v>
      </c>
      <c r="H15" s="73" t="str">
        <f ca="1">IFERROR(VLOOKUP(B15,tblPeople[],14,FALSE),"")</f>
        <v>angelinembithe18@gmail.com</v>
      </c>
    </row>
    <row r="16" spans="1:8" x14ac:dyDescent="0.25">
      <c r="A16" s="61">
        <f t="shared" ca="1" si="0"/>
        <v>2</v>
      </c>
      <c r="B16" s="14" t="str">
        <f ca="1"/>
        <v>CHEG01</v>
      </c>
      <c r="C16" s="14" t="str">
        <f ca="1"/>
        <v>Martin Chege</v>
      </c>
      <c r="D16" s="29" t="str">
        <f ca="1"/>
        <v/>
      </c>
      <c r="E16" s="29">
        <f ca="1"/>
        <v>46286</v>
      </c>
      <c r="F16" s="30">
        <f ca="1"/>
        <v>0</v>
      </c>
      <c r="G16" s="30" t="str">
        <f ca="1"/>
        <v>Initial Required</v>
      </c>
      <c r="H16" s="73" t="str">
        <f ca="1">IFERROR(VLOOKUP(B16,tblPeople[],14,FALSE),"")</f>
        <v>martinchege44@gmail.com</v>
      </c>
    </row>
    <row r="17" spans="1:8" x14ac:dyDescent="0.25">
      <c r="A17" s="61" t="str">
        <f t="shared" si="0"/>
        <v/>
      </c>
      <c r="B17" s="14"/>
      <c r="C17" s="14"/>
      <c r="D17" s="29"/>
      <c r="E17" s="29"/>
      <c r="F17" s="30"/>
      <c r="G17" s="30"/>
      <c r="H17" s="73" t="str">
        <f>IFERROR(VLOOKUP(B17,tblPeople[],14,FALSE),"")</f>
        <v/>
      </c>
    </row>
    <row r="18" spans="1:8" x14ac:dyDescent="0.25">
      <c r="A18" s="61" t="str">
        <f t="shared" si="0"/>
        <v/>
      </c>
      <c r="B18" s="14"/>
      <c r="C18" s="14"/>
      <c r="D18" s="29"/>
      <c r="E18" s="29"/>
      <c r="F18" s="30"/>
      <c r="G18" s="30"/>
      <c r="H18" s="73" t="str">
        <f>IFERROR(VLOOKUP(B18,tblPeople[],14,FALSE),"")</f>
        <v/>
      </c>
    </row>
    <row r="19" spans="1:8" x14ac:dyDescent="0.25">
      <c r="A19" s="61" t="str">
        <f t="shared" si="0"/>
        <v/>
      </c>
      <c r="B19" s="14"/>
      <c r="C19" s="14"/>
      <c r="D19" s="29"/>
      <c r="E19" s="29"/>
      <c r="F19" s="30"/>
      <c r="G19" s="30"/>
      <c r="H19" s="73" t="str">
        <f>IFERROR(VLOOKUP(B19,tblPeople[],14,FALSE),"")</f>
        <v/>
      </c>
    </row>
    <row r="20" spans="1:8" x14ac:dyDescent="0.25">
      <c r="A20" s="61" t="str">
        <f t="shared" si="0"/>
        <v/>
      </c>
      <c r="B20" s="14"/>
      <c r="C20" s="14"/>
      <c r="D20" s="29"/>
      <c r="E20" s="29"/>
      <c r="F20" s="30"/>
      <c r="G20" s="30"/>
      <c r="H20" s="73" t="str">
        <f>IFERROR(VLOOKUP(B20,tblPeople[],14,FALSE),"")</f>
        <v/>
      </c>
    </row>
    <row r="21" spans="1:8" x14ac:dyDescent="0.25">
      <c r="A21" s="61" t="str">
        <f t="shared" si="0"/>
        <v/>
      </c>
      <c r="B21" s="14"/>
      <c r="C21" s="14"/>
      <c r="D21" s="29"/>
      <c r="E21" s="29"/>
      <c r="F21" s="30"/>
      <c r="G21" s="30"/>
      <c r="H21" s="73" t="str">
        <f>IFERROR(VLOOKUP(B21,tblPeople[],14,FALSE),"")</f>
        <v/>
      </c>
    </row>
    <row r="22" spans="1:8" x14ac:dyDescent="0.25">
      <c r="A22" s="61" t="str">
        <f t="shared" si="0"/>
        <v/>
      </c>
      <c r="B22" s="14"/>
      <c r="C22" s="14"/>
      <c r="D22" s="29"/>
      <c r="E22" s="29"/>
      <c r="F22" s="30"/>
      <c r="G22" s="30"/>
      <c r="H22" s="73" t="str">
        <f>IFERROR(VLOOKUP(B22,tblPeople[],14,FALSE),"")</f>
        <v/>
      </c>
    </row>
    <row r="23" spans="1:8" x14ac:dyDescent="0.25">
      <c r="A23" s="61" t="str">
        <f t="shared" si="0"/>
        <v/>
      </c>
      <c r="B23" s="14"/>
      <c r="C23" s="14"/>
      <c r="D23" s="29"/>
      <c r="E23" s="29"/>
      <c r="F23" s="30"/>
      <c r="G23" s="30"/>
      <c r="H23" s="73" t="str">
        <f>IFERROR(VLOOKUP(B23,tblPeople[],14,FALSE),"")</f>
        <v/>
      </c>
    </row>
    <row r="24" spans="1:8" x14ac:dyDescent="0.25">
      <c r="A24" s="61" t="str">
        <f t="shared" si="0"/>
        <v/>
      </c>
      <c r="B24" s="14"/>
      <c r="C24" s="14"/>
      <c r="D24" s="29"/>
      <c r="E24" s="29"/>
      <c r="F24" s="30"/>
      <c r="G24" s="30"/>
      <c r="H24" s="73" t="str">
        <f>IFERROR(VLOOKUP(B24,tblPeople[],14,FALSE),"")</f>
        <v/>
      </c>
    </row>
    <row r="25" spans="1:8" x14ac:dyDescent="0.25">
      <c r="A25" s="61" t="str">
        <f t="shared" si="0"/>
        <v/>
      </c>
      <c r="B25" s="14"/>
      <c r="C25" s="14"/>
      <c r="D25" s="29"/>
      <c r="E25" s="29"/>
      <c r="F25" s="30"/>
      <c r="G25" s="30"/>
      <c r="H25" s="73" t="str">
        <f>IFERROR(VLOOKUP(B25,tblPeople[],14,FALSE),"")</f>
        <v/>
      </c>
    </row>
    <row r="26" spans="1:8" x14ac:dyDescent="0.25">
      <c r="A26" s="61" t="str">
        <f t="shared" si="0"/>
        <v/>
      </c>
      <c r="B26" s="14"/>
      <c r="C26" s="14"/>
      <c r="D26" s="29"/>
      <c r="E26" s="29"/>
      <c r="F26" s="30"/>
      <c r="G26" s="30"/>
      <c r="H26" s="73" t="str">
        <f>IFERROR(VLOOKUP(B26,tblPeople[],14,FALSE),"")</f>
        <v/>
      </c>
    </row>
    <row r="27" spans="1:8" x14ac:dyDescent="0.25">
      <c r="A27" s="61" t="str">
        <f t="shared" si="0"/>
        <v/>
      </c>
      <c r="B27" s="14"/>
      <c r="C27" s="14"/>
      <c r="D27" s="29"/>
      <c r="E27" s="29"/>
      <c r="F27" s="30"/>
      <c r="G27" s="30"/>
      <c r="H27" s="73" t="str">
        <f>IFERROR(VLOOKUP(B27,tblPeople[],14,FALSE),"")</f>
        <v/>
      </c>
    </row>
    <row r="28" spans="1:8" x14ac:dyDescent="0.25">
      <c r="A28" s="61" t="str">
        <f t="shared" si="0"/>
        <v/>
      </c>
      <c r="B28" s="14"/>
      <c r="C28" s="14"/>
      <c r="D28" s="29"/>
      <c r="E28" s="29"/>
      <c r="F28" s="30"/>
      <c r="G28" s="30"/>
      <c r="H28" s="73" t="str">
        <f>IFERROR(VLOOKUP(B28,tblPeople[],14,FALSE),"")</f>
        <v/>
      </c>
    </row>
    <row r="29" spans="1:8" x14ac:dyDescent="0.25">
      <c r="A29" s="61" t="str">
        <f t="shared" si="0"/>
        <v/>
      </c>
      <c r="B29" s="14"/>
      <c r="C29" s="14"/>
      <c r="D29" s="29"/>
      <c r="E29" s="29"/>
      <c r="F29" s="30"/>
      <c r="G29" s="30"/>
      <c r="H29" s="73" t="str">
        <f>IFERROR(VLOOKUP(B29,tblPeople[],14,FALSE),"")</f>
        <v/>
      </c>
    </row>
    <row r="30" spans="1:8" x14ac:dyDescent="0.25">
      <c r="A30" s="61" t="str">
        <f t="shared" si="0"/>
        <v/>
      </c>
      <c r="B30" s="14"/>
      <c r="C30" s="14"/>
      <c r="D30" s="29"/>
      <c r="E30" s="29"/>
      <c r="F30" s="30"/>
      <c r="G30" s="30"/>
      <c r="H30" s="73" t="str">
        <f>IFERROR(VLOOKUP(B30,tblPeople[],14,FALSE),"")</f>
        <v/>
      </c>
    </row>
    <row r="31" spans="1:8" x14ac:dyDescent="0.25">
      <c r="A31" s="61" t="str">
        <f t="shared" si="0"/>
        <v/>
      </c>
      <c r="B31" s="14"/>
      <c r="C31" s="14"/>
      <c r="D31" s="29"/>
      <c r="E31" s="29"/>
      <c r="F31" s="30"/>
      <c r="G31" s="30"/>
      <c r="H31" s="73" t="str">
        <f>IFERROR(VLOOKUP(B31,tblPeople[],14,FALSE),"")</f>
        <v/>
      </c>
    </row>
    <row r="32" spans="1:8" x14ac:dyDescent="0.25">
      <c r="A32" s="61" t="str">
        <f t="shared" si="0"/>
        <v/>
      </c>
      <c r="B32" s="14"/>
      <c r="C32" s="14"/>
      <c r="D32" s="29"/>
      <c r="E32" s="29"/>
      <c r="F32" s="30"/>
      <c r="G32" s="30"/>
      <c r="H32" s="73" t="str">
        <f>IFERROR(VLOOKUP(B32,tblPeople[],14,FALSE),"")</f>
        <v/>
      </c>
    </row>
    <row r="33" spans="1:8" x14ac:dyDescent="0.25">
      <c r="A33" s="61" t="str">
        <f t="shared" si="0"/>
        <v/>
      </c>
      <c r="B33" s="14"/>
      <c r="C33" s="14"/>
      <c r="D33" s="29"/>
      <c r="E33" s="29"/>
      <c r="F33" s="30"/>
      <c r="G33" s="30"/>
      <c r="H33" s="73" t="str">
        <f>IFERROR(VLOOKUP(B33,tblPeople[],14,FALSE),"")</f>
        <v/>
      </c>
    </row>
    <row r="34" spans="1:8" x14ac:dyDescent="0.25">
      <c r="A34" s="61" t="str">
        <f t="shared" si="0"/>
        <v/>
      </c>
      <c r="B34" s="14"/>
      <c r="C34" s="14"/>
      <c r="D34" s="29"/>
      <c r="E34" s="29"/>
      <c r="F34" s="30"/>
      <c r="G34" s="30"/>
      <c r="H34" s="73" t="str">
        <f>IFERROR(VLOOKUP(B34,tblPeople[],14,FALSE),"")</f>
        <v/>
      </c>
    </row>
    <row r="35" spans="1:8" x14ac:dyDescent="0.25">
      <c r="A35" s="61" t="str">
        <f t="shared" si="0"/>
        <v/>
      </c>
      <c r="B35" s="14"/>
      <c r="C35" s="14"/>
      <c r="D35" s="29"/>
      <c r="E35" s="29"/>
      <c r="F35" s="30"/>
      <c r="G35" s="30"/>
      <c r="H35" s="73" t="str">
        <f>IFERROR(VLOOKUP(B35,tblPeople[],14,FALSE),"")</f>
        <v/>
      </c>
    </row>
    <row r="36" spans="1:8" x14ac:dyDescent="0.25">
      <c r="A36" s="61" t="str">
        <f t="shared" si="0"/>
        <v/>
      </c>
      <c r="B36" s="14"/>
      <c r="C36" s="14"/>
      <c r="D36" s="29"/>
      <c r="E36" s="29"/>
      <c r="F36" s="30"/>
      <c r="G36" s="30"/>
      <c r="H36" s="73" t="str">
        <f>IFERROR(VLOOKUP(B36,tblPeople[],14,FALSE),"")</f>
        <v/>
      </c>
    </row>
    <row r="37" spans="1:8" x14ac:dyDescent="0.25">
      <c r="A37" s="61" t="str">
        <f t="shared" si="0"/>
        <v/>
      </c>
      <c r="B37" s="14"/>
      <c r="C37" s="14"/>
      <c r="D37" s="29"/>
      <c r="E37" s="29"/>
      <c r="F37" s="30"/>
      <c r="G37" s="30"/>
      <c r="H37" s="73" t="str">
        <f>IFERROR(VLOOKUP(B37,tblPeople[],14,FALSE),"")</f>
        <v/>
      </c>
    </row>
    <row r="38" spans="1:8" x14ac:dyDescent="0.25">
      <c r="A38" s="61" t="str">
        <f t="shared" si="0"/>
        <v/>
      </c>
      <c r="B38" s="14"/>
      <c r="C38" s="14"/>
      <c r="D38" s="29"/>
      <c r="E38" s="29"/>
      <c r="F38" s="30"/>
      <c r="G38" s="30"/>
      <c r="H38" s="73" t="str">
        <f>IFERROR(VLOOKUP(B38,tblPeople[],14,FALSE),"")</f>
        <v/>
      </c>
    </row>
    <row r="39" spans="1:8" x14ac:dyDescent="0.25">
      <c r="A39" s="61" t="str">
        <f t="shared" si="0"/>
        <v/>
      </c>
      <c r="B39" s="14"/>
      <c r="C39" s="14"/>
      <c r="D39" s="29"/>
      <c r="E39" s="29"/>
      <c r="F39" s="30"/>
      <c r="G39" s="30"/>
      <c r="H39" s="73" t="str">
        <f>IFERROR(VLOOKUP(B39,tblPeople[],14,FALSE),"")</f>
        <v/>
      </c>
    </row>
    <row r="40" spans="1:8" x14ac:dyDescent="0.25">
      <c r="A40" s="61" t="str">
        <f t="shared" si="0"/>
        <v/>
      </c>
      <c r="B40" s="14"/>
      <c r="C40" s="14"/>
      <c r="D40" s="29"/>
      <c r="E40" s="29"/>
      <c r="F40" s="30"/>
      <c r="G40" s="30"/>
      <c r="H40" s="73" t="str">
        <f>IFERROR(VLOOKUP(B40,tblPeople[],14,FALSE),"")</f>
        <v/>
      </c>
    </row>
    <row r="41" spans="1:8" x14ac:dyDescent="0.25">
      <c r="A41" s="61" t="str">
        <f t="shared" si="0"/>
        <v/>
      </c>
      <c r="B41" s="14"/>
      <c r="C41" s="14"/>
      <c r="D41" s="29"/>
      <c r="E41" s="29"/>
      <c r="F41" s="30"/>
      <c r="G41" s="30"/>
      <c r="H41" s="73" t="str">
        <f>IFERROR(VLOOKUP(B41,tblPeople[],14,FALSE),"")</f>
        <v/>
      </c>
    </row>
  </sheetData>
  <mergeCells count="2">
    <mergeCell ref="C12:G12"/>
    <mergeCell ref="H3:H6"/>
  </mergeCells>
  <printOptions horizontalCentered="1"/>
  <pageMargins left="0.70866141732283505" right="0.70866141732283505" top="0.94488188976377996" bottom="0.74803149606299202" header="0.31496062992126" footer="0.31496062992126"/>
  <pageSetup paperSize="9" scale="97" fitToHeight="0" orientation="portrait" r:id="rId1"/>
  <headerFooter>
    <oddHeader>&amp;L&amp;G</oddHeader>
    <oddFooter>&amp;LPrinted on &amp;D &amp;T&amp;RPage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FindCourse">
                <anchor>
                  <from>
                    <xdr:col>5</xdr:col>
                    <xdr:colOff>9525</xdr:colOff>
                    <xdr:row>4</xdr:row>
                    <xdr:rowOff>0</xdr:rowOff>
                  </from>
                  <to>
                    <xdr:col>6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ShowTrainingForm">
                <anchor>
                  <from>
                    <xdr:col>6</xdr:col>
                    <xdr:colOff>476250</xdr:colOff>
                    <xdr:row>4</xdr:row>
                    <xdr:rowOff>0</xdr:rowOff>
                  </from>
                  <to>
                    <xdr:col>7</xdr:col>
                    <xdr:colOff>114300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D8244-B774-49DB-A282-302660474355}">
  <dimension ref="A1:B15"/>
  <sheetViews>
    <sheetView workbookViewId="0">
      <selection activeCell="B11" sqref="B11"/>
    </sheetView>
  </sheetViews>
  <sheetFormatPr defaultRowHeight="15" x14ac:dyDescent="0.25"/>
  <cols>
    <col min="1" max="1" width="20.140625" bestFit="1" customWidth="1"/>
    <col min="2" max="2" width="81.140625" bestFit="1" customWidth="1"/>
  </cols>
  <sheetData>
    <row r="1" spans="1:2" x14ac:dyDescent="0.25">
      <c r="A1" t="s">
        <v>522</v>
      </c>
      <c r="B1" t="s">
        <v>523</v>
      </c>
    </row>
    <row r="2" spans="1:2" x14ac:dyDescent="0.25">
      <c r="A2" t="s">
        <v>524</v>
      </c>
      <c r="B2" t="s">
        <v>525</v>
      </c>
    </row>
    <row r="3" spans="1:2" x14ac:dyDescent="0.25">
      <c r="A3" t="s">
        <v>585</v>
      </c>
      <c r="B3" t="s">
        <v>586</v>
      </c>
    </row>
    <row r="4" spans="1:2" x14ac:dyDescent="0.25">
      <c r="A4" t="s">
        <v>285</v>
      </c>
      <c r="B4" t="s">
        <v>526</v>
      </c>
    </row>
    <row r="5" spans="1:2" x14ac:dyDescent="0.25">
      <c r="A5" t="s">
        <v>588</v>
      </c>
      <c r="B5" t="s">
        <v>590</v>
      </c>
    </row>
    <row r="6" spans="1:2" x14ac:dyDescent="0.25">
      <c r="A6" t="s">
        <v>527</v>
      </c>
      <c r="B6" t="s">
        <v>528</v>
      </c>
    </row>
    <row r="7" spans="1:2" x14ac:dyDescent="0.25">
      <c r="A7" t="s">
        <v>293</v>
      </c>
      <c r="B7" t="s">
        <v>529</v>
      </c>
    </row>
    <row r="8" spans="1:2" x14ac:dyDescent="0.25">
      <c r="A8" t="s">
        <v>301</v>
      </c>
      <c r="B8" t="s">
        <v>530</v>
      </c>
    </row>
    <row r="9" spans="1:2" x14ac:dyDescent="0.25">
      <c r="A9" t="s">
        <v>531</v>
      </c>
      <c r="B9" t="s">
        <v>532</v>
      </c>
    </row>
    <row r="10" spans="1:2" x14ac:dyDescent="0.25">
      <c r="A10" t="s">
        <v>289</v>
      </c>
      <c r="B10" t="s">
        <v>533</v>
      </c>
    </row>
    <row r="11" spans="1:2" x14ac:dyDescent="0.25">
      <c r="A11" t="s">
        <v>601</v>
      </c>
      <c r="B11" t="s">
        <v>602</v>
      </c>
    </row>
    <row r="12" spans="1:2" x14ac:dyDescent="0.25">
      <c r="A12" t="s">
        <v>286</v>
      </c>
      <c r="B12" t="s">
        <v>534</v>
      </c>
    </row>
    <row r="13" spans="1:2" x14ac:dyDescent="0.25">
      <c r="A13" t="s">
        <v>284</v>
      </c>
      <c r="B13" t="s">
        <v>535</v>
      </c>
    </row>
    <row r="14" spans="1:2" x14ac:dyDescent="0.25">
      <c r="A14" t="s">
        <v>536</v>
      </c>
      <c r="B14" t="s">
        <v>537</v>
      </c>
    </row>
    <row r="15" spans="1:2" x14ac:dyDescent="0.25">
      <c r="A15" t="s">
        <v>299</v>
      </c>
      <c r="B15" t="s">
        <v>538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45C00-719E-41EF-BD62-E620A8AC183C}">
  <dimension ref="A1:F140"/>
  <sheetViews>
    <sheetView topLeftCell="A64" workbookViewId="0">
      <selection activeCell="B126" sqref="B126"/>
    </sheetView>
  </sheetViews>
  <sheetFormatPr defaultRowHeight="15" x14ac:dyDescent="0.25"/>
  <cols>
    <col min="1" max="1" width="11.28515625" bestFit="1" customWidth="1"/>
    <col min="2" max="2" width="20.140625" bestFit="1" customWidth="1"/>
    <col min="3" max="3" width="14.42578125" bestFit="1" customWidth="1"/>
    <col min="4" max="4" width="31.42578125" bestFit="1" customWidth="1"/>
    <col min="5" max="5" width="12.85546875" bestFit="1" customWidth="1"/>
    <col min="6" max="6" width="74" bestFit="1" customWidth="1"/>
  </cols>
  <sheetData>
    <row r="1" spans="1:6" x14ac:dyDescent="0.25">
      <c r="A1" t="s">
        <v>6</v>
      </c>
      <c r="B1" t="s">
        <v>522</v>
      </c>
      <c r="C1" t="s">
        <v>8</v>
      </c>
      <c r="D1" t="s">
        <v>400</v>
      </c>
      <c r="E1" t="s">
        <v>539</v>
      </c>
      <c r="F1" t="s">
        <v>4</v>
      </c>
    </row>
    <row r="2" spans="1:6" x14ac:dyDescent="0.25">
      <c r="A2" t="s">
        <v>371</v>
      </c>
      <c r="B2" t="s">
        <v>293</v>
      </c>
      <c r="C2" t="s">
        <v>293</v>
      </c>
      <c r="D2" t="s">
        <v>307</v>
      </c>
      <c r="E2" t="s">
        <v>379</v>
      </c>
      <c r="F2" t="s">
        <v>540</v>
      </c>
    </row>
    <row r="3" spans="1:6" x14ac:dyDescent="0.25">
      <c r="A3" t="s">
        <v>120</v>
      </c>
      <c r="B3" t="s">
        <v>285</v>
      </c>
      <c r="C3" t="s">
        <v>285</v>
      </c>
      <c r="D3" t="s">
        <v>288</v>
      </c>
      <c r="E3" t="s">
        <v>379</v>
      </c>
      <c r="F3" t="s">
        <v>541</v>
      </c>
    </row>
    <row r="4" spans="1:6" x14ac:dyDescent="0.25">
      <c r="A4" t="s">
        <v>120</v>
      </c>
      <c r="B4" t="s">
        <v>601</v>
      </c>
      <c r="C4" t="s">
        <v>285</v>
      </c>
      <c r="D4" t="s">
        <v>288</v>
      </c>
      <c r="E4" t="s">
        <v>379</v>
      </c>
      <c r="F4" t="s">
        <v>603</v>
      </c>
    </row>
    <row r="5" spans="1:6" x14ac:dyDescent="0.25">
      <c r="A5" t="s">
        <v>274</v>
      </c>
      <c r="B5" t="s">
        <v>536</v>
      </c>
      <c r="C5" t="s">
        <v>284</v>
      </c>
      <c r="D5" t="s">
        <v>297</v>
      </c>
      <c r="E5" t="s">
        <v>379</v>
      </c>
      <c r="F5" t="s">
        <v>543</v>
      </c>
    </row>
    <row r="6" spans="1:6" x14ac:dyDescent="0.25">
      <c r="A6" t="s">
        <v>274</v>
      </c>
      <c r="B6" t="s">
        <v>531</v>
      </c>
      <c r="C6" t="s">
        <v>301</v>
      </c>
      <c r="D6" t="s">
        <v>297</v>
      </c>
      <c r="E6" t="s">
        <v>379</v>
      </c>
      <c r="F6" t="s">
        <v>577</v>
      </c>
    </row>
    <row r="7" spans="1:6" x14ac:dyDescent="0.25">
      <c r="A7" t="s">
        <v>119</v>
      </c>
      <c r="B7" t="s">
        <v>285</v>
      </c>
      <c r="C7" t="s">
        <v>285</v>
      </c>
      <c r="D7" t="s">
        <v>288</v>
      </c>
      <c r="E7" t="s">
        <v>379</v>
      </c>
      <c r="F7" t="s">
        <v>541</v>
      </c>
    </row>
    <row r="8" spans="1:6" x14ac:dyDescent="0.25">
      <c r="A8" t="s">
        <v>117</v>
      </c>
      <c r="B8" t="s">
        <v>286</v>
      </c>
      <c r="C8" t="s">
        <v>286</v>
      </c>
      <c r="D8" t="s">
        <v>508</v>
      </c>
      <c r="E8" t="s">
        <v>379</v>
      </c>
      <c r="F8" t="s">
        <v>544</v>
      </c>
    </row>
    <row r="9" spans="1:6" x14ac:dyDescent="0.25">
      <c r="A9" t="s">
        <v>397</v>
      </c>
      <c r="B9" t="s">
        <v>285</v>
      </c>
      <c r="C9" t="s">
        <v>285</v>
      </c>
      <c r="D9" t="s">
        <v>401</v>
      </c>
      <c r="E9" t="s">
        <v>379</v>
      </c>
      <c r="F9" t="s">
        <v>541</v>
      </c>
    </row>
    <row r="10" spans="1:6" x14ac:dyDescent="0.25">
      <c r="A10" t="s">
        <v>89</v>
      </c>
      <c r="B10" t="s">
        <v>536</v>
      </c>
      <c r="C10" t="s">
        <v>284</v>
      </c>
      <c r="D10" t="s">
        <v>431</v>
      </c>
      <c r="E10" t="s">
        <v>379</v>
      </c>
      <c r="F10" t="s">
        <v>545</v>
      </c>
    </row>
    <row r="11" spans="1:6" x14ac:dyDescent="0.25">
      <c r="A11" t="s">
        <v>89</v>
      </c>
      <c r="B11" t="s">
        <v>531</v>
      </c>
      <c r="C11" t="s">
        <v>301</v>
      </c>
      <c r="D11" t="s">
        <v>431</v>
      </c>
      <c r="E11" t="s">
        <v>379</v>
      </c>
      <c r="F11" t="s">
        <v>577</v>
      </c>
    </row>
    <row r="12" spans="1:6" x14ac:dyDescent="0.25">
      <c r="A12" t="s">
        <v>103</v>
      </c>
      <c r="B12" t="s">
        <v>293</v>
      </c>
      <c r="C12" t="s">
        <v>293</v>
      </c>
      <c r="D12" t="s">
        <v>292</v>
      </c>
      <c r="E12" t="s">
        <v>379</v>
      </c>
      <c r="F12" t="s">
        <v>540</v>
      </c>
    </row>
    <row r="13" spans="1:6" x14ac:dyDescent="0.25">
      <c r="A13" t="s">
        <v>103</v>
      </c>
      <c r="B13" t="s">
        <v>285</v>
      </c>
      <c r="C13" t="s">
        <v>285</v>
      </c>
      <c r="D13" t="s">
        <v>292</v>
      </c>
      <c r="E13" t="s">
        <v>379</v>
      </c>
      <c r="F13" t="s">
        <v>546</v>
      </c>
    </row>
    <row r="14" spans="1:6" x14ac:dyDescent="0.25">
      <c r="A14" t="s">
        <v>103</v>
      </c>
      <c r="B14" t="s">
        <v>289</v>
      </c>
      <c r="C14" t="s">
        <v>285</v>
      </c>
      <c r="D14" t="s">
        <v>292</v>
      </c>
      <c r="E14" t="s">
        <v>379</v>
      </c>
      <c r="F14" t="s">
        <v>547</v>
      </c>
    </row>
    <row r="15" spans="1:6" x14ac:dyDescent="0.25">
      <c r="A15" t="s">
        <v>103</v>
      </c>
      <c r="B15" t="s">
        <v>527</v>
      </c>
      <c r="C15" t="s">
        <v>285</v>
      </c>
      <c r="D15" t="s">
        <v>292</v>
      </c>
      <c r="E15" t="s">
        <v>379</v>
      </c>
      <c r="F15" t="s">
        <v>548</v>
      </c>
    </row>
    <row r="16" spans="1:6" x14ac:dyDescent="0.25">
      <c r="A16" t="s">
        <v>104</v>
      </c>
      <c r="B16" t="s">
        <v>285</v>
      </c>
      <c r="C16" t="s">
        <v>285</v>
      </c>
      <c r="D16" t="s">
        <v>432</v>
      </c>
      <c r="E16" t="s">
        <v>379</v>
      </c>
      <c r="F16" t="s">
        <v>541</v>
      </c>
    </row>
    <row r="17" spans="1:6" x14ac:dyDescent="0.25">
      <c r="A17" t="s">
        <v>104</v>
      </c>
      <c r="B17" t="s">
        <v>289</v>
      </c>
      <c r="C17" t="s">
        <v>285</v>
      </c>
      <c r="D17" t="s">
        <v>432</v>
      </c>
      <c r="E17" t="s">
        <v>379</v>
      </c>
      <c r="F17" t="s">
        <v>549</v>
      </c>
    </row>
    <row r="18" spans="1:6" x14ac:dyDescent="0.25">
      <c r="A18" t="s">
        <v>104</v>
      </c>
      <c r="B18" t="s">
        <v>527</v>
      </c>
      <c r="C18" t="s">
        <v>285</v>
      </c>
      <c r="D18" t="s">
        <v>432</v>
      </c>
      <c r="E18" t="s">
        <v>379</v>
      </c>
      <c r="F18" t="s">
        <v>550</v>
      </c>
    </row>
    <row r="19" spans="1:6" x14ac:dyDescent="0.25">
      <c r="A19" t="s">
        <v>104</v>
      </c>
      <c r="B19" t="s">
        <v>601</v>
      </c>
      <c r="C19" t="s">
        <v>285</v>
      </c>
      <c r="D19" t="s">
        <v>432</v>
      </c>
      <c r="E19" t="s">
        <v>379</v>
      </c>
      <c r="F19" t="s">
        <v>603</v>
      </c>
    </row>
    <row r="20" spans="1:6" x14ac:dyDescent="0.25">
      <c r="A20" t="s">
        <v>409</v>
      </c>
      <c r="B20" t="s">
        <v>536</v>
      </c>
      <c r="C20" t="s">
        <v>284</v>
      </c>
      <c r="D20" t="s">
        <v>297</v>
      </c>
      <c r="E20" t="s">
        <v>379</v>
      </c>
      <c r="F20" t="s">
        <v>543</v>
      </c>
    </row>
    <row r="21" spans="1:6" x14ac:dyDescent="0.25">
      <c r="A21" t="s">
        <v>83</v>
      </c>
      <c r="B21" t="s">
        <v>286</v>
      </c>
      <c r="C21" t="s">
        <v>286</v>
      </c>
      <c r="D21" t="s">
        <v>509</v>
      </c>
      <c r="E21" t="s">
        <v>379</v>
      </c>
      <c r="F21" t="s">
        <v>551</v>
      </c>
    </row>
    <row r="22" spans="1:6" x14ac:dyDescent="0.25">
      <c r="A22" t="s">
        <v>150</v>
      </c>
      <c r="B22" t="s">
        <v>293</v>
      </c>
      <c r="C22" t="s">
        <v>293</v>
      </c>
      <c r="D22" t="s">
        <v>290</v>
      </c>
      <c r="E22" t="s">
        <v>379</v>
      </c>
      <c r="F22" t="s">
        <v>540</v>
      </c>
    </row>
    <row r="23" spans="1:6" x14ac:dyDescent="0.25">
      <c r="A23" t="s">
        <v>150</v>
      </c>
      <c r="B23" t="s">
        <v>301</v>
      </c>
      <c r="C23" t="s">
        <v>301</v>
      </c>
      <c r="D23" t="s">
        <v>290</v>
      </c>
      <c r="E23" t="s">
        <v>379</v>
      </c>
      <c r="F23" t="s">
        <v>542</v>
      </c>
    </row>
    <row r="24" spans="1:6" x14ac:dyDescent="0.25">
      <c r="A24" t="s">
        <v>150</v>
      </c>
      <c r="B24" t="s">
        <v>531</v>
      </c>
      <c r="C24" t="s">
        <v>301</v>
      </c>
      <c r="D24" t="s">
        <v>290</v>
      </c>
      <c r="E24" t="s">
        <v>379</v>
      </c>
      <c r="F24" t="s">
        <v>552</v>
      </c>
    </row>
    <row r="25" spans="1:6" x14ac:dyDescent="0.25">
      <c r="A25" t="s">
        <v>150</v>
      </c>
      <c r="B25" t="s">
        <v>289</v>
      </c>
      <c r="C25" t="s">
        <v>301</v>
      </c>
      <c r="D25" t="s">
        <v>290</v>
      </c>
      <c r="E25" t="s">
        <v>379</v>
      </c>
      <c r="F25" t="s">
        <v>553</v>
      </c>
    </row>
    <row r="26" spans="1:6" x14ac:dyDescent="0.25">
      <c r="A26" t="s">
        <v>214</v>
      </c>
      <c r="B26" t="s">
        <v>588</v>
      </c>
      <c r="C26" t="s">
        <v>285</v>
      </c>
      <c r="D26" t="s">
        <v>291</v>
      </c>
      <c r="E26" t="s">
        <v>379</v>
      </c>
      <c r="F26" t="s">
        <v>541</v>
      </c>
    </row>
    <row r="27" spans="1:6" x14ac:dyDescent="0.25">
      <c r="A27" t="s">
        <v>95</v>
      </c>
      <c r="B27" t="s">
        <v>285</v>
      </c>
      <c r="C27" t="s">
        <v>285</v>
      </c>
      <c r="D27" t="s">
        <v>432</v>
      </c>
      <c r="E27" t="s">
        <v>379</v>
      </c>
      <c r="F27" t="s">
        <v>541</v>
      </c>
    </row>
    <row r="28" spans="1:6" x14ac:dyDescent="0.25">
      <c r="A28" t="s">
        <v>95</v>
      </c>
      <c r="B28" t="s">
        <v>585</v>
      </c>
      <c r="C28" t="s">
        <v>285</v>
      </c>
      <c r="D28" t="s">
        <v>432</v>
      </c>
      <c r="E28" t="s">
        <v>379</v>
      </c>
      <c r="F28" t="s">
        <v>116</v>
      </c>
    </row>
    <row r="29" spans="1:6" x14ac:dyDescent="0.25">
      <c r="A29" t="s">
        <v>95</v>
      </c>
      <c r="B29" t="s">
        <v>289</v>
      </c>
      <c r="C29" t="s">
        <v>285</v>
      </c>
      <c r="D29" t="s">
        <v>432</v>
      </c>
      <c r="E29" t="s">
        <v>379</v>
      </c>
      <c r="F29" t="s">
        <v>549</v>
      </c>
    </row>
    <row r="30" spans="1:6" x14ac:dyDescent="0.25">
      <c r="A30" t="s">
        <v>95</v>
      </c>
      <c r="B30" t="s">
        <v>527</v>
      </c>
      <c r="C30" t="s">
        <v>285</v>
      </c>
      <c r="D30" t="s">
        <v>432</v>
      </c>
      <c r="E30" t="s">
        <v>379</v>
      </c>
      <c r="F30" t="s">
        <v>550</v>
      </c>
    </row>
    <row r="31" spans="1:6" x14ac:dyDescent="0.25">
      <c r="A31" t="s">
        <v>95</v>
      </c>
      <c r="B31" t="s">
        <v>531</v>
      </c>
      <c r="C31" t="s">
        <v>301</v>
      </c>
      <c r="D31" t="s">
        <v>432</v>
      </c>
      <c r="E31" t="s">
        <v>379</v>
      </c>
      <c r="F31" t="s">
        <v>577</v>
      </c>
    </row>
    <row r="32" spans="1:6" x14ac:dyDescent="0.25">
      <c r="A32" t="s">
        <v>99</v>
      </c>
      <c r="B32" t="s">
        <v>588</v>
      </c>
      <c r="C32" t="s">
        <v>285</v>
      </c>
      <c r="D32" t="s">
        <v>291</v>
      </c>
      <c r="E32" t="s">
        <v>379</v>
      </c>
      <c r="F32" t="s">
        <v>541</v>
      </c>
    </row>
    <row r="33" spans="1:6" x14ac:dyDescent="0.25">
      <c r="A33" t="s">
        <v>216</v>
      </c>
      <c r="B33" t="s">
        <v>285</v>
      </c>
      <c r="C33" t="s">
        <v>285</v>
      </c>
      <c r="D33" t="s">
        <v>288</v>
      </c>
      <c r="E33" t="s">
        <v>379</v>
      </c>
      <c r="F33" t="s">
        <v>541</v>
      </c>
    </row>
    <row r="34" spans="1:6" x14ac:dyDescent="0.25">
      <c r="A34" t="s">
        <v>216</v>
      </c>
      <c r="B34" t="s">
        <v>585</v>
      </c>
      <c r="C34" t="s">
        <v>285</v>
      </c>
      <c r="D34" t="s">
        <v>288</v>
      </c>
      <c r="E34" t="s">
        <v>379</v>
      </c>
      <c r="F34" t="s">
        <v>116</v>
      </c>
    </row>
    <row r="35" spans="1:6" x14ac:dyDescent="0.25">
      <c r="A35" t="s">
        <v>216</v>
      </c>
      <c r="B35" t="s">
        <v>536</v>
      </c>
      <c r="C35" t="s">
        <v>284</v>
      </c>
      <c r="D35" t="s">
        <v>297</v>
      </c>
      <c r="E35" t="s">
        <v>379</v>
      </c>
      <c r="F35" t="s">
        <v>543</v>
      </c>
    </row>
    <row r="36" spans="1:6" x14ac:dyDescent="0.25">
      <c r="A36" t="s">
        <v>121</v>
      </c>
      <c r="B36" t="s">
        <v>285</v>
      </c>
      <c r="C36" t="s">
        <v>285</v>
      </c>
      <c r="D36" t="s">
        <v>288</v>
      </c>
      <c r="E36" t="s">
        <v>379</v>
      </c>
      <c r="F36" t="s">
        <v>541</v>
      </c>
    </row>
    <row r="37" spans="1:6" x14ac:dyDescent="0.25">
      <c r="A37" t="s">
        <v>121</v>
      </c>
      <c r="B37" t="s">
        <v>536</v>
      </c>
      <c r="C37" t="s">
        <v>284</v>
      </c>
      <c r="D37" t="s">
        <v>297</v>
      </c>
      <c r="E37" t="s">
        <v>379</v>
      </c>
      <c r="F37" t="s">
        <v>543</v>
      </c>
    </row>
    <row r="38" spans="1:6" x14ac:dyDescent="0.25">
      <c r="A38" t="s">
        <v>91</v>
      </c>
      <c r="B38" t="s">
        <v>585</v>
      </c>
      <c r="C38" t="s">
        <v>285</v>
      </c>
      <c r="D38" t="s">
        <v>288</v>
      </c>
      <c r="E38" t="s">
        <v>379</v>
      </c>
      <c r="F38" t="s">
        <v>116</v>
      </c>
    </row>
    <row r="39" spans="1:6" x14ac:dyDescent="0.25">
      <c r="A39" t="s">
        <v>91</v>
      </c>
      <c r="B39" t="s">
        <v>285</v>
      </c>
      <c r="C39" t="s">
        <v>285</v>
      </c>
      <c r="D39" t="s">
        <v>288</v>
      </c>
      <c r="E39" t="s">
        <v>379</v>
      </c>
      <c r="F39" t="s">
        <v>541</v>
      </c>
    </row>
    <row r="40" spans="1:6" x14ac:dyDescent="0.25">
      <c r="A40" t="s">
        <v>105</v>
      </c>
      <c r="B40" t="s">
        <v>285</v>
      </c>
      <c r="C40" t="s">
        <v>285</v>
      </c>
      <c r="D40" t="s">
        <v>433</v>
      </c>
      <c r="E40" t="s">
        <v>379</v>
      </c>
      <c r="F40" t="s">
        <v>541</v>
      </c>
    </row>
    <row r="41" spans="1:6" x14ac:dyDescent="0.25">
      <c r="A41" t="s">
        <v>105</v>
      </c>
      <c r="B41" t="s">
        <v>527</v>
      </c>
      <c r="C41" t="s">
        <v>285</v>
      </c>
      <c r="D41" t="s">
        <v>433</v>
      </c>
      <c r="E41" t="s">
        <v>379</v>
      </c>
      <c r="F41" t="s">
        <v>554</v>
      </c>
    </row>
    <row r="42" spans="1:6" x14ac:dyDescent="0.25">
      <c r="A42" t="s">
        <v>105</v>
      </c>
      <c r="B42" t="s">
        <v>601</v>
      </c>
      <c r="C42" t="s">
        <v>285</v>
      </c>
      <c r="D42" t="s">
        <v>433</v>
      </c>
      <c r="E42" t="s">
        <v>379</v>
      </c>
      <c r="F42" t="s">
        <v>603</v>
      </c>
    </row>
    <row r="43" spans="1:6" x14ac:dyDescent="0.25">
      <c r="A43" t="s">
        <v>102</v>
      </c>
      <c r="B43" t="s">
        <v>293</v>
      </c>
      <c r="C43" t="s">
        <v>293</v>
      </c>
      <c r="D43" t="s">
        <v>594</v>
      </c>
      <c r="E43" t="s">
        <v>379</v>
      </c>
      <c r="F43" t="s">
        <v>540</v>
      </c>
    </row>
    <row r="44" spans="1:6" x14ac:dyDescent="0.25">
      <c r="A44" t="s">
        <v>102</v>
      </c>
      <c r="B44" t="s">
        <v>285</v>
      </c>
      <c r="C44" t="s">
        <v>285</v>
      </c>
      <c r="D44" t="s">
        <v>594</v>
      </c>
      <c r="E44" t="s">
        <v>379</v>
      </c>
      <c r="F44" t="s">
        <v>546</v>
      </c>
    </row>
    <row r="45" spans="1:6" x14ac:dyDescent="0.25">
      <c r="A45" t="s">
        <v>102</v>
      </c>
      <c r="B45" t="s">
        <v>289</v>
      </c>
      <c r="C45" t="s">
        <v>285</v>
      </c>
      <c r="D45" t="s">
        <v>594</v>
      </c>
      <c r="E45" t="s">
        <v>379</v>
      </c>
      <c r="F45" t="s">
        <v>547</v>
      </c>
    </row>
    <row r="46" spans="1:6" x14ac:dyDescent="0.25">
      <c r="A46" t="s">
        <v>102</v>
      </c>
      <c r="B46" t="s">
        <v>527</v>
      </c>
      <c r="C46" t="s">
        <v>285</v>
      </c>
      <c r="D46" t="s">
        <v>594</v>
      </c>
      <c r="E46" t="s">
        <v>379</v>
      </c>
      <c r="F46" t="s">
        <v>548</v>
      </c>
    </row>
    <row r="47" spans="1:6" x14ac:dyDescent="0.25">
      <c r="A47" t="s">
        <v>153</v>
      </c>
      <c r="B47" t="s">
        <v>285</v>
      </c>
      <c r="C47" t="s">
        <v>285</v>
      </c>
      <c r="D47" t="s">
        <v>432</v>
      </c>
      <c r="E47" t="s">
        <v>379</v>
      </c>
      <c r="F47" t="s">
        <v>541</v>
      </c>
    </row>
    <row r="48" spans="1:6" x14ac:dyDescent="0.25">
      <c r="A48" t="s">
        <v>153</v>
      </c>
      <c r="B48" t="s">
        <v>289</v>
      </c>
      <c r="C48" t="s">
        <v>285</v>
      </c>
      <c r="D48" t="s">
        <v>432</v>
      </c>
      <c r="E48" t="s">
        <v>379</v>
      </c>
      <c r="F48" t="s">
        <v>549</v>
      </c>
    </row>
    <row r="49" spans="1:6" x14ac:dyDescent="0.25">
      <c r="A49" t="s">
        <v>153</v>
      </c>
      <c r="B49" t="s">
        <v>527</v>
      </c>
      <c r="C49" t="s">
        <v>285</v>
      </c>
      <c r="D49" t="s">
        <v>432</v>
      </c>
      <c r="E49" t="s">
        <v>379</v>
      </c>
      <c r="F49" t="s">
        <v>550</v>
      </c>
    </row>
    <row r="50" spans="1:6" x14ac:dyDescent="0.25">
      <c r="A50" t="s">
        <v>98</v>
      </c>
      <c r="B50" t="s">
        <v>285</v>
      </c>
      <c r="C50" t="s">
        <v>285</v>
      </c>
      <c r="D50" t="s">
        <v>432</v>
      </c>
      <c r="E50" t="s">
        <v>379</v>
      </c>
      <c r="F50" t="s">
        <v>541</v>
      </c>
    </row>
    <row r="51" spans="1:6" x14ac:dyDescent="0.25">
      <c r="A51" t="s">
        <v>98</v>
      </c>
      <c r="B51" t="s">
        <v>289</v>
      </c>
      <c r="C51" t="s">
        <v>285</v>
      </c>
      <c r="D51" t="s">
        <v>432</v>
      </c>
      <c r="E51" t="s">
        <v>379</v>
      </c>
      <c r="F51" t="s">
        <v>549</v>
      </c>
    </row>
    <row r="52" spans="1:6" x14ac:dyDescent="0.25">
      <c r="A52" t="s">
        <v>98</v>
      </c>
      <c r="B52" t="s">
        <v>527</v>
      </c>
      <c r="C52" t="s">
        <v>285</v>
      </c>
      <c r="D52" t="s">
        <v>432</v>
      </c>
      <c r="E52" t="s">
        <v>379</v>
      </c>
      <c r="F52" t="s">
        <v>550</v>
      </c>
    </row>
    <row r="53" spans="1:6" x14ac:dyDescent="0.25">
      <c r="A53" t="s">
        <v>98</v>
      </c>
      <c r="B53" t="s">
        <v>585</v>
      </c>
      <c r="C53" t="s">
        <v>285</v>
      </c>
      <c r="D53" t="s">
        <v>288</v>
      </c>
      <c r="E53" t="s">
        <v>379</v>
      </c>
      <c r="F53" t="s">
        <v>116</v>
      </c>
    </row>
    <row r="54" spans="1:6" x14ac:dyDescent="0.25">
      <c r="A54" t="s">
        <v>361</v>
      </c>
      <c r="B54" t="s">
        <v>286</v>
      </c>
      <c r="C54" t="s">
        <v>286</v>
      </c>
      <c r="D54" t="s">
        <v>294</v>
      </c>
      <c r="E54" t="s">
        <v>379</v>
      </c>
      <c r="F54" t="s">
        <v>555</v>
      </c>
    </row>
    <row r="55" spans="1:6" x14ac:dyDescent="0.25">
      <c r="A55" t="s">
        <v>156</v>
      </c>
      <c r="B55" t="s">
        <v>285</v>
      </c>
      <c r="C55" t="s">
        <v>285</v>
      </c>
      <c r="D55" t="s">
        <v>288</v>
      </c>
      <c r="E55" t="s">
        <v>379</v>
      </c>
      <c r="F55" t="s">
        <v>541</v>
      </c>
    </row>
    <row r="56" spans="1:6" x14ac:dyDescent="0.25">
      <c r="A56" t="s">
        <v>106</v>
      </c>
      <c r="B56" t="s">
        <v>285</v>
      </c>
      <c r="C56" t="s">
        <v>285</v>
      </c>
      <c r="D56" t="s">
        <v>288</v>
      </c>
      <c r="E56" t="s">
        <v>379</v>
      </c>
      <c r="F56" t="s">
        <v>541</v>
      </c>
    </row>
    <row r="57" spans="1:6" x14ac:dyDescent="0.25">
      <c r="A57" t="s">
        <v>106</v>
      </c>
      <c r="B57" t="s">
        <v>601</v>
      </c>
      <c r="C57" t="s">
        <v>285</v>
      </c>
      <c r="D57" t="s">
        <v>288</v>
      </c>
      <c r="E57" t="s">
        <v>379</v>
      </c>
      <c r="F57" t="s">
        <v>603</v>
      </c>
    </row>
    <row r="58" spans="1:6" x14ac:dyDescent="0.25">
      <c r="A58" t="s">
        <v>410</v>
      </c>
      <c r="B58" t="s">
        <v>536</v>
      </c>
      <c r="C58" t="s">
        <v>284</v>
      </c>
      <c r="D58" t="s">
        <v>297</v>
      </c>
      <c r="E58" t="s">
        <v>379</v>
      </c>
      <c r="F58" t="s">
        <v>543</v>
      </c>
    </row>
    <row r="59" spans="1:6" x14ac:dyDescent="0.25">
      <c r="A59" t="s">
        <v>413</v>
      </c>
      <c r="B59" t="s">
        <v>301</v>
      </c>
      <c r="C59" t="s">
        <v>301</v>
      </c>
      <c r="D59" t="s">
        <v>302</v>
      </c>
      <c r="E59" t="s">
        <v>379</v>
      </c>
      <c r="F59" t="s">
        <v>556</v>
      </c>
    </row>
    <row r="60" spans="1:6" x14ac:dyDescent="0.25">
      <c r="A60" t="s">
        <v>413</v>
      </c>
      <c r="B60" t="s">
        <v>531</v>
      </c>
      <c r="C60" t="s">
        <v>301</v>
      </c>
      <c r="D60" t="s">
        <v>302</v>
      </c>
      <c r="E60" t="s">
        <v>379</v>
      </c>
      <c r="F60" t="s">
        <v>556</v>
      </c>
    </row>
    <row r="61" spans="1:6" x14ac:dyDescent="0.25">
      <c r="A61" t="s">
        <v>100</v>
      </c>
      <c r="B61" t="s">
        <v>285</v>
      </c>
      <c r="C61" t="s">
        <v>285</v>
      </c>
      <c r="D61" t="s">
        <v>432</v>
      </c>
      <c r="E61" t="s">
        <v>379</v>
      </c>
      <c r="F61" t="s">
        <v>541</v>
      </c>
    </row>
    <row r="62" spans="1:6" x14ac:dyDescent="0.25">
      <c r="A62" t="s">
        <v>100</v>
      </c>
      <c r="B62" t="s">
        <v>585</v>
      </c>
      <c r="C62" t="s">
        <v>285</v>
      </c>
      <c r="D62" t="s">
        <v>288</v>
      </c>
      <c r="E62" t="s">
        <v>379</v>
      </c>
      <c r="F62" t="s">
        <v>116</v>
      </c>
    </row>
    <row r="63" spans="1:6" x14ac:dyDescent="0.25">
      <c r="A63" t="s">
        <v>100</v>
      </c>
      <c r="B63" t="s">
        <v>289</v>
      </c>
      <c r="C63" t="s">
        <v>285</v>
      </c>
      <c r="D63" t="s">
        <v>432</v>
      </c>
      <c r="E63" t="s">
        <v>379</v>
      </c>
      <c r="F63" t="s">
        <v>549</v>
      </c>
    </row>
    <row r="64" spans="1:6" x14ac:dyDescent="0.25">
      <c r="A64" t="s">
        <v>100</v>
      </c>
      <c r="B64" t="s">
        <v>527</v>
      </c>
      <c r="C64" t="s">
        <v>285</v>
      </c>
      <c r="D64" t="s">
        <v>432</v>
      </c>
      <c r="E64" t="s">
        <v>379</v>
      </c>
      <c r="F64" t="s">
        <v>550</v>
      </c>
    </row>
    <row r="65" spans="1:6" x14ac:dyDescent="0.25">
      <c r="A65" t="s">
        <v>135</v>
      </c>
      <c r="B65" t="s">
        <v>293</v>
      </c>
      <c r="C65" t="s">
        <v>293</v>
      </c>
      <c r="D65" t="s">
        <v>305</v>
      </c>
      <c r="E65" t="s">
        <v>379</v>
      </c>
      <c r="F65" t="s">
        <v>540</v>
      </c>
    </row>
    <row r="66" spans="1:6" x14ac:dyDescent="0.25">
      <c r="A66" t="s">
        <v>135</v>
      </c>
      <c r="B66" t="s">
        <v>285</v>
      </c>
      <c r="C66" t="s">
        <v>285</v>
      </c>
      <c r="D66" t="s">
        <v>305</v>
      </c>
      <c r="E66" t="s">
        <v>379</v>
      </c>
      <c r="F66" t="s">
        <v>557</v>
      </c>
    </row>
    <row r="67" spans="1:6" x14ac:dyDescent="0.25">
      <c r="A67" t="s">
        <v>135</v>
      </c>
      <c r="B67" t="s">
        <v>289</v>
      </c>
      <c r="C67" t="s">
        <v>285</v>
      </c>
      <c r="D67" t="s">
        <v>305</v>
      </c>
      <c r="E67" t="s">
        <v>379</v>
      </c>
      <c r="F67" t="s">
        <v>547</v>
      </c>
    </row>
    <row r="68" spans="1:6" x14ac:dyDescent="0.25">
      <c r="A68" t="s">
        <v>135</v>
      </c>
      <c r="B68" t="s">
        <v>527</v>
      </c>
      <c r="C68" t="s">
        <v>285</v>
      </c>
      <c r="D68" t="s">
        <v>305</v>
      </c>
      <c r="E68" t="s">
        <v>379</v>
      </c>
      <c r="F68" t="s">
        <v>548</v>
      </c>
    </row>
    <row r="69" spans="1:6" x14ac:dyDescent="0.25">
      <c r="A69" t="s">
        <v>84</v>
      </c>
      <c r="B69" t="s">
        <v>588</v>
      </c>
      <c r="C69" t="s">
        <v>285</v>
      </c>
      <c r="D69" t="s">
        <v>291</v>
      </c>
      <c r="E69" t="s">
        <v>379</v>
      </c>
      <c r="F69" t="s">
        <v>541</v>
      </c>
    </row>
    <row r="70" spans="1:6" x14ac:dyDescent="0.25">
      <c r="A70" t="s">
        <v>157</v>
      </c>
      <c r="B70" t="s">
        <v>287</v>
      </c>
      <c r="C70" t="s">
        <v>287</v>
      </c>
      <c r="D70" t="s">
        <v>295</v>
      </c>
      <c r="E70" t="s">
        <v>379</v>
      </c>
      <c r="F70" t="s">
        <v>558</v>
      </c>
    </row>
    <row r="71" spans="1:6" x14ac:dyDescent="0.25">
      <c r="A71" t="s">
        <v>157</v>
      </c>
      <c r="B71" t="s">
        <v>531</v>
      </c>
      <c r="C71" t="s">
        <v>301</v>
      </c>
      <c r="D71" t="s">
        <v>591</v>
      </c>
      <c r="E71" t="s">
        <v>379</v>
      </c>
      <c r="F71" t="s">
        <v>552</v>
      </c>
    </row>
    <row r="72" spans="1:6" x14ac:dyDescent="0.25">
      <c r="A72" t="s">
        <v>94</v>
      </c>
      <c r="B72" t="s">
        <v>285</v>
      </c>
      <c r="C72" t="s">
        <v>285</v>
      </c>
      <c r="D72" t="s">
        <v>288</v>
      </c>
      <c r="E72" t="s">
        <v>379</v>
      </c>
      <c r="F72" t="s">
        <v>541</v>
      </c>
    </row>
    <row r="73" spans="1:6" x14ac:dyDescent="0.25">
      <c r="A73" t="s">
        <v>82</v>
      </c>
      <c r="B73" t="s">
        <v>285</v>
      </c>
      <c r="C73" t="s">
        <v>285</v>
      </c>
      <c r="D73" t="s">
        <v>432</v>
      </c>
      <c r="E73" t="s">
        <v>379</v>
      </c>
      <c r="F73" t="s">
        <v>541</v>
      </c>
    </row>
    <row r="74" spans="1:6" x14ac:dyDescent="0.25">
      <c r="A74" t="s">
        <v>82</v>
      </c>
      <c r="B74" t="s">
        <v>585</v>
      </c>
      <c r="C74" t="s">
        <v>285</v>
      </c>
      <c r="D74" t="s">
        <v>288</v>
      </c>
      <c r="E74" t="s">
        <v>379</v>
      </c>
      <c r="F74" t="s">
        <v>116</v>
      </c>
    </row>
    <row r="75" spans="1:6" x14ac:dyDescent="0.25">
      <c r="A75" t="s">
        <v>82</v>
      </c>
      <c r="B75" t="s">
        <v>289</v>
      </c>
      <c r="C75" t="s">
        <v>285</v>
      </c>
      <c r="D75" t="s">
        <v>432</v>
      </c>
      <c r="E75" t="s">
        <v>379</v>
      </c>
      <c r="F75" t="s">
        <v>549</v>
      </c>
    </row>
    <row r="76" spans="1:6" x14ac:dyDescent="0.25">
      <c r="A76" t="s">
        <v>82</v>
      </c>
      <c r="B76" t="s">
        <v>527</v>
      </c>
      <c r="C76" t="s">
        <v>285</v>
      </c>
      <c r="D76" t="s">
        <v>432</v>
      </c>
      <c r="E76" t="s">
        <v>379</v>
      </c>
      <c r="F76" t="s">
        <v>550</v>
      </c>
    </row>
    <row r="77" spans="1:6" x14ac:dyDescent="0.25">
      <c r="A77" t="s">
        <v>112</v>
      </c>
      <c r="B77" t="s">
        <v>285</v>
      </c>
      <c r="C77" t="s">
        <v>285</v>
      </c>
      <c r="D77" t="s">
        <v>288</v>
      </c>
      <c r="E77" t="s">
        <v>379</v>
      </c>
      <c r="F77" t="s">
        <v>541</v>
      </c>
    </row>
    <row r="78" spans="1:6" x14ac:dyDescent="0.25">
      <c r="A78" t="s">
        <v>81</v>
      </c>
      <c r="B78" t="s">
        <v>285</v>
      </c>
      <c r="C78" t="s">
        <v>285</v>
      </c>
      <c r="D78" t="s">
        <v>288</v>
      </c>
      <c r="E78" t="s">
        <v>379</v>
      </c>
      <c r="F78" t="s">
        <v>541</v>
      </c>
    </row>
    <row r="79" spans="1:6" x14ac:dyDescent="0.25">
      <c r="A79" t="s">
        <v>81</v>
      </c>
      <c r="B79" t="s">
        <v>601</v>
      </c>
      <c r="C79" t="s">
        <v>285</v>
      </c>
      <c r="D79" t="s">
        <v>288</v>
      </c>
      <c r="E79" t="s">
        <v>379</v>
      </c>
      <c r="F79" t="s">
        <v>603</v>
      </c>
    </row>
    <row r="80" spans="1:6" x14ac:dyDescent="0.25">
      <c r="A80" t="s">
        <v>101</v>
      </c>
      <c r="B80" t="s">
        <v>285</v>
      </c>
      <c r="C80" t="s">
        <v>285</v>
      </c>
      <c r="D80" t="s">
        <v>432</v>
      </c>
      <c r="E80" t="s">
        <v>379</v>
      </c>
      <c r="F80" t="s">
        <v>541</v>
      </c>
    </row>
    <row r="81" spans="1:6" x14ac:dyDescent="0.25">
      <c r="A81" t="s">
        <v>101</v>
      </c>
      <c r="B81" t="s">
        <v>289</v>
      </c>
      <c r="C81" t="s">
        <v>285</v>
      </c>
      <c r="D81" t="s">
        <v>432</v>
      </c>
      <c r="E81" t="s">
        <v>379</v>
      </c>
      <c r="F81" t="s">
        <v>549</v>
      </c>
    </row>
    <row r="82" spans="1:6" x14ac:dyDescent="0.25">
      <c r="A82" t="s">
        <v>101</v>
      </c>
      <c r="B82" t="s">
        <v>527</v>
      </c>
      <c r="C82" t="s">
        <v>285</v>
      </c>
      <c r="D82" t="s">
        <v>432</v>
      </c>
      <c r="E82" t="s">
        <v>379</v>
      </c>
      <c r="F82" t="s">
        <v>550</v>
      </c>
    </row>
    <row r="83" spans="1:6" x14ac:dyDescent="0.25">
      <c r="A83" t="s">
        <v>90</v>
      </c>
      <c r="B83" t="s">
        <v>285</v>
      </c>
      <c r="C83" t="s">
        <v>285</v>
      </c>
      <c r="D83" t="s">
        <v>432</v>
      </c>
      <c r="E83" t="s">
        <v>379</v>
      </c>
      <c r="F83" t="s">
        <v>541</v>
      </c>
    </row>
    <row r="84" spans="1:6" x14ac:dyDescent="0.25">
      <c r="A84" t="s">
        <v>90</v>
      </c>
      <c r="B84" t="s">
        <v>289</v>
      </c>
      <c r="C84" t="s">
        <v>285</v>
      </c>
      <c r="D84" t="s">
        <v>432</v>
      </c>
      <c r="E84" t="s">
        <v>379</v>
      </c>
      <c r="F84" t="s">
        <v>549</v>
      </c>
    </row>
    <row r="85" spans="1:6" x14ac:dyDescent="0.25">
      <c r="A85" t="s">
        <v>90</v>
      </c>
      <c r="B85" t="s">
        <v>527</v>
      </c>
      <c r="C85" t="s">
        <v>285</v>
      </c>
      <c r="D85" t="s">
        <v>432</v>
      </c>
      <c r="E85" t="s">
        <v>379</v>
      </c>
      <c r="F85" t="s">
        <v>550</v>
      </c>
    </row>
    <row r="86" spans="1:6" x14ac:dyDescent="0.25">
      <c r="A86" t="s">
        <v>90</v>
      </c>
      <c r="B86" t="s">
        <v>601</v>
      </c>
      <c r="C86" t="s">
        <v>285</v>
      </c>
      <c r="D86" t="s">
        <v>432</v>
      </c>
      <c r="E86" t="s">
        <v>379</v>
      </c>
      <c r="F86" t="s">
        <v>603</v>
      </c>
    </row>
    <row r="87" spans="1:6" x14ac:dyDescent="0.25">
      <c r="A87" t="s">
        <v>88</v>
      </c>
      <c r="B87" t="s">
        <v>588</v>
      </c>
      <c r="C87" t="s">
        <v>285</v>
      </c>
      <c r="D87" t="s">
        <v>296</v>
      </c>
      <c r="E87" t="s">
        <v>379</v>
      </c>
      <c r="F87" t="s">
        <v>559</v>
      </c>
    </row>
    <row r="88" spans="1:6" x14ac:dyDescent="0.25">
      <c r="A88" t="s">
        <v>217</v>
      </c>
      <c r="B88" t="s">
        <v>285</v>
      </c>
      <c r="C88" t="s">
        <v>285</v>
      </c>
      <c r="D88" t="s">
        <v>403</v>
      </c>
      <c r="E88" t="s">
        <v>379</v>
      </c>
      <c r="F88" t="s">
        <v>541</v>
      </c>
    </row>
    <row r="89" spans="1:6" x14ac:dyDescent="0.25">
      <c r="A89" t="s">
        <v>217</v>
      </c>
      <c r="B89" t="s">
        <v>531</v>
      </c>
      <c r="C89" t="s">
        <v>301</v>
      </c>
      <c r="D89" t="s">
        <v>403</v>
      </c>
      <c r="E89" t="s">
        <v>379</v>
      </c>
      <c r="F89" t="s">
        <v>577</v>
      </c>
    </row>
    <row r="90" spans="1:6" x14ac:dyDescent="0.25">
      <c r="A90" t="s">
        <v>217</v>
      </c>
      <c r="B90" t="s">
        <v>601</v>
      </c>
      <c r="C90" t="s">
        <v>285</v>
      </c>
      <c r="D90" t="s">
        <v>403</v>
      </c>
      <c r="E90" t="s">
        <v>379</v>
      </c>
      <c r="F90" t="s">
        <v>603</v>
      </c>
    </row>
    <row r="91" spans="1:6" x14ac:dyDescent="0.25">
      <c r="A91" t="s">
        <v>107</v>
      </c>
      <c r="B91" t="s">
        <v>285</v>
      </c>
      <c r="C91" t="s">
        <v>285</v>
      </c>
      <c r="D91" t="s">
        <v>288</v>
      </c>
      <c r="E91" t="s">
        <v>379</v>
      </c>
      <c r="F91" t="s">
        <v>541</v>
      </c>
    </row>
    <row r="92" spans="1:6" x14ac:dyDescent="0.25">
      <c r="A92" t="s">
        <v>107</v>
      </c>
      <c r="B92" t="s">
        <v>601</v>
      </c>
      <c r="C92" t="s">
        <v>285</v>
      </c>
      <c r="D92" t="s">
        <v>288</v>
      </c>
      <c r="E92" t="s">
        <v>379</v>
      </c>
      <c r="F92" t="s">
        <v>603</v>
      </c>
    </row>
    <row r="93" spans="1:6" x14ac:dyDescent="0.25">
      <c r="A93" t="s">
        <v>267</v>
      </c>
      <c r="B93" t="s">
        <v>285</v>
      </c>
      <c r="C93" t="s">
        <v>285</v>
      </c>
      <c r="D93" t="s">
        <v>403</v>
      </c>
      <c r="E93" t="s">
        <v>379</v>
      </c>
      <c r="F93" t="s">
        <v>541</v>
      </c>
    </row>
    <row r="94" spans="1:6" x14ac:dyDescent="0.25">
      <c r="A94" t="s">
        <v>267</v>
      </c>
      <c r="B94" t="s">
        <v>601</v>
      </c>
      <c r="C94" t="s">
        <v>285</v>
      </c>
      <c r="D94" t="s">
        <v>403</v>
      </c>
      <c r="E94" t="s">
        <v>379</v>
      </c>
      <c r="F94" t="s">
        <v>603</v>
      </c>
    </row>
    <row r="95" spans="1:6" x14ac:dyDescent="0.25">
      <c r="A95" t="s">
        <v>86</v>
      </c>
      <c r="B95" t="s">
        <v>285</v>
      </c>
      <c r="C95" t="s">
        <v>285</v>
      </c>
      <c r="D95" t="s">
        <v>288</v>
      </c>
      <c r="E95" t="s">
        <v>379</v>
      </c>
      <c r="F95" t="s">
        <v>541</v>
      </c>
    </row>
    <row r="96" spans="1:6" x14ac:dyDescent="0.25">
      <c r="A96" t="s">
        <v>86</v>
      </c>
      <c r="B96" t="s">
        <v>601</v>
      </c>
      <c r="C96" t="s">
        <v>285</v>
      </c>
      <c r="D96" t="s">
        <v>288</v>
      </c>
      <c r="E96" t="s">
        <v>379</v>
      </c>
      <c r="F96" t="s">
        <v>603</v>
      </c>
    </row>
    <row r="97" spans="1:6" x14ac:dyDescent="0.25">
      <c r="A97" t="s">
        <v>118</v>
      </c>
      <c r="B97" t="s">
        <v>588</v>
      </c>
      <c r="C97" t="s">
        <v>285</v>
      </c>
      <c r="D97" t="s">
        <v>296</v>
      </c>
      <c r="E97" t="s">
        <v>379</v>
      </c>
      <c r="F97" t="s">
        <v>559</v>
      </c>
    </row>
    <row r="98" spans="1:6" x14ac:dyDescent="0.25">
      <c r="A98" t="s">
        <v>161</v>
      </c>
      <c r="B98" t="s">
        <v>285</v>
      </c>
      <c r="C98" t="s">
        <v>285</v>
      </c>
      <c r="D98" t="s">
        <v>298</v>
      </c>
      <c r="E98" t="s">
        <v>379</v>
      </c>
      <c r="F98" t="s">
        <v>541</v>
      </c>
    </row>
    <row r="99" spans="1:6" x14ac:dyDescent="0.25">
      <c r="A99" t="s">
        <v>210</v>
      </c>
      <c r="B99" t="s">
        <v>285</v>
      </c>
      <c r="C99" t="s">
        <v>285</v>
      </c>
      <c r="D99" t="s">
        <v>289</v>
      </c>
      <c r="E99" t="s">
        <v>379</v>
      </c>
      <c r="F99" t="s">
        <v>541</v>
      </c>
    </row>
    <row r="100" spans="1:6" x14ac:dyDescent="0.25">
      <c r="A100" t="s">
        <v>210</v>
      </c>
      <c r="B100" t="s">
        <v>289</v>
      </c>
      <c r="C100" t="s">
        <v>285</v>
      </c>
      <c r="D100" t="s">
        <v>289</v>
      </c>
      <c r="E100" t="s">
        <v>379</v>
      </c>
      <c r="F100" t="s">
        <v>560</v>
      </c>
    </row>
    <row r="101" spans="1:6" x14ac:dyDescent="0.25">
      <c r="A101" t="s">
        <v>92</v>
      </c>
      <c r="B101" t="s">
        <v>285</v>
      </c>
      <c r="C101" t="s">
        <v>285</v>
      </c>
      <c r="D101" t="s">
        <v>288</v>
      </c>
      <c r="E101" t="s">
        <v>379</v>
      </c>
      <c r="F101" t="s">
        <v>541</v>
      </c>
    </row>
    <row r="102" spans="1:6" x14ac:dyDescent="0.25">
      <c r="A102" t="s">
        <v>92</v>
      </c>
      <c r="B102" t="s">
        <v>601</v>
      </c>
      <c r="C102" t="s">
        <v>285</v>
      </c>
      <c r="D102" t="s">
        <v>288</v>
      </c>
      <c r="E102" t="s">
        <v>379</v>
      </c>
      <c r="F102" t="s">
        <v>603</v>
      </c>
    </row>
    <row r="103" spans="1:6" x14ac:dyDescent="0.25">
      <c r="A103" t="s">
        <v>475</v>
      </c>
      <c r="B103" t="s">
        <v>299</v>
      </c>
      <c r="C103" t="s">
        <v>299</v>
      </c>
      <c r="D103" t="s">
        <v>300</v>
      </c>
      <c r="E103" t="s">
        <v>379</v>
      </c>
      <c r="F103" t="s">
        <v>561</v>
      </c>
    </row>
    <row r="104" spans="1:6" x14ac:dyDescent="0.25">
      <c r="A104" t="s">
        <v>87</v>
      </c>
      <c r="B104" t="s">
        <v>285</v>
      </c>
      <c r="C104" t="s">
        <v>285</v>
      </c>
      <c r="D104" t="s">
        <v>288</v>
      </c>
      <c r="E104" t="s">
        <v>379</v>
      </c>
      <c r="F104" t="s">
        <v>541</v>
      </c>
    </row>
    <row r="105" spans="1:6" x14ac:dyDescent="0.25">
      <c r="A105" t="s">
        <v>87</v>
      </c>
      <c r="B105" t="s">
        <v>601</v>
      </c>
      <c r="C105" t="s">
        <v>285</v>
      </c>
      <c r="D105" t="s">
        <v>288</v>
      </c>
      <c r="E105" t="s">
        <v>379</v>
      </c>
      <c r="F105" t="s">
        <v>603</v>
      </c>
    </row>
    <row r="106" spans="1:6" x14ac:dyDescent="0.25">
      <c r="A106" t="s">
        <v>85</v>
      </c>
      <c r="B106" t="s">
        <v>285</v>
      </c>
      <c r="C106" t="s">
        <v>285</v>
      </c>
      <c r="D106" t="s">
        <v>432</v>
      </c>
      <c r="E106" t="s">
        <v>379</v>
      </c>
      <c r="F106" t="s">
        <v>541</v>
      </c>
    </row>
    <row r="107" spans="1:6" x14ac:dyDescent="0.25">
      <c r="A107" t="s">
        <v>85</v>
      </c>
      <c r="B107" t="s">
        <v>289</v>
      </c>
      <c r="C107" t="s">
        <v>285</v>
      </c>
      <c r="D107" t="s">
        <v>432</v>
      </c>
      <c r="E107" t="s">
        <v>379</v>
      </c>
      <c r="F107" t="s">
        <v>549</v>
      </c>
    </row>
    <row r="108" spans="1:6" x14ac:dyDescent="0.25">
      <c r="A108" t="s">
        <v>85</v>
      </c>
      <c r="B108" t="s">
        <v>527</v>
      </c>
      <c r="C108" t="s">
        <v>285</v>
      </c>
      <c r="D108" t="s">
        <v>432</v>
      </c>
      <c r="E108" t="s">
        <v>379</v>
      </c>
      <c r="F108" t="s">
        <v>550</v>
      </c>
    </row>
    <row r="109" spans="1:6" x14ac:dyDescent="0.25">
      <c r="A109" t="s">
        <v>93</v>
      </c>
      <c r="B109" t="s">
        <v>285</v>
      </c>
      <c r="C109" t="s">
        <v>285</v>
      </c>
      <c r="D109" t="s">
        <v>288</v>
      </c>
      <c r="E109" t="s">
        <v>379</v>
      </c>
      <c r="F109" t="s">
        <v>541</v>
      </c>
    </row>
    <row r="110" spans="1:6" x14ac:dyDescent="0.25">
      <c r="A110" t="s">
        <v>215</v>
      </c>
      <c r="B110" t="s">
        <v>285</v>
      </c>
      <c r="C110" t="s">
        <v>285</v>
      </c>
      <c r="D110" t="s">
        <v>433</v>
      </c>
      <c r="E110" t="s">
        <v>379</v>
      </c>
      <c r="F110" t="s">
        <v>541</v>
      </c>
    </row>
    <row r="111" spans="1:6" x14ac:dyDescent="0.25">
      <c r="A111" t="s">
        <v>215</v>
      </c>
      <c r="B111" t="s">
        <v>527</v>
      </c>
      <c r="C111" t="s">
        <v>285</v>
      </c>
      <c r="D111" t="s">
        <v>433</v>
      </c>
      <c r="E111" t="s">
        <v>379</v>
      </c>
      <c r="F111" t="s">
        <v>554</v>
      </c>
    </row>
    <row r="112" spans="1:6" x14ac:dyDescent="0.25">
      <c r="A112" t="s">
        <v>215</v>
      </c>
      <c r="B112" t="s">
        <v>601</v>
      </c>
      <c r="C112" t="s">
        <v>285</v>
      </c>
      <c r="D112" t="s">
        <v>433</v>
      </c>
      <c r="E112" t="s">
        <v>379</v>
      </c>
      <c r="F112" t="s">
        <v>603</v>
      </c>
    </row>
    <row r="113" spans="1:6" x14ac:dyDescent="0.25">
      <c r="A113" t="s">
        <v>97</v>
      </c>
      <c r="B113" t="s">
        <v>285</v>
      </c>
      <c r="C113" t="s">
        <v>285</v>
      </c>
      <c r="D113" t="s">
        <v>288</v>
      </c>
      <c r="E113" t="s">
        <v>379</v>
      </c>
      <c r="F113" t="s">
        <v>541</v>
      </c>
    </row>
    <row r="114" spans="1:6" x14ac:dyDescent="0.25">
      <c r="A114" t="s">
        <v>97</v>
      </c>
      <c r="B114" t="s">
        <v>601</v>
      </c>
      <c r="C114" t="s">
        <v>285</v>
      </c>
      <c r="D114" t="s">
        <v>288</v>
      </c>
      <c r="E114" t="s">
        <v>379</v>
      </c>
      <c r="F114" t="s">
        <v>603</v>
      </c>
    </row>
    <row r="115" spans="1:6" x14ac:dyDescent="0.25">
      <c r="A115" t="s">
        <v>166</v>
      </c>
      <c r="B115" t="s">
        <v>286</v>
      </c>
      <c r="C115" t="s">
        <v>286</v>
      </c>
      <c r="D115" t="s">
        <v>509</v>
      </c>
      <c r="E115" t="s">
        <v>379</v>
      </c>
      <c r="F115" t="s">
        <v>551</v>
      </c>
    </row>
    <row r="116" spans="1:6" x14ac:dyDescent="0.25">
      <c r="A116" t="s">
        <v>154</v>
      </c>
      <c r="B116" t="s">
        <v>536</v>
      </c>
      <c r="C116" t="s">
        <v>284</v>
      </c>
      <c r="D116" t="s">
        <v>297</v>
      </c>
      <c r="E116" t="s">
        <v>379</v>
      </c>
      <c r="F116" t="s">
        <v>543</v>
      </c>
    </row>
    <row r="117" spans="1:6" x14ac:dyDescent="0.25">
      <c r="A117" t="s">
        <v>154</v>
      </c>
      <c r="B117" t="s">
        <v>531</v>
      </c>
      <c r="C117" t="s">
        <v>301</v>
      </c>
      <c r="D117" t="s">
        <v>297</v>
      </c>
      <c r="E117" t="s">
        <v>379</v>
      </c>
      <c r="F117" t="s">
        <v>577</v>
      </c>
    </row>
    <row r="118" spans="1:6" x14ac:dyDescent="0.25">
      <c r="A118" t="s">
        <v>510</v>
      </c>
      <c r="B118" t="s">
        <v>293</v>
      </c>
      <c r="C118" t="s">
        <v>293</v>
      </c>
      <c r="D118" t="s">
        <v>393</v>
      </c>
      <c r="E118" t="s">
        <v>379</v>
      </c>
      <c r="F118" t="s">
        <v>540</v>
      </c>
    </row>
    <row r="119" spans="1:6" x14ac:dyDescent="0.25">
      <c r="A119" t="s">
        <v>510</v>
      </c>
      <c r="B119" t="s">
        <v>299</v>
      </c>
      <c r="C119" t="s">
        <v>299</v>
      </c>
      <c r="D119" t="s">
        <v>393</v>
      </c>
      <c r="E119" t="s">
        <v>379</v>
      </c>
      <c r="F119" t="s">
        <v>562</v>
      </c>
    </row>
    <row r="120" spans="1:6" x14ac:dyDescent="0.25">
      <c r="A120" t="s">
        <v>510</v>
      </c>
      <c r="B120" t="s">
        <v>531</v>
      </c>
      <c r="C120" t="s">
        <v>301</v>
      </c>
      <c r="D120" t="s">
        <v>393</v>
      </c>
      <c r="E120" t="s">
        <v>379</v>
      </c>
      <c r="F120" t="s">
        <v>577</v>
      </c>
    </row>
    <row r="121" spans="1:6" x14ac:dyDescent="0.25">
      <c r="A121" t="s">
        <v>442</v>
      </c>
      <c r="B121" t="s">
        <v>285</v>
      </c>
      <c r="C121" t="s">
        <v>285</v>
      </c>
      <c r="D121" t="s">
        <v>432</v>
      </c>
      <c r="E121" t="s">
        <v>379</v>
      </c>
      <c r="F121" t="s">
        <v>541</v>
      </c>
    </row>
    <row r="122" spans="1:6" x14ac:dyDescent="0.25">
      <c r="A122" t="s">
        <v>442</v>
      </c>
      <c r="B122" t="s">
        <v>289</v>
      </c>
      <c r="C122" t="s">
        <v>285</v>
      </c>
      <c r="D122" t="s">
        <v>432</v>
      </c>
      <c r="E122" t="s">
        <v>379</v>
      </c>
      <c r="F122" t="s">
        <v>549</v>
      </c>
    </row>
    <row r="123" spans="1:6" x14ac:dyDescent="0.25">
      <c r="A123" t="s">
        <v>442</v>
      </c>
      <c r="B123" t="s">
        <v>527</v>
      </c>
      <c r="C123" t="s">
        <v>285</v>
      </c>
      <c r="D123" t="s">
        <v>432</v>
      </c>
      <c r="E123" t="s">
        <v>379</v>
      </c>
      <c r="F123" t="s">
        <v>548</v>
      </c>
    </row>
    <row r="124" spans="1:6" x14ac:dyDescent="0.25">
      <c r="A124" t="s">
        <v>443</v>
      </c>
      <c r="B124" t="s">
        <v>285</v>
      </c>
      <c r="C124" t="s">
        <v>285</v>
      </c>
      <c r="D124" t="s">
        <v>432</v>
      </c>
      <c r="E124" t="s">
        <v>379</v>
      </c>
      <c r="F124" t="s">
        <v>541</v>
      </c>
    </row>
    <row r="125" spans="1:6" x14ac:dyDescent="0.25">
      <c r="A125" t="s">
        <v>443</v>
      </c>
      <c r="B125" t="s">
        <v>289</v>
      </c>
      <c r="C125" t="s">
        <v>285</v>
      </c>
      <c r="D125" t="s">
        <v>432</v>
      </c>
      <c r="E125" t="s">
        <v>379</v>
      </c>
      <c r="F125" t="s">
        <v>560</v>
      </c>
    </row>
    <row r="126" spans="1:6" x14ac:dyDescent="0.25">
      <c r="A126" t="s">
        <v>443</v>
      </c>
      <c r="B126" t="s">
        <v>527</v>
      </c>
      <c r="C126" t="s">
        <v>285</v>
      </c>
      <c r="D126" t="s">
        <v>432</v>
      </c>
      <c r="E126" t="s">
        <v>379</v>
      </c>
      <c r="F126" t="s">
        <v>548</v>
      </c>
    </row>
    <row r="127" spans="1:6" x14ac:dyDescent="0.25">
      <c r="A127" t="s">
        <v>444</v>
      </c>
      <c r="B127" t="s">
        <v>536</v>
      </c>
      <c r="C127" t="s">
        <v>284</v>
      </c>
      <c r="D127" t="s">
        <v>297</v>
      </c>
      <c r="E127" t="s">
        <v>379</v>
      </c>
      <c r="F127" t="s">
        <v>543</v>
      </c>
    </row>
    <row r="128" spans="1:6" x14ac:dyDescent="0.25">
      <c r="A128" t="s">
        <v>444</v>
      </c>
      <c r="B128" t="s">
        <v>531</v>
      </c>
      <c r="C128" t="s">
        <v>301</v>
      </c>
      <c r="D128" t="s">
        <v>295</v>
      </c>
      <c r="E128" t="s">
        <v>379</v>
      </c>
      <c r="F128" t="s">
        <v>577</v>
      </c>
    </row>
    <row r="129" spans="1:6" x14ac:dyDescent="0.25">
      <c r="A129" t="s">
        <v>563</v>
      </c>
      <c r="B129" t="s">
        <v>285</v>
      </c>
      <c r="C129" t="s">
        <v>285</v>
      </c>
      <c r="D129" t="s">
        <v>288</v>
      </c>
      <c r="E129" t="s">
        <v>379</v>
      </c>
      <c r="F129" t="s">
        <v>541</v>
      </c>
    </row>
    <row r="130" spans="1:6" x14ac:dyDescent="0.25">
      <c r="A130" t="s">
        <v>445</v>
      </c>
      <c r="B130" t="s">
        <v>285</v>
      </c>
      <c r="C130" t="s">
        <v>285</v>
      </c>
      <c r="D130" t="s">
        <v>289</v>
      </c>
      <c r="E130" t="s">
        <v>379</v>
      </c>
      <c r="F130" t="s">
        <v>541</v>
      </c>
    </row>
    <row r="131" spans="1:6" x14ac:dyDescent="0.25">
      <c r="A131" t="s">
        <v>445</v>
      </c>
      <c r="B131" t="s">
        <v>289</v>
      </c>
      <c r="C131" t="s">
        <v>285</v>
      </c>
      <c r="D131" t="s">
        <v>289</v>
      </c>
      <c r="E131" t="s">
        <v>379</v>
      </c>
      <c r="F131" t="s">
        <v>560</v>
      </c>
    </row>
    <row r="132" spans="1:6" x14ac:dyDescent="0.25">
      <c r="A132" t="s">
        <v>450</v>
      </c>
      <c r="B132" t="s">
        <v>536</v>
      </c>
      <c r="C132" t="s">
        <v>284</v>
      </c>
      <c r="D132" t="s">
        <v>297</v>
      </c>
      <c r="E132" t="s">
        <v>379</v>
      </c>
      <c r="F132" t="s">
        <v>543</v>
      </c>
    </row>
    <row r="133" spans="1:6" x14ac:dyDescent="0.25">
      <c r="A133" t="s">
        <v>447</v>
      </c>
      <c r="B133" t="s">
        <v>285</v>
      </c>
      <c r="C133" t="s">
        <v>285</v>
      </c>
      <c r="D133" t="s">
        <v>288</v>
      </c>
      <c r="E133" t="s">
        <v>379</v>
      </c>
      <c r="F133" t="s">
        <v>541</v>
      </c>
    </row>
    <row r="134" spans="1:6" x14ac:dyDescent="0.25">
      <c r="A134" t="s">
        <v>472</v>
      </c>
      <c r="B134" t="s">
        <v>301</v>
      </c>
      <c r="C134" t="s">
        <v>301</v>
      </c>
      <c r="D134" t="s">
        <v>449</v>
      </c>
      <c r="E134" t="s">
        <v>379</v>
      </c>
      <c r="F134" t="s">
        <v>564</v>
      </c>
    </row>
    <row r="135" spans="1:6" x14ac:dyDescent="0.25">
      <c r="A135" t="s">
        <v>472</v>
      </c>
      <c r="B135" t="s">
        <v>531</v>
      </c>
      <c r="C135" t="s">
        <v>301</v>
      </c>
      <c r="D135" t="s">
        <v>449</v>
      </c>
      <c r="E135" t="s">
        <v>379</v>
      </c>
      <c r="F135" t="s">
        <v>577</v>
      </c>
    </row>
    <row r="136" spans="1:6" x14ac:dyDescent="0.25">
      <c r="A136" t="s">
        <v>474</v>
      </c>
      <c r="B136" t="s">
        <v>285</v>
      </c>
      <c r="C136" t="s">
        <v>285</v>
      </c>
      <c r="D136" t="s">
        <v>289</v>
      </c>
      <c r="E136" t="s">
        <v>379</v>
      </c>
      <c r="F136" t="s">
        <v>541</v>
      </c>
    </row>
    <row r="137" spans="1:6" x14ac:dyDescent="0.25">
      <c r="A137" t="s">
        <v>474</v>
      </c>
      <c r="B137" t="s">
        <v>289</v>
      </c>
      <c r="C137" t="s">
        <v>285</v>
      </c>
      <c r="D137" t="s">
        <v>289</v>
      </c>
      <c r="E137" t="s">
        <v>379</v>
      </c>
      <c r="F137" t="s">
        <v>560</v>
      </c>
    </row>
    <row r="138" spans="1:6" x14ac:dyDescent="0.25">
      <c r="A138" t="s">
        <v>473</v>
      </c>
      <c r="B138" t="s">
        <v>285</v>
      </c>
      <c r="C138" t="s">
        <v>285</v>
      </c>
      <c r="D138" t="s">
        <v>289</v>
      </c>
      <c r="E138" t="s">
        <v>379</v>
      </c>
      <c r="F138" t="s">
        <v>541</v>
      </c>
    </row>
    <row r="139" spans="1:6" x14ac:dyDescent="0.25">
      <c r="A139" t="s">
        <v>473</v>
      </c>
      <c r="B139" t="s">
        <v>289</v>
      </c>
      <c r="C139" t="s">
        <v>285</v>
      </c>
      <c r="D139" t="s">
        <v>289</v>
      </c>
      <c r="E139" t="s">
        <v>379</v>
      </c>
      <c r="F139" t="s">
        <v>560</v>
      </c>
    </row>
    <row r="140" spans="1:6" x14ac:dyDescent="0.25">
      <c r="A140" t="s">
        <v>565</v>
      </c>
      <c r="B140" t="s">
        <v>285</v>
      </c>
      <c r="C140" t="s">
        <v>285</v>
      </c>
      <c r="D140" t="s">
        <v>288</v>
      </c>
      <c r="E140" t="s">
        <v>379</v>
      </c>
      <c r="F140" t="s">
        <v>541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6A5D1-88FF-4D0A-9EF3-E472E8CAC676}">
  <dimension ref="A1:E19"/>
  <sheetViews>
    <sheetView workbookViewId="0">
      <selection activeCell="E22" sqref="E22"/>
    </sheetView>
  </sheetViews>
  <sheetFormatPr defaultRowHeight="15" x14ac:dyDescent="0.25"/>
  <cols>
    <col min="1" max="1" width="11.28515625" bestFit="1" customWidth="1"/>
    <col min="2" max="2" width="20.140625" bestFit="1" customWidth="1"/>
    <col min="3" max="3" width="11.42578125" bestFit="1" customWidth="1"/>
    <col min="4" max="4" width="19.5703125" bestFit="1" customWidth="1"/>
    <col min="5" max="5" width="81.140625" bestFit="1" customWidth="1"/>
  </cols>
  <sheetData>
    <row r="1" spans="1:5" x14ac:dyDescent="0.25">
      <c r="A1" t="s">
        <v>13</v>
      </c>
      <c r="B1" t="s">
        <v>522</v>
      </c>
      <c r="C1" t="s">
        <v>566</v>
      </c>
      <c r="D1" t="s">
        <v>567</v>
      </c>
      <c r="E1" t="s">
        <v>4</v>
      </c>
    </row>
    <row r="2" spans="1:5" x14ac:dyDescent="0.25">
      <c r="A2" t="s">
        <v>24</v>
      </c>
      <c r="B2" t="s">
        <v>524</v>
      </c>
      <c r="C2" t="s">
        <v>379</v>
      </c>
      <c r="D2" t="s">
        <v>384</v>
      </c>
      <c r="E2" t="s">
        <v>568</v>
      </c>
    </row>
    <row r="3" spans="1:5" x14ac:dyDescent="0.25">
      <c r="A3" t="s">
        <v>20</v>
      </c>
      <c r="B3" t="s">
        <v>524</v>
      </c>
      <c r="C3" t="s">
        <v>379</v>
      </c>
      <c r="D3" t="s">
        <v>384</v>
      </c>
      <c r="E3" t="s">
        <v>569</v>
      </c>
    </row>
    <row r="4" spans="1:5" x14ac:dyDescent="0.25">
      <c r="A4" t="s">
        <v>126</v>
      </c>
      <c r="B4" t="s">
        <v>524</v>
      </c>
      <c r="C4" t="s">
        <v>379</v>
      </c>
      <c r="D4" t="s">
        <v>384</v>
      </c>
      <c r="E4" t="s">
        <v>570</v>
      </c>
    </row>
    <row r="5" spans="1:5" x14ac:dyDescent="0.25">
      <c r="A5" t="s">
        <v>360</v>
      </c>
      <c r="B5" t="s">
        <v>524</v>
      </c>
      <c r="C5" t="s">
        <v>379</v>
      </c>
      <c r="D5" t="s">
        <v>384</v>
      </c>
      <c r="E5" t="s">
        <v>571</v>
      </c>
    </row>
    <row r="6" spans="1:5" x14ac:dyDescent="0.25">
      <c r="A6" t="s">
        <v>124</v>
      </c>
      <c r="B6" t="s">
        <v>524</v>
      </c>
      <c r="C6" t="s">
        <v>379</v>
      </c>
      <c r="D6" t="s">
        <v>384</v>
      </c>
      <c r="E6" t="s">
        <v>572</v>
      </c>
    </row>
    <row r="7" spans="1:5" x14ac:dyDescent="0.25">
      <c r="A7" t="s">
        <v>137</v>
      </c>
      <c r="B7" t="s">
        <v>585</v>
      </c>
      <c r="C7" t="s">
        <v>379</v>
      </c>
      <c r="D7" t="s">
        <v>579</v>
      </c>
      <c r="E7" t="s">
        <v>587</v>
      </c>
    </row>
    <row r="8" spans="1:5" x14ac:dyDescent="0.25">
      <c r="A8" t="s">
        <v>76</v>
      </c>
      <c r="B8" t="s">
        <v>285</v>
      </c>
      <c r="C8" t="s">
        <v>379</v>
      </c>
      <c r="D8" t="s">
        <v>384</v>
      </c>
      <c r="E8" t="s">
        <v>573</v>
      </c>
    </row>
    <row r="9" spans="1:5" x14ac:dyDescent="0.25">
      <c r="A9" t="s">
        <v>110</v>
      </c>
      <c r="B9" t="s">
        <v>285</v>
      </c>
      <c r="C9" t="s">
        <v>379</v>
      </c>
      <c r="D9" t="s">
        <v>384</v>
      </c>
      <c r="E9" t="s">
        <v>573</v>
      </c>
    </row>
    <row r="10" spans="1:5" x14ac:dyDescent="0.25">
      <c r="A10" t="s">
        <v>181</v>
      </c>
      <c r="B10" t="s">
        <v>527</v>
      </c>
      <c r="C10" t="s">
        <v>379</v>
      </c>
      <c r="D10" t="s">
        <v>574</v>
      </c>
      <c r="E10" t="s">
        <v>575</v>
      </c>
    </row>
    <row r="11" spans="1:5" x14ac:dyDescent="0.25">
      <c r="A11" t="s">
        <v>29</v>
      </c>
      <c r="B11" t="s">
        <v>527</v>
      </c>
      <c r="C11" t="s">
        <v>379</v>
      </c>
      <c r="D11" t="s">
        <v>574</v>
      </c>
      <c r="E11" t="s">
        <v>575</v>
      </c>
    </row>
    <row r="12" spans="1:5" x14ac:dyDescent="0.25">
      <c r="A12" t="s">
        <v>27</v>
      </c>
      <c r="B12" t="s">
        <v>527</v>
      </c>
      <c r="C12" t="s">
        <v>379</v>
      </c>
      <c r="D12" t="s">
        <v>574</v>
      </c>
      <c r="E12" t="s">
        <v>575</v>
      </c>
    </row>
    <row r="13" spans="1:5" x14ac:dyDescent="0.25">
      <c r="A13" t="s">
        <v>389</v>
      </c>
      <c r="B13" t="s">
        <v>527</v>
      </c>
      <c r="C13" t="s">
        <v>379</v>
      </c>
      <c r="D13" t="s">
        <v>574</v>
      </c>
      <c r="E13" t="s">
        <v>575</v>
      </c>
    </row>
    <row r="14" spans="1:5" x14ac:dyDescent="0.25">
      <c r="A14" t="s">
        <v>179</v>
      </c>
      <c r="B14" t="s">
        <v>289</v>
      </c>
      <c r="C14" t="s">
        <v>379</v>
      </c>
      <c r="D14" t="s">
        <v>385</v>
      </c>
      <c r="E14" t="s">
        <v>576</v>
      </c>
    </row>
    <row r="15" spans="1:5" x14ac:dyDescent="0.25">
      <c r="A15" t="s">
        <v>32</v>
      </c>
      <c r="B15" t="s">
        <v>286</v>
      </c>
      <c r="C15" t="s">
        <v>379</v>
      </c>
      <c r="D15" t="s">
        <v>384</v>
      </c>
      <c r="E15" t="s">
        <v>578</v>
      </c>
    </row>
    <row r="16" spans="1:5" x14ac:dyDescent="0.25">
      <c r="A16" t="s">
        <v>227</v>
      </c>
      <c r="B16" t="s">
        <v>293</v>
      </c>
      <c r="C16" t="s">
        <v>379</v>
      </c>
      <c r="D16" t="s">
        <v>579</v>
      </c>
      <c r="E16" t="s">
        <v>589</v>
      </c>
    </row>
    <row r="17" spans="1:5" x14ac:dyDescent="0.25">
      <c r="A17" t="s">
        <v>238</v>
      </c>
      <c r="B17" t="s">
        <v>536</v>
      </c>
      <c r="C17" t="s">
        <v>379</v>
      </c>
      <c r="D17" t="s">
        <v>384</v>
      </c>
      <c r="E17" t="s">
        <v>600</v>
      </c>
    </row>
    <row r="18" spans="1:5" x14ac:dyDescent="0.25">
      <c r="A18" t="s">
        <v>238</v>
      </c>
      <c r="B18" t="s">
        <v>601</v>
      </c>
      <c r="C18" t="s">
        <v>379</v>
      </c>
      <c r="D18" t="s">
        <v>384</v>
      </c>
      <c r="E18" t="s">
        <v>602</v>
      </c>
    </row>
    <row r="19" spans="1:5" x14ac:dyDescent="0.25">
      <c r="A19" t="s">
        <v>225</v>
      </c>
      <c r="B19" t="s">
        <v>531</v>
      </c>
      <c r="C19" t="s">
        <v>379</v>
      </c>
      <c r="D19" t="s">
        <v>579</v>
      </c>
      <c r="E19" t="s">
        <v>580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E212"/>
  <sheetViews>
    <sheetView showGridLines="0" topLeftCell="A4" zoomScaleNormal="100" zoomScaleSheetLayoutView="100" workbookViewId="0">
      <selection activeCell="A27" sqref="A27"/>
    </sheetView>
  </sheetViews>
  <sheetFormatPr defaultRowHeight="15" x14ac:dyDescent="0.25"/>
  <cols>
    <col min="1" max="1" width="14.28515625" style="7" customWidth="1"/>
    <col min="2" max="2" width="34.7109375" style="28" customWidth="1"/>
    <col min="3" max="3" width="16.7109375" style="28" customWidth="1"/>
    <col min="4" max="5" width="16.7109375" style="19" customWidth="1"/>
  </cols>
  <sheetData>
    <row r="1" spans="1:5" ht="18.75" hidden="1" x14ac:dyDescent="0.25">
      <c r="A1" s="36" t="s">
        <v>157</v>
      </c>
      <c r="B1" s="37" t="s">
        <v>51</v>
      </c>
      <c r="C1" s="37"/>
      <c r="D1" s="38"/>
      <c r="E1" s="38"/>
    </row>
    <row r="2" spans="1:5" hidden="1" x14ac:dyDescent="0.25">
      <c r="A2" s="39" t="s">
        <v>103</v>
      </c>
      <c r="B2" s="37" t="s">
        <v>58</v>
      </c>
      <c r="C2" s="37"/>
      <c r="D2" s="38"/>
      <c r="E2" s="38"/>
    </row>
    <row r="3" spans="1:5" hidden="1" x14ac:dyDescent="0.25">
      <c r="A3" s="40"/>
      <c r="B3" s="37" t="str">
        <f>A1</f>
        <v>MUST01</v>
      </c>
      <c r="C3" s="37"/>
      <c r="D3" s="38"/>
      <c r="E3" s="38"/>
    </row>
    <row r="4" spans="1:5" ht="29.25" customHeight="1" x14ac:dyDescent="0.25">
      <c r="A4" s="39"/>
      <c r="B4" s="37"/>
      <c r="C4" s="37"/>
      <c r="D4" s="38"/>
      <c r="E4" s="38"/>
    </row>
    <row r="5" spans="1:5" ht="21" customHeight="1" x14ac:dyDescent="0.25">
      <c r="A5" s="39"/>
      <c r="B5" s="37"/>
      <c r="C5" s="37"/>
      <c r="D5" s="38"/>
      <c r="E5" s="38"/>
    </row>
    <row r="6" spans="1:5" s="34" customFormat="1" ht="31.5" x14ac:dyDescent="0.45">
      <c r="A6" s="123" t="s">
        <v>218</v>
      </c>
      <c r="B6" s="123"/>
      <c r="C6" s="123"/>
      <c r="D6" s="123"/>
      <c r="E6" s="123"/>
    </row>
    <row r="7" spans="1:5" s="34" customFormat="1" ht="18" customHeight="1" x14ac:dyDescent="0.45">
      <c r="A7" s="41"/>
      <c r="B7" s="41"/>
      <c r="C7" s="41"/>
      <c r="D7" s="41"/>
      <c r="E7" s="41"/>
    </row>
    <row r="8" spans="1:5" s="34" customFormat="1" ht="31.5" x14ac:dyDescent="0.45">
      <c r="A8" s="79" t="s">
        <v>219</v>
      </c>
      <c r="B8" s="82" t="str">
        <f>IF($B$3="","",
  _xlfn.LET(_xlpm.q,TRIM($B$3),
    IFERROR(
      _xlfn.XLOOKUP(_xlpm.q, tblPeople[PersonID],  tblPeople[PersonName], ""),
      IFERROR(
        _xlfn.XLOOKUP(_xlpm.q, tblPeople[PersonName], tblPeople[PersonName], ""),
        _xlfn.XLOOKUP("*"&amp;_xlpm.q&amp;"*", tblPeople[PersonName], tblPeople[PersonName], "", 2)
      )
    )
  )
)</f>
        <v>Stephen Mutambu</v>
      </c>
      <c r="C8" s="80" t="s">
        <v>481</v>
      </c>
      <c r="D8" s="80" t="s">
        <v>482</v>
      </c>
      <c r="E8" s="80" t="s">
        <v>483</v>
      </c>
    </row>
    <row r="9" spans="1:5" s="35" customFormat="1" ht="27.75" customHeight="1" x14ac:dyDescent="0.25">
      <c r="A9" s="79" t="s">
        <v>484</v>
      </c>
      <c r="B9" s="83" t="str" cm="1">
        <f t="array" ref="B9">IF($B$3="","",
  _xlfn.LET(
    _xlpm.q,TRIM($B$3),
    _xlpm.lic,_xlfn.XLOOKUP(_xlpm.q,_xlfn.CHOOSECOLS(tblPeople[],1),_xlfn.CHOOSECOLS(tblPeople[],12),""),
    IF(_xlpm.lic="","NIL", IF(AND(ISNUMBER(_xlpm.lic),_xlpm.lic=0),"NIL",_xlpm.lic))
  )
)</f>
        <v>RELIABILITY OFFICER</v>
      </c>
      <c r="C9" s="81" t="str" cm="1">
        <f t="array" ref="C9">IF($B$3="","",
  _xlfn.LET(
    _xlpm.q,TRIM($B$3),
    _xlpm.lic,_xlfn.XLOOKUP(_xlpm.q,_xlfn.CHOOSECOLS(tblPeople[],1),_xlfn.CHOOSECOLS(tblPeople[],8),""),
    IF(_xlpm.lic="","NIL", IF(AND(ISNUMBER(_xlpm.lic),_xlpm.lic=0),"NIL",_xlpm.lic))
  )
)</f>
        <v>NIL</v>
      </c>
      <c r="D9" s="81" t="str" cm="1">
        <f t="array" ref="D9">IF($B$3="","",
  _xlfn.LET(
    _xlpm.q,TRIM($B$3),
    _xlpm.lic,_xlfn.XLOOKUP(_xlpm.q,_xlfn.CHOOSECOLS(tblPeople[],1),_xlfn.CHOOSECOLS(tblPeople[],20),""),
    IF(_xlpm.lic="","NIL", IF(AND(ISNUMBER(_xlpm.lic),_xlpm.lic=0),"NIL",_xlpm.lic))
  )
)</f>
        <v>NIL</v>
      </c>
      <c r="E9" s="81" t="str" cm="1">
        <f t="array" ref="E9">IF($B$3="","",
  _xlfn.LET(
    _xlpm.q,TRIM($B$3),
    _xlpm.lic,_xlfn.XLOOKUP(_xlpm.q,_xlfn.CHOOSECOLS(tblPeople[],1),_xlfn.CHOOSECOLS(tblPeople[],21),""),
    IF(_xlpm.lic="","NIL", IF(AND(ISNUMBER(_xlpm.lic),_xlpm.lic=0),"NIL",_xlpm.lic))
  )
)</f>
        <v>NIL</v>
      </c>
    </row>
    <row r="10" spans="1:5" x14ac:dyDescent="0.25">
      <c r="A10" s="39"/>
      <c r="B10" s="37"/>
      <c r="C10" s="37"/>
      <c r="D10" s="38"/>
      <c r="E10" s="38"/>
    </row>
    <row r="11" spans="1:5" s="42" customFormat="1" ht="13.5" x14ac:dyDescent="0.25">
      <c r="A11" s="33" t="s">
        <v>13</v>
      </c>
      <c r="B11" s="45" t="s">
        <v>14</v>
      </c>
      <c r="C11" s="33" t="s">
        <v>36</v>
      </c>
      <c r="D11" s="33" t="s">
        <v>37</v>
      </c>
      <c r="E11" s="33" t="s">
        <v>39</v>
      </c>
    </row>
    <row r="12" spans="1:5" x14ac:dyDescent="0.25">
      <c r="A12" s="134" t="str" cm="1">
        <f t="array" aca="1" ref="A12:E44" ca="1">IF($B$3="","",
  _xlfn.LET(
    _xlpm.q,TRIM($B$3),
    _xlpm.t,tblTraining[[PersonID]:[Status]],
    _xlpm.d,_xlfn._xlws.FILTER(_xlpm.t, ISNUMBER(SEARCH(_xlpm.q,_xlfn.CHOOSECOLS(_xlpm.t,2)))+ISNUMBER(SEARCH(_xlpm.q,_xlfn.CHOOSECOLS(_xlpm.t,1))),""),
    _xlpm.sd,_xlfn.SORTBY(_xlpm.d,_xlfn.CHOOSECOLS(_xlpm.d,3),1,_xlfn.CHOOSECOLS(_xlpm.d,5),-1),
    _xlpm.cid,_xlfn.CHOOSECOLS(_xlpm.sd,3),
    _xlpm.pos,_xlfn.XMATCH(_xlpm.cid,_xlpm.cid),
    _xlpm.rn,_xlfn.SEQUENCE(ROWS(_xlpm.sd)),
    _xlpm.latest,_xlfn._xlws.FILTER(_xlpm.sd,_xlpm.pos=_xlpm.rn),
    _xlpm.ldRaw,_xlfn.CHOOSECOLS(_xlpm.latest,5),
    _xlpm.ndRaw,_xlfn.CHOOSECOLS(_xlpm.latest,6),
    _xlpm.ld,IF(N(_xlpm.ldRaw)&gt;0,_xlpm.ldRaw,""),
    _xlpm.nd,IF(N(_xlpm.ndRaw)&gt;0,_xlpm.ndRaw,""),
    _xlpm.days,IF(_xlpm.nd="","",_xlpm.nd-TODAY()),
    _xlpm.pri,IF((_xlpm.days&lt;0)+(_xlpm.days&lt;=60),0,1),
    _xlpm.rec,IFERROR(-VALUE(_xlpm.ld),0),
    _xlpm.key,IF(_xlpm.pri=0,_xlpm.days,_xlpm.rec),
    _xlpm.out,_xlfn.HSTACK(_xlfn.CHOOSECOLS(_xlpm.latest,3,4),_xlpm.ld,_xlpm.nd,_xlfn.CHOOSECOLS(_xlpm.latest,8)),
    _xlfn.SORTBY(_xlpm.out,_xlpm.pri,1,_xlpm.key,1)
  )
)</f>
        <v>CRM-REF</v>
      </c>
      <c r="B12" s="135" t="str">
        <f ca="1"/>
        <v>Crew Resource Management (Refresher)</v>
      </c>
      <c r="C12" s="136">
        <f ca="1"/>
        <v>44126</v>
      </c>
      <c r="D12" s="136">
        <f ca="1"/>
        <v>44856</v>
      </c>
      <c r="E12" s="136" t="str">
        <f ca="1"/>
        <v>Overdue</v>
      </c>
    </row>
    <row r="13" spans="1:5" x14ac:dyDescent="0.25">
      <c r="A13" s="134" t="str">
        <f ca="1"/>
        <v>CIT-REF</v>
      </c>
      <c r="B13" s="135" t="str">
        <f ca="1"/>
        <v>Core Instructional Technique (Refresher)</v>
      </c>
      <c r="C13" s="136">
        <f ca="1"/>
        <v>45597</v>
      </c>
      <c r="D13" s="136">
        <f ca="1"/>
        <v>46327</v>
      </c>
      <c r="E13" s="136" t="str">
        <f ca="1"/>
        <v>Due Soon</v>
      </c>
    </row>
    <row r="14" spans="1:5" x14ac:dyDescent="0.25">
      <c r="A14" s="134" t="str">
        <f ca="1"/>
        <v>SMS-REF</v>
      </c>
      <c r="B14" s="135" t="str">
        <f ca="1"/>
        <v>Safety Management Systems (Refresher)</v>
      </c>
      <c r="C14" s="136">
        <f ca="1"/>
        <v>46259</v>
      </c>
      <c r="D14" s="136">
        <f ca="1"/>
        <v>46990</v>
      </c>
      <c r="E14" s="136" t="str">
        <f ca="1"/>
        <v>OK</v>
      </c>
    </row>
    <row r="15" spans="1:5" x14ac:dyDescent="0.25">
      <c r="A15" s="134" t="str">
        <f ca="1"/>
        <v>AVSEC-INIT</v>
      </c>
      <c r="B15" s="135" t="str">
        <f ca="1"/>
        <v>Aviation Security (Initial)</v>
      </c>
      <c r="C15" s="136">
        <f ca="1"/>
        <v>46238</v>
      </c>
      <c r="D15" s="136" t="str">
        <f ca="1"/>
        <v/>
      </c>
      <c r="E15" s="136" t="str">
        <f ca="1"/>
        <v>OK</v>
      </c>
    </row>
    <row r="16" spans="1:5" x14ac:dyDescent="0.25">
      <c r="A16" s="134" t="str">
        <f ca="1"/>
        <v>AVSEC-REF</v>
      </c>
      <c r="B16" s="135" t="str">
        <f ca="1"/>
        <v>Aviation Security (Refresher)</v>
      </c>
      <c r="C16" s="136">
        <f ca="1"/>
        <v>46238</v>
      </c>
      <c r="D16" s="136">
        <f ca="1"/>
        <v>46969</v>
      </c>
      <c r="E16" s="136" t="str">
        <f ca="1"/>
        <v>OK</v>
      </c>
    </row>
    <row r="17" spans="1:5" ht="25.5" x14ac:dyDescent="0.25">
      <c r="A17" s="134" t="str">
        <f ca="1"/>
        <v>FTS-REF</v>
      </c>
      <c r="B17" s="135" t="str">
        <f ca="1"/>
        <v>Fuel Tank Safety Phase 1 &amp; 2 Course (Refresher)</v>
      </c>
      <c r="C17" s="136">
        <f ca="1"/>
        <v>46116</v>
      </c>
      <c r="D17" s="136">
        <f ca="1"/>
        <v>46847</v>
      </c>
      <c r="E17" s="136" t="str">
        <f ca="1"/>
        <v>OK</v>
      </c>
    </row>
    <row r="18" spans="1:5" ht="25.5" x14ac:dyDescent="0.25">
      <c r="A18" s="134" t="str">
        <f ca="1"/>
        <v>MPM-REF</v>
      </c>
      <c r="B18" s="135" t="str">
        <f ca="1"/>
        <v>Maintenance Procedures &amp; Standard Maintenance Practices (Refresher)</v>
      </c>
      <c r="C18" s="136">
        <f ca="1"/>
        <v>46073</v>
      </c>
      <c r="D18" s="136">
        <f ca="1"/>
        <v>46803</v>
      </c>
      <c r="E18" s="136" t="str">
        <f ca="1"/>
        <v>OK</v>
      </c>
    </row>
    <row r="19" spans="1:5" x14ac:dyDescent="0.25">
      <c r="A19" s="134" t="str">
        <f ca="1"/>
        <v>MNGMT</v>
      </c>
      <c r="B19" s="135" t="str">
        <f ca="1"/>
        <v>Leadership &amp; Management</v>
      </c>
      <c r="C19" s="136">
        <f ca="1"/>
        <v>46045</v>
      </c>
      <c r="D19" s="136" t="str">
        <f ca="1"/>
        <v/>
      </c>
      <c r="E19" s="136" t="str">
        <f ca="1"/>
        <v>OK</v>
      </c>
    </row>
    <row r="20" spans="1:5" x14ac:dyDescent="0.25">
      <c r="A20" s="134" t="str">
        <f ca="1"/>
        <v>REC</v>
      </c>
      <c r="B20" s="135" t="str">
        <f ca="1"/>
        <v>Records Management</v>
      </c>
      <c r="C20" s="136">
        <f ca="1"/>
        <v>45989</v>
      </c>
      <c r="D20" s="136" t="str">
        <f ca="1"/>
        <v/>
      </c>
      <c r="E20" s="136" t="str">
        <f ca="1"/>
        <v>OK</v>
      </c>
    </row>
    <row r="21" spans="1:5" ht="25.5" x14ac:dyDescent="0.25">
      <c r="A21" s="134" t="str">
        <f ca="1"/>
        <v>EWIS-INIT</v>
      </c>
      <c r="B21" s="135" t="str">
        <f ca="1"/>
        <v>Electrical Wiring Interconnection System Target Groups 1 &amp; 2 (Initial)</v>
      </c>
      <c r="C21" s="136">
        <f ca="1"/>
        <v>45942</v>
      </c>
      <c r="D21" s="136" t="str">
        <f ca="1"/>
        <v/>
      </c>
      <c r="E21" s="136" t="str">
        <f ca="1"/>
        <v>OK</v>
      </c>
    </row>
    <row r="22" spans="1:5" ht="25.5" x14ac:dyDescent="0.25">
      <c r="A22" s="134" t="str">
        <f ca="1"/>
        <v>EWIS-REF</v>
      </c>
      <c r="B22" s="135" t="str">
        <f ca="1"/>
        <v>Electrical Wiring Interconnection System Target Groups 1 &amp; 2 (Refresher)</v>
      </c>
      <c r="C22" s="136">
        <f ca="1"/>
        <v>45942</v>
      </c>
      <c r="D22" s="136">
        <f ca="1"/>
        <v>46672</v>
      </c>
      <c r="E22" s="136" t="str">
        <f ca="1"/>
        <v>OK</v>
      </c>
    </row>
    <row r="23" spans="1:5" ht="25.5" x14ac:dyDescent="0.25">
      <c r="A23" s="134" t="str">
        <f ca="1"/>
        <v>QMS-ADMIN</v>
      </c>
      <c r="B23" s="135" t="str">
        <f ca="1"/>
        <v>PR328: QMS ISO 9001:2015 (Lead Auditor Training)</v>
      </c>
      <c r="C23" s="136">
        <f ca="1"/>
        <v>45792</v>
      </c>
      <c r="D23" s="136">
        <f ca="1"/>
        <v>47618</v>
      </c>
      <c r="E23" s="136" t="str">
        <f ca="1"/>
        <v>OK</v>
      </c>
    </row>
    <row r="24" spans="1:5" x14ac:dyDescent="0.25">
      <c r="A24" s="134" t="str">
        <f ca="1"/>
        <v>QMS-INIT</v>
      </c>
      <c r="B24" s="135" t="str">
        <f ca="1"/>
        <v>Quality Management Systems (Initial)</v>
      </c>
      <c r="C24" s="136">
        <f ca="1"/>
        <v>45792</v>
      </c>
      <c r="D24" s="136" t="str">
        <f ca="1"/>
        <v/>
      </c>
      <c r="E24" s="136" t="str">
        <f ca="1"/>
        <v>OK</v>
      </c>
    </row>
    <row r="25" spans="1:5" x14ac:dyDescent="0.25">
      <c r="A25" s="134" t="str">
        <f ca="1"/>
        <v>QMS-REF</v>
      </c>
      <c r="B25" s="135" t="str">
        <f ca="1"/>
        <v>Quality Management Systems</v>
      </c>
      <c r="C25" s="136">
        <f ca="1"/>
        <v>45792</v>
      </c>
      <c r="D25" s="136">
        <f ca="1"/>
        <v>46888</v>
      </c>
      <c r="E25" s="136" t="str">
        <f ca="1"/>
        <v>OK</v>
      </c>
    </row>
    <row r="26" spans="1:5" ht="25.5" x14ac:dyDescent="0.25">
      <c r="A26" s="134" t="str">
        <f ca="1"/>
        <v>DGR-INIT</v>
      </c>
      <c r="B26" s="135" t="str">
        <f ca="1"/>
        <v>Dangerous Goods Regulations (CBTA 7.3) (Initial)</v>
      </c>
      <c r="C26" s="136">
        <f ca="1"/>
        <v>45758</v>
      </c>
      <c r="D26" s="136" t="str">
        <f ca="1"/>
        <v/>
      </c>
      <c r="E26" s="136" t="str">
        <f ca="1"/>
        <v>OK</v>
      </c>
    </row>
    <row r="27" spans="1:5" ht="25.5" x14ac:dyDescent="0.25">
      <c r="A27" s="134" t="str">
        <f ca="1"/>
        <v>DGR-REF</v>
      </c>
      <c r="B27" s="135" t="str">
        <f ca="1"/>
        <v>Dangerous Goods Regulations (CBTA 7.3) (Refresher)</v>
      </c>
      <c r="C27" s="136">
        <f ca="1"/>
        <v>45758</v>
      </c>
      <c r="D27" s="136">
        <f ca="1"/>
        <v>46488</v>
      </c>
      <c r="E27" s="136" t="str">
        <f ca="1"/>
        <v>OK</v>
      </c>
    </row>
    <row r="28" spans="1:5" ht="25.5" x14ac:dyDescent="0.25">
      <c r="A28" s="134" t="str">
        <f ca="1"/>
        <v>SMS-ADMIN</v>
      </c>
      <c r="B28" s="135" t="str">
        <f ca="1"/>
        <v>Safety Management Systems (For Managers)</v>
      </c>
      <c r="C28" s="136">
        <f ca="1"/>
        <v>45751</v>
      </c>
      <c r="D28" s="136" t="str">
        <f ca="1"/>
        <v/>
      </c>
      <c r="E28" s="136" t="str">
        <f ca="1"/>
        <v>OK</v>
      </c>
    </row>
    <row r="29" spans="1:5" x14ac:dyDescent="0.25">
      <c r="A29" s="134" t="str">
        <f ca="1"/>
        <v>FDM</v>
      </c>
      <c r="B29" s="135" t="str">
        <f ca="1"/>
        <v>Flight Data Monitoring</v>
      </c>
      <c r="C29" s="136">
        <f ca="1"/>
        <v>45722</v>
      </c>
      <c r="D29" s="136" t="str">
        <f ca="1"/>
        <v/>
      </c>
      <c r="E29" s="136" t="str">
        <f ca="1"/>
        <v>OK</v>
      </c>
    </row>
    <row r="30" spans="1:5" x14ac:dyDescent="0.25">
      <c r="A30" s="134" t="str">
        <f ca="1"/>
        <v>HF-REF</v>
      </c>
      <c r="B30" s="135" t="str">
        <f ca="1"/>
        <v>Human Factors in Aviation (Refresher)</v>
      </c>
      <c r="C30" s="136">
        <f ca="1"/>
        <v>45721</v>
      </c>
      <c r="D30" s="136">
        <f ca="1"/>
        <v>46451</v>
      </c>
      <c r="E30" s="136" t="str">
        <f ca="1"/>
        <v>OK</v>
      </c>
    </row>
    <row r="31" spans="1:5" ht="25.5" x14ac:dyDescent="0.25">
      <c r="A31" s="134" t="str">
        <f ca="1"/>
        <v>WBR-INIT</v>
      </c>
      <c r="B31" s="135" t="str">
        <f ca="1"/>
        <v>DHC8 -100/-200/-300 Collins Wheels &amp; Brakes Familiarization Training (Initial)</v>
      </c>
      <c r="C31" s="136">
        <f ca="1"/>
        <v>45637</v>
      </c>
      <c r="D31" s="136" t="str">
        <f ca="1"/>
        <v/>
      </c>
      <c r="E31" s="136" t="str">
        <f ca="1"/>
        <v>OK</v>
      </c>
    </row>
    <row r="32" spans="1:5" ht="38.25" x14ac:dyDescent="0.25">
      <c r="A32" s="134" t="str">
        <f ca="1"/>
        <v>WBR-REF</v>
      </c>
      <c r="B32" s="135" t="str">
        <f ca="1"/>
        <v>DHC8 -100/-200/-300 Collins Wheels &amp; Brakes Familiarization Training (Refresher)</v>
      </c>
      <c r="C32" s="136">
        <f ca="1"/>
        <v>45637</v>
      </c>
      <c r="D32" s="136">
        <f ca="1"/>
        <v>46367</v>
      </c>
      <c r="E32" s="136" t="str">
        <f ca="1"/>
        <v>OK</v>
      </c>
    </row>
    <row r="33" spans="1:5" x14ac:dyDescent="0.25">
      <c r="A33" s="134" t="str">
        <f ca="1"/>
        <v>CIT-INIT</v>
      </c>
      <c r="B33" s="135" t="str">
        <f ca="1"/>
        <v>Core Instructional Technique (Initial)</v>
      </c>
      <c r="C33" s="136">
        <f ca="1"/>
        <v>45597</v>
      </c>
      <c r="D33" s="136" t="str">
        <f ca="1"/>
        <v/>
      </c>
      <c r="E33" s="136" t="str">
        <f ca="1"/>
        <v>OK</v>
      </c>
    </row>
    <row r="34" spans="1:5" ht="25.5" x14ac:dyDescent="0.25">
      <c r="A34" s="134" t="str">
        <f ca="1"/>
        <v>FTS-INIT</v>
      </c>
      <c r="B34" s="135" t="str">
        <f ca="1"/>
        <v>Fuel Tank Safety Phase 1 &amp; 2 Course (Initial)</v>
      </c>
      <c r="C34" s="136">
        <f ca="1"/>
        <v>45395</v>
      </c>
      <c r="D34" s="136" t="str">
        <f ca="1"/>
        <v/>
      </c>
      <c r="E34" s="136" t="str">
        <f ca="1"/>
        <v>OK</v>
      </c>
    </row>
    <row r="35" spans="1:5" ht="25.5" x14ac:dyDescent="0.25">
      <c r="A35" s="134" t="str">
        <f ca="1"/>
        <v>TRS</v>
      </c>
      <c r="B35" s="135" t="str">
        <f ca="1"/>
        <v>Aviation Technical Records &amp; Stores Management (TRS)</v>
      </c>
      <c r="C35" s="136">
        <f ca="1"/>
        <v>45002</v>
      </c>
      <c r="D35" s="136" t="str">
        <f ca="1"/>
        <v/>
      </c>
      <c r="E35" s="136" t="str">
        <f ca="1"/>
        <v>OK</v>
      </c>
    </row>
    <row r="36" spans="1:5" ht="25.5" x14ac:dyDescent="0.25">
      <c r="A36" s="134" t="str">
        <f ca="1"/>
        <v>PW100-FAM</v>
      </c>
      <c r="B36" s="135" t="str">
        <f ca="1"/>
        <v>PW100 Series - General Familiarization ATA104 Level 1</v>
      </c>
      <c r="C36" s="136">
        <f ca="1"/>
        <v>44672</v>
      </c>
      <c r="D36" s="136" t="str">
        <f ca="1"/>
        <v/>
      </c>
      <c r="E36" s="136" t="str">
        <f ca="1"/>
        <v>OK</v>
      </c>
    </row>
    <row r="37" spans="1:5" ht="25.5" x14ac:dyDescent="0.25">
      <c r="A37" s="134" t="str">
        <f ca="1"/>
        <v>PT6A-FAM</v>
      </c>
      <c r="B37" s="135" t="str">
        <f ca="1"/>
        <v>PT6A Small &amp; Medium Series - General Familiarization ATA104 Level 1</v>
      </c>
      <c r="C37" s="136">
        <f ca="1"/>
        <v>44634</v>
      </c>
      <c r="D37" s="136" t="str">
        <f ca="1"/>
        <v/>
      </c>
      <c r="E37" s="136" t="str">
        <f ca="1"/>
        <v>OK</v>
      </c>
    </row>
    <row r="38" spans="1:5" x14ac:dyDescent="0.25">
      <c r="A38" s="134" t="str">
        <f ca="1"/>
        <v>AC-REL</v>
      </c>
      <c r="B38" s="135" t="str">
        <f ca="1"/>
        <v xml:space="preserve">Aircraft Reliability </v>
      </c>
      <c r="C38" s="136">
        <f ca="1"/>
        <v>44545</v>
      </c>
      <c r="D38" s="136" t="str">
        <f ca="1"/>
        <v/>
      </c>
      <c r="E38" s="136" t="str">
        <f ca="1"/>
        <v>OK</v>
      </c>
    </row>
    <row r="39" spans="1:5" x14ac:dyDescent="0.25">
      <c r="A39" s="134" t="str">
        <f ca="1"/>
        <v>HF-INIT</v>
      </c>
      <c r="B39" s="135" t="str">
        <f ca="1"/>
        <v>Human Factors in Aviation (Initial)</v>
      </c>
      <c r="C39" s="136">
        <f ca="1"/>
        <v>44205</v>
      </c>
      <c r="D39" s="136" t="str">
        <f ca="1"/>
        <v/>
      </c>
      <c r="E39" s="136" t="str">
        <f ca="1"/>
        <v>OK</v>
      </c>
    </row>
    <row r="40" spans="1:5" x14ac:dyDescent="0.25">
      <c r="A40" s="134" t="str">
        <f ca="1"/>
        <v>CRM-INIT</v>
      </c>
      <c r="B40" s="135" t="str">
        <f ca="1"/>
        <v>Crew Resource Management (Initial)</v>
      </c>
      <c r="C40" s="136">
        <f ca="1"/>
        <v>44126</v>
      </c>
      <c r="D40" s="136" t="str">
        <f ca="1"/>
        <v/>
      </c>
      <c r="E40" s="136" t="str">
        <f ca="1"/>
        <v>OK</v>
      </c>
    </row>
    <row r="41" spans="1:5" x14ac:dyDescent="0.25">
      <c r="A41" s="134" t="str">
        <f ca="1"/>
        <v>SMS-INIT</v>
      </c>
      <c r="B41" s="135" t="str">
        <f ca="1"/>
        <v>Safety Management Systems (Initial)</v>
      </c>
      <c r="C41" s="136">
        <f ca="1"/>
        <v>44070</v>
      </c>
      <c r="D41" s="136" t="str">
        <f ca="1"/>
        <v/>
      </c>
      <c r="E41" s="136" t="str">
        <f ca="1"/>
        <v>OK</v>
      </c>
    </row>
    <row r="42" spans="1:5" ht="25.5" x14ac:dyDescent="0.25">
      <c r="A42" s="134" t="str">
        <f ca="1"/>
        <v>MPM-INIT</v>
      </c>
      <c r="B42" s="135" t="str">
        <f ca="1"/>
        <v>Maintenance Procedures &amp; Standard Maintenance Practices (Initial)</v>
      </c>
      <c r="C42" s="136">
        <f ca="1"/>
        <v>43896</v>
      </c>
      <c r="D42" s="136" t="str">
        <f ca="1"/>
        <v/>
      </c>
      <c r="E42" s="136" t="str">
        <f ca="1"/>
        <v>OK</v>
      </c>
    </row>
    <row r="43" spans="1:5" x14ac:dyDescent="0.25">
      <c r="A43" s="134" t="str">
        <f ca="1"/>
        <v>SAFA-INIT</v>
      </c>
      <c r="B43" s="135" t="str">
        <f ca="1"/>
        <v>Maintenance Indoctrination</v>
      </c>
      <c r="C43" s="136">
        <f ca="1"/>
        <v>43895</v>
      </c>
      <c r="D43" s="136" t="str">
        <f ca="1"/>
        <v/>
      </c>
      <c r="E43" s="136" t="str">
        <f ca="1"/>
        <v>OK</v>
      </c>
    </row>
    <row r="44" spans="1:5" x14ac:dyDescent="0.25">
      <c r="A44" s="134" t="str">
        <f ca="1"/>
        <v>WinAir</v>
      </c>
      <c r="B44" s="135" t="str">
        <f ca="1"/>
        <v>WinAir Version 7</v>
      </c>
      <c r="C44" s="136">
        <f ca="1"/>
        <v>43805</v>
      </c>
      <c r="D44" s="136" t="str">
        <f ca="1"/>
        <v/>
      </c>
      <c r="E44" s="136" t="str">
        <f ca="1"/>
        <v>OK</v>
      </c>
    </row>
    <row r="45" spans="1:5" x14ac:dyDescent="0.25">
      <c r="A45" s="127"/>
      <c r="B45" s="128"/>
      <c r="C45" s="129"/>
      <c r="D45" s="129"/>
      <c r="E45" s="129"/>
    </row>
    <row r="46" spans="1:5" x14ac:dyDescent="0.25">
      <c r="A46" s="130"/>
      <c r="B46" s="131"/>
      <c r="C46" s="129"/>
      <c r="D46" s="132"/>
      <c r="E46" s="133"/>
    </row>
    <row r="47" spans="1:5" x14ac:dyDescent="0.25">
      <c r="A47" s="130"/>
      <c r="B47" s="131"/>
      <c r="C47" s="129"/>
      <c r="D47" s="132"/>
      <c r="E47" s="133"/>
    </row>
    <row r="48" spans="1:5" x14ac:dyDescent="0.25">
      <c r="A48" s="130"/>
      <c r="B48" s="131"/>
      <c r="C48" s="129"/>
      <c r="D48" s="132"/>
      <c r="E48" s="133"/>
    </row>
    <row r="49" spans="1:5" x14ac:dyDescent="0.25">
      <c r="A49" s="130"/>
      <c r="B49" s="131"/>
      <c r="C49" s="129"/>
      <c r="D49" s="132"/>
      <c r="E49" s="133"/>
    </row>
    <row r="50" spans="1:5" x14ac:dyDescent="0.25">
      <c r="A50" s="130"/>
      <c r="B50" s="131"/>
      <c r="C50" s="129"/>
      <c r="D50" s="132"/>
      <c r="E50" s="133"/>
    </row>
    <row r="51" spans="1:5" x14ac:dyDescent="0.25">
      <c r="A51" s="130"/>
      <c r="B51" s="131"/>
      <c r="C51" s="129"/>
      <c r="D51" s="132"/>
      <c r="E51" s="133"/>
    </row>
    <row r="52" spans="1:5" x14ac:dyDescent="0.25">
      <c r="A52" s="130"/>
      <c r="B52" s="131"/>
      <c r="C52" s="129"/>
      <c r="D52" s="132"/>
      <c r="E52" s="133"/>
    </row>
    <row r="53" spans="1:5" x14ac:dyDescent="0.25">
      <c r="A53" s="130"/>
      <c r="B53" s="131"/>
      <c r="C53" s="129"/>
      <c r="D53" s="132"/>
      <c r="E53" s="133"/>
    </row>
    <row r="54" spans="1:5" x14ac:dyDescent="0.25">
      <c r="A54" s="130"/>
      <c r="B54" s="131"/>
      <c r="C54" s="129"/>
      <c r="D54" s="132"/>
      <c r="E54" s="133"/>
    </row>
    <row r="55" spans="1:5" x14ac:dyDescent="0.25">
      <c r="A55" s="130"/>
      <c r="B55" s="131"/>
      <c r="C55" s="129"/>
      <c r="D55" s="132"/>
      <c r="E55" s="133"/>
    </row>
    <row r="56" spans="1:5" x14ac:dyDescent="0.25">
      <c r="A56" s="130"/>
      <c r="B56" s="131"/>
      <c r="C56" s="129"/>
      <c r="D56" s="132"/>
      <c r="E56" s="133"/>
    </row>
    <row r="57" spans="1:5" x14ac:dyDescent="0.25">
      <c r="A57" s="130"/>
      <c r="B57" s="131"/>
      <c r="C57" s="129"/>
      <c r="D57" s="132"/>
      <c r="E57" s="133"/>
    </row>
    <row r="58" spans="1:5" x14ac:dyDescent="0.25">
      <c r="A58" s="130"/>
      <c r="B58" s="131"/>
      <c r="C58" s="131"/>
      <c r="D58" s="132"/>
      <c r="E58" s="132"/>
    </row>
    <row r="59" spans="1:5" x14ac:dyDescent="0.25">
      <c r="A59" s="130"/>
      <c r="B59" s="131"/>
      <c r="C59" s="131"/>
      <c r="D59" s="132"/>
      <c r="E59" s="132"/>
    </row>
    <row r="60" spans="1:5" x14ac:dyDescent="0.25">
      <c r="A60" s="130"/>
      <c r="B60" s="131"/>
      <c r="C60" s="131"/>
      <c r="D60" s="132"/>
      <c r="E60" s="132"/>
    </row>
    <row r="61" spans="1:5" x14ac:dyDescent="0.25">
      <c r="A61" s="130"/>
      <c r="B61" s="131"/>
      <c r="C61" s="131"/>
      <c r="D61" s="132"/>
      <c r="E61" s="132"/>
    </row>
    <row r="62" spans="1:5" x14ac:dyDescent="0.25">
      <c r="A62" s="130"/>
      <c r="B62" s="131"/>
      <c r="C62" s="131"/>
      <c r="D62" s="132"/>
      <c r="E62" s="132"/>
    </row>
    <row r="63" spans="1:5" x14ac:dyDescent="0.25">
      <c r="A63" s="130"/>
      <c r="B63" s="131"/>
      <c r="C63" s="131"/>
      <c r="D63" s="132"/>
      <c r="E63" s="132"/>
    </row>
    <row r="64" spans="1:5" x14ac:dyDescent="0.25">
      <c r="A64" s="130"/>
      <c r="B64" s="131"/>
      <c r="C64" s="131"/>
      <c r="D64" s="132"/>
      <c r="E64" s="132"/>
    </row>
    <row r="65" spans="1:5" x14ac:dyDescent="0.25">
      <c r="A65" s="130"/>
      <c r="B65" s="131"/>
      <c r="C65" s="131"/>
      <c r="D65" s="132"/>
      <c r="E65" s="132"/>
    </row>
    <row r="66" spans="1:5" x14ac:dyDescent="0.25">
      <c r="A66" s="130"/>
      <c r="B66" s="131"/>
      <c r="C66" s="131"/>
      <c r="D66" s="132"/>
      <c r="E66" s="132"/>
    </row>
    <row r="67" spans="1:5" x14ac:dyDescent="0.25">
      <c r="A67" s="130"/>
      <c r="B67" s="131"/>
      <c r="C67" s="131"/>
      <c r="D67" s="132"/>
      <c r="E67" s="132"/>
    </row>
    <row r="68" spans="1:5" x14ac:dyDescent="0.25">
      <c r="A68" s="130"/>
      <c r="B68" s="131"/>
      <c r="C68" s="131"/>
      <c r="D68" s="132"/>
      <c r="E68" s="132"/>
    </row>
    <row r="69" spans="1:5" x14ac:dyDescent="0.25">
      <c r="A69" s="130"/>
      <c r="B69" s="131"/>
      <c r="C69" s="131"/>
      <c r="D69" s="132"/>
      <c r="E69" s="132"/>
    </row>
    <row r="70" spans="1:5" x14ac:dyDescent="0.25">
      <c r="A70" s="130"/>
      <c r="B70" s="131"/>
      <c r="C70" s="131"/>
      <c r="D70" s="132"/>
      <c r="E70" s="132"/>
    </row>
    <row r="71" spans="1:5" x14ac:dyDescent="0.25">
      <c r="A71" s="130"/>
      <c r="B71" s="131"/>
      <c r="C71" s="131"/>
      <c r="D71" s="132"/>
      <c r="E71" s="132"/>
    </row>
    <row r="72" spans="1:5" x14ac:dyDescent="0.25">
      <c r="A72" s="130"/>
      <c r="B72" s="131"/>
      <c r="C72" s="131"/>
      <c r="D72" s="132"/>
      <c r="E72" s="132"/>
    </row>
    <row r="73" spans="1:5" x14ac:dyDescent="0.25">
      <c r="A73" s="130"/>
      <c r="B73" s="131"/>
      <c r="C73" s="131"/>
      <c r="D73" s="132"/>
      <c r="E73" s="132"/>
    </row>
    <row r="74" spans="1:5" x14ac:dyDescent="0.25">
      <c r="A74" s="130"/>
      <c r="B74" s="131"/>
      <c r="C74" s="131"/>
      <c r="D74" s="132"/>
      <c r="E74" s="132"/>
    </row>
    <row r="75" spans="1:5" x14ac:dyDescent="0.25">
      <c r="A75" s="130"/>
      <c r="B75" s="131"/>
      <c r="C75" s="131"/>
      <c r="D75" s="132"/>
      <c r="E75" s="132"/>
    </row>
    <row r="76" spans="1:5" x14ac:dyDescent="0.25">
      <c r="A76" s="130"/>
      <c r="B76" s="131"/>
      <c r="C76" s="131"/>
      <c r="D76" s="132"/>
      <c r="E76" s="132"/>
    </row>
    <row r="77" spans="1:5" x14ac:dyDescent="0.25">
      <c r="A77" s="130"/>
      <c r="B77" s="131"/>
      <c r="C77" s="131"/>
      <c r="D77" s="132"/>
      <c r="E77" s="132"/>
    </row>
    <row r="78" spans="1:5" x14ac:dyDescent="0.25">
      <c r="A78" s="130"/>
      <c r="B78" s="131"/>
      <c r="C78" s="131"/>
      <c r="D78" s="132"/>
      <c r="E78" s="132"/>
    </row>
    <row r="79" spans="1:5" x14ac:dyDescent="0.25">
      <c r="A79" s="130"/>
      <c r="B79" s="131"/>
      <c r="C79" s="131"/>
      <c r="D79" s="132"/>
      <c r="E79" s="132"/>
    </row>
    <row r="80" spans="1:5" x14ac:dyDescent="0.25">
      <c r="A80" s="130"/>
      <c r="B80" s="131"/>
      <c r="C80" s="131"/>
      <c r="D80" s="132"/>
      <c r="E80" s="132"/>
    </row>
    <row r="81" spans="1:5" x14ac:dyDescent="0.25">
      <c r="A81" s="130"/>
      <c r="B81" s="131"/>
      <c r="C81" s="131"/>
      <c r="D81" s="132"/>
      <c r="E81" s="132"/>
    </row>
    <row r="82" spans="1:5" x14ac:dyDescent="0.25">
      <c r="A82" s="130"/>
      <c r="B82" s="131"/>
      <c r="C82" s="131"/>
      <c r="D82" s="132"/>
      <c r="E82" s="132"/>
    </row>
    <row r="83" spans="1:5" x14ac:dyDescent="0.25">
      <c r="A83" s="130"/>
      <c r="B83" s="131"/>
      <c r="C83" s="131"/>
      <c r="D83" s="132"/>
      <c r="E83" s="132"/>
    </row>
    <row r="84" spans="1:5" x14ac:dyDescent="0.25">
      <c r="A84" s="130"/>
      <c r="B84" s="131"/>
      <c r="C84" s="131"/>
      <c r="D84" s="132"/>
      <c r="E84" s="132"/>
    </row>
    <row r="85" spans="1:5" x14ac:dyDescent="0.25">
      <c r="A85" s="130"/>
      <c r="B85" s="131"/>
      <c r="C85" s="131"/>
      <c r="D85" s="132"/>
      <c r="E85" s="132"/>
    </row>
    <row r="86" spans="1:5" x14ac:dyDescent="0.25">
      <c r="A86" s="130"/>
      <c r="B86" s="131"/>
      <c r="C86" s="131"/>
      <c r="D86" s="132"/>
      <c r="E86" s="132"/>
    </row>
    <row r="87" spans="1:5" x14ac:dyDescent="0.25">
      <c r="A87" s="130"/>
      <c r="B87" s="131"/>
      <c r="C87" s="131"/>
      <c r="D87" s="132"/>
      <c r="E87" s="132"/>
    </row>
    <row r="88" spans="1:5" x14ac:dyDescent="0.25">
      <c r="A88" s="130"/>
      <c r="B88" s="131"/>
      <c r="C88" s="131"/>
      <c r="D88" s="132"/>
      <c r="E88" s="132"/>
    </row>
    <row r="89" spans="1:5" x14ac:dyDescent="0.25">
      <c r="A89" s="130"/>
      <c r="B89" s="131"/>
      <c r="C89" s="131"/>
      <c r="D89" s="132"/>
      <c r="E89" s="132"/>
    </row>
    <row r="90" spans="1:5" x14ac:dyDescent="0.25">
      <c r="A90" s="130"/>
      <c r="B90" s="131"/>
      <c r="C90" s="131"/>
      <c r="D90" s="132"/>
      <c r="E90" s="132"/>
    </row>
    <row r="91" spans="1:5" x14ac:dyDescent="0.25">
      <c r="A91" s="130"/>
      <c r="B91" s="131"/>
      <c r="C91" s="131"/>
      <c r="D91" s="132"/>
      <c r="E91" s="132"/>
    </row>
    <row r="92" spans="1:5" x14ac:dyDescent="0.25">
      <c r="A92" s="130"/>
      <c r="B92" s="131"/>
      <c r="C92" s="131"/>
      <c r="D92" s="132"/>
      <c r="E92" s="132"/>
    </row>
    <row r="93" spans="1:5" x14ac:dyDescent="0.25">
      <c r="A93" s="130"/>
      <c r="B93" s="131"/>
      <c r="C93" s="131"/>
      <c r="D93" s="132"/>
      <c r="E93" s="132"/>
    </row>
    <row r="94" spans="1:5" x14ac:dyDescent="0.25">
      <c r="A94" s="130"/>
      <c r="B94" s="131"/>
      <c r="C94" s="131"/>
      <c r="D94" s="132"/>
      <c r="E94" s="132"/>
    </row>
    <row r="95" spans="1:5" x14ac:dyDescent="0.25">
      <c r="A95" s="130"/>
      <c r="B95" s="131"/>
      <c r="C95" s="131"/>
      <c r="D95" s="132"/>
      <c r="E95" s="132"/>
    </row>
    <row r="96" spans="1:5" x14ac:dyDescent="0.25">
      <c r="A96" s="130"/>
      <c r="B96" s="131"/>
      <c r="C96" s="131"/>
      <c r="D96" s="132"/>
      <c r="E96" s="132"/>
    </row>
    <row r="97" spans="1:5" x14ac:dyDescent="0.25">
      <c r="A97" s="130"/>
      <c r="B97" s="131"/>
      <c r="C97" s="131"/>
      <c r="D97" s="132"/>
      <c r="E97" s="132"/>
    </row>
    <row r="98" spans="1:5" x14ac:dyDescent="0.25">
      <c r="A98" s="130"/>
      <c r="B98" s="131"/>
      <c r="C98" s="131"/>
      <c r="D98" s="132"/>
      <c r="E98" s="132"/>
    </row>
    <row r="99" spans="1:5" x14ac:dyDescent="0.25">
      <c r="A99" s="130"/>
      <c r="B99" s="131"/>
      <c r="C99" s="131"/>
      <c r="D99" s="132"/>
      <c r="E99" s="132"/>
    </row>
    <row r="100" spans="1:5" x14ac:dyDescent="0.25">
      <c r="A100" s="130"/>
      <c r="B100" s="131"/>
      <c r="C100" s="131"/>
      <c r="D100" s="132"/>
      <c r="E100" s="132"/>
    </row>
    <row r="101" spans="1:5" x14ac:dyDescent="0.25">
      <c r="A101" s="130"/>
      <c r="B101" s="131"/>
      <c r="C101" s="131"/>
      <c r="D101" s="132"/>
      <c r="E101" s="132"/>
    </row>
    <row r="102" spans="1:5" x14ac:dyDescent="0.25">
      <c r="A102" s="130"/>
      <c r="B102" s="131"/>
      <c r="C102" s="131"/>
      <c r="D102" s="132"/>
      <c r="E102" s="132"/>
    </row>
    <row r="103" spans="1:5" x14ac:dyDescent="0.25">
      <c r="A103" s="130"/>
      <c r="B103" s="131"/>
      <c r="C103" s="131"/>
      <c r="D103" s="132"/>
      <c r="E103" s="132"/>
    </row>
    <row r="104" spans="1:5" x14ac:dyDescent="0.25">
      <c r="A104" s="130"/>
      <c r="B104" s="131"/>
      <c r="C104" s="131"/>
      <c r="D104" s="132"/>
      <c r="E104" s="132"/>
    </row>
    <row r="105" spans="1:5" x14ac:dyDescent="0.25">
      <c r="A105" s="130"/>
      <c r="B105" s="131"/>
      <c r="C105" s="131"/>
      <c r="D105" s="132"/>
      <c r="E105" s="132"/>
    </row>
    <row r="106" spans="1:5" x14ac:dyDescent="0.25">
      <c r="A106" s="130"/>
      <c r="B106" s="131"/>
      <c r="C106" s="131"/>
      <c r="D106" s="132"/>
      <c r="E106" s="132"/>
    </row>
    <row r="107" spans="1:5" x14ac:dyDescent="0.25">
      <c r="A107" s="130"/>
      <c r="B107" s="131"/>
      <c r="C107" s="131"/>
      <c r="D107" s="132"/>
      <c r="E107" s="132"/>
    </row>
    <row r="108" spans="1:5" x14ac:dyDescent="0.25">
      <c r="A108" s="130"/>
      <c r="B108" s="131"/>
      <c r="C108" s="131"/>
      <c r="D108" s="132"/>
      <c r="E108" s="132"/>
    </row>
    <row r="109" spans="1:5" x14ac:dyDescent="0.25">
      <c r="A109" s="130"/>
      <c r="B109" s="131"/>
      <c r="C109" s="131"/>
      <c r="D109" s="132"/>
      <c r="E109" s="132"/>
    </row>
    <row r="110" spans="1:5" x14ac:dyDescent="0.25">
      <c r="A110" s="130"/>
      <c r="B110" s="131"/>
      <c r="C110" s="131"/>
      <c r="D110" s="132"/>
      <c r="E110" s="132"/>
    </row>
    <row r="111" spans="1:5" x14ac:dyDescent="0.25">
      <c r="A111" s="130"/>
      <c r="B111" s="131"/>
      <c r="C111" s="131"/>
      <c r="D111" s="132"/>
      <c r="E111" s="132"/>
    </row>
    <row r="112" spans="1:5" x14ac:dyDescent="0.25">
      <c r="A112" s="130"/>
      <c r="B112" s="131"/>
      <c r="C112" s="131"/>
      <c r="D112" s="132"/>
      <c r="E112" s="132"/>
    </row>
    <row r="113" spans="1:5" x14ac:dyDescent="0.25">
      <c r="A113" s="130"/>
      <c r="B113" s="131"/>
      <c r="C113" s="131"/>
      <c r="D113" s="132"/>
      <c r="E113" s="132"/>
    </row>
    <row r="114" spans="1:5" x14ac:dyDescent="0.25">
      <c r="A114" s="130"/>
      <c r="B114" s="131"/>
      <c r="C114" s="131"/>
      <c r="D114" s="132"/>
      <c r="E114" s="132"/>
    </row>
    <row r="115" spans="1:5" x14ac:dyDescent="0.25">
      <c r="A115" s="130"/>
      <c r="B115" s="131"/>
      <c r="C115" s="131"/>
      <c r="D115" s="132"/>
      <c r="E115" s="132"/>
    </row>
    <row r="116" spans="1:5" x14ac:dyDescent="0.25">
      <c r="A116" s="130"/>
      <c r="B116" s="131"/>
      <c r="C116" s="131"/>
      <c r="D116" s="132"/>
      <c r="E116" s="132"/>
    </row>
    <row r="117" spans="1:5" x14ac:dyDescent="0.25">
      <c r="A117" s="130"/>
      <c r="B117" s="131"/>
      <c r="C117" s="131"/>
      <c r="D117" s="132"/>
      <c r="E117" s="132"/>
    </row>
    <row r="118" spans="1:5" x14ac:dyDescent="0.25">
      <c r="A118" s="130"/>
      <c r="B118" s="131"/>
      <c r="C118" s="131"/>
      <c r="D118" s="132"/>
      <c r="E118" s="132"/>
    </row>
    <row r="119" spans="1:5" x14ac:dyDescent="0.25">
      <c r="A119" s="130"/>
      <c r="B119" s="131"/>
      <c r="C119" s="131"/>
      <c r="D119" s="132"/>
      <c r="E119" s="132"/>
    </row>
    <row r="120" spans="1:5" x14ac:dyDescent="0.25">
      <c r="A120" s="130"/>
      <c r="B120" s="131"/>
      <c r="C120" s="131"/>
      <c r="D120" s="132"/>
      <c r="E120" s="132"/>
    </row>
    <row r="121" spans="1:5" x14ac:dyDescent="0.25">
      <c r="A121" s="130"/>
      <c r="B121" s="131"/>
      <c r="C121" s="131"/>
      <c r="D121" s="132"/>
      <c r="E121" s="132"/>
    </row>
    <row r="122" spans="1:5" x14ac:dyDescent="0.25">
      <c r="A122" s="130"/>
      <c r="B122" s="131"/>
      <c r="C122" s="131"/>
      <c r="D122" s="132"/>
      <c r="E122" s="132"/>
    </row>
    <row r="123" spans="1:5" x14ac:dyDescent="0.25">
      <c r="A123" s="130"/>
      <c r="B123" s="131"/>
      <c r="C123" s="131"/>
      <c r="D123" s="132"/>
      <c r="E123" s="132"/>
    </row>
    <row r="124" spans="1:5" x14ac:dyDescent="0.25">
      <c r="A124" s="130"/>
      <c r="B124" s="131"/>
      <c r="C124" s="131"/>
      <c r="D124" s="132"/>
      <c r="E124" s="132"/>
    </row>
    <row r="125" spans="1:5" x14ac:dyDescent="0.25">
      <c r="A125" s="130"/>
      <c r="B125" s="131"/>
      <c r="C125" s="131"/>
      <c r="D125" s="132"/>
      <c r="E125" s="132"/>
    </row>
    <row r="126" spans="1:5" x14ac:dyDescent="0.25">
      <c r="A126" s="130"/>
      <c r="B126" s="131"/>
      <c r="C126" s="131"/>
      <c r="D126" s="132"/>
      <c r="E126" s="132"/>
    </row>
    <row r="127" spans="1:5" x14ac:dyDescent="0.25">
      <c r="A127" s="130"/>
      <c r="B127" s="131"/>
      <c r="C127" s="131"/>
      <c r="D127" s="132"/>
      <c r="E127" s="132"/>
    </row>
    <row r="128" spans="1:5" x14ac:dyDescent="0.25">
      <c r="A128" s="130"/>
      <c r="B128" s="131"/>
      <c r="C128" s="131"/>
      <c r="D128" s="132"/>
      <c r="E128" s="132"/>
    </row>
    <row r="129" spans="1:5" x14ac:dyDescent="0.25">
      <c r="A129" s="130"/>
      <c r="B129" s="131"/>
      <c r="C129" s="131"/>
      <c r="D129" s="132"/>
      <c r="E129" s="132"/>
    </row>
    <row r="130" spans="1:5" x14ac:dyDescent="0.25">
      <c r="A130" s="130"/>
      <c r="B130" s="131"/>
      <c r="C130" s="131"/>
      <c r="D130" s="132"/>
      <c r="E130" s="132"/>
    </row>
    <row r="131" spans="1:5" x14ac:dyDescent="0.25">
      <c r="A131" s="130"/>
      <c r="B131" s="131"/>
      <c r="C131" s="131"/>
      <c r="D131" s="132"/>
      <c r="E131" s="132"/>
    </row>
    <row r="132" spans="1:5" x14ac:dyDescent="0.25">
      <c r="A132" s="130"/>
      <c r="B132" s="131"/>
      <c r="C132" s="131"/>
      <c r="D132" s="132"/>
      <c r="E132" s="132"/>
    </row>
    <row r="133" spans="1:5" x14ac:dyDescent="0.25">
      <c r="A133" s="130"/>
      <c r="B133" s="131"/>
      <c r="C133" s="131"/>
      <c r="D133" s="132"/>
      <c r="E133" s="132"/>
    </row>
    <row r="134" spans="1:5" x14ac:dyDescent="0.25">
      <c r="A134" s="130"/>
      <c r="B134" s="131"/>
      <c r="C134" s="131"/>
      <c r="D134" s="132"/>
      <c r="E134" s="132"/>
    </row>
    <row r="135" spans="1:5" x14ac:dyDescent="0.25">
      <c r="A135" s="130"/>
      <c r="B135" s="131"/>
      <c r="C135" s="131"/>
      <c r="D135" s="132"/>
      <c r="E135" s="132"/>
    </row>
    <row r="136" spans="1:5" x14ac:dyDescent="0.25">
      <c r="A136" s="130"/>
      <c r="B136" s="131"/>
      <c r="C136" s="131"/>
      <c r="D136" s="132"/>
      <c r="E136" s="132"/>
    </row>
    <row r="137" spans="1:5" x14ac:dyDescent="0.25">
      <c r="A137" s="130"/>
      <c r="B137" s="131"/>
      <c r="C137" s="131"/>
      <c r="D137" s="132"/>
      <c r="E137" s="132"/>
    </row>
    <row r="138" spans="1:5" x14ac:dyDescent="0.25">
      <c r="A138" s="130"/>
      <c r="B138" s="131"/>
      <c r="C138" s="131"/>
      <c r="D138" s="132"/>
      <c r="E138" s="132"/>
    </row>
    <row r="139" spans="1:5" x14ac:dyDescent="0.25">
      <c r="A139" s="130"/>
      <c r="B139" s="131"/>
      <c r="C139" s="131"/>
      <c r="D139" s="132"/>
      <c r="E139" s="132"/>
    </row>
    <row r="140" spans="1:5" x14ac:dyDescent="0.25">
      <c r="A140" s="130"/>
      <c r="B140" s="131"/>
      <c r="C140" s="131"/>
      <c r="D140" s="132"/>
      <c r="E140" s="132"/>
    </row>
    <row r="141" spans="1:5" x14ac:dyDescent="0.25">
      <c r="A141" s="130"/>
      <c r="B141" s="131"/>
      <c r="C141" s="131"/>
      <c r="D141" s="132"/>
      <c r="E141" s="132"/>
    </row>
    <row r="142" spans="1:5" x14ac:dyDescent="0.25">
      <c r="A142" s="130"/>
      <c r="B142" s="131"/>
      <c r="C142" s="131"/>
      <c r="D142" s="132"/>
      <c r="E142" s="132"/>
    </row>
    <row r="143" spans="1:5" x14ac:dyDescent="0.25">
      <c r="A143" s="130"/>
      <c r="B143" s="131"/>
      <c r="C143" s="131"/>
      <c r="D143" s="132"/>
      <c r="E143" s="132"/>
    </row>
    <row r="144" spans="1:5" x14ac:dyDescent="0.25">
      <c r="A144" s="130"/>
      <c r="B144" s="131"/>
      <c r="C144" s="131"/>
      <c r="D144" s="132"/>
      <c r="E144" s="132"/>
    </row>
    <row r="145" spans="1:5" x14ac:dyDescent="0.25">
      <c r="A145" s="130"/>
      <c r="B145" s="131"/>
      <c r="C145" s="131"/>
      <c r="D145" s="132"/>
      <c r="E145" s="132"/>
    </row>
    <row r="146" spans="1:5" x14ac:dyDescent="0.25">
      <c r="A146" s="130"/>
      <c r="B146" s="131"/>
      <c r="C146" s="131"/>
      <c r="D146" s="132"/>
      <c r="E146" s="132"/>
    </row>
    <row r="147" spans="1:5" x14ac:dyDescent="0.25">
      <c r="A147" s="130"/>
      <c r="B147" s="131"/>
      <c r="C147" s="131"/>
      <c r="D147" s="132"/>
      <c r="E147" s="132"/>
    </row>
    <row r="148" spans="1:5" x14ac:dyDescent="0.25">
      <c r="A148" s="130"/>
      <c r="B148" s="131"/>
      <c r="C148" s="131"/>
      <c r="D148" s="132"/>
      <c r="E148" s="132"/>
    </row>
    <row r="149" spans="1:5" x14ac:dyDescent="0.25">
      <c r="A149" s="130"/>
      <c r="B149" s="131"/>
      <c r="C149" s="131"/>
      <c r="D149" s="132"/>
      <c r="E149" s="132"/>
    </row>
    <row r="150" spans="1:5" x14ac:dyDescent="0.25">
      <c r="A150" s="130"/>
      <c r="B150" s="131"/>
      <c r="C150" s="131"/>
      <c r="D150" s="132"/>
      <c r="E150" s="132"/>
    </row>
    <row r="151" spans="1:5" x14ac:dyDescent="0.25">
      <c r="A151" s="130"/>
      <c r="B151" s="131"/>
      <c r="C151" s="131"/>
      <c r="D151" s="132"/>
      <c r="E151" s="132"/>
    </row>
    <row r="152" spans="1:5" x14ac:dyDescent="0.25">
      <c r="A152" s="130"/>
      <c r="B152" s="131"/>
      <c r="C152" s="131"/>
      <c r="D152" s="132"/>
      <c r="E152" s="132"/>
    </row>
    <row r="153" spans="1:5" x14ac:dyDescent="0.25">
      <c r="A153" s="130"/>
      <c r="B153" s="131"/>
      <c r="C153" s="131"/>
      <c r="D153" s="132"/>
      <c r="E153" s="132"/>
    </row>
    <row r="154" spans="1:5" x14ac:dyDescent="0.25">
      <c r="A154" s="130"/>
      <c r="B154" s="131"/>
      <c r="C154" s="131"/>
      <c r="D154" s="132"/>
      <c r="E154" s="132"/>
    </row>
    <row r="155" spans="1:5" x14ac:dyDescent="0.25">
      <c r="A155" s="130"/>
      <c r="B155" s="131"/>
      <c r="C155" s="131"/>
      <c r="D155" s="132"/>
      <c r="E155" s="132"/>
    </row>
    <row r="156" spans="1:5" x14ac:dyDescent="0.25">
      <c r="A156" s="130"/>
      <c r="B156" s="131"/>
      <c r="C156" s="131"/>
      <c r="D156" s="132"/>
      <c r="E156" s="132"/>
    </row>
    <row r="157" spans="1:5" x14ac:dyDescent="0.25">
      <c r="A157" s="130"/>
      <c r="B157" s="131"/>
      <c r="C157" s="131"/>
      <c r="D157" s="132"/>
      <c r="E157" s="132"/>
    </row>
    <row r="158" spans="1:5" x14ac:dyDescent="0.25">
      <c r="A158" s="130"/>
      <c r="B158" s="131"/>
      <c r="C158" s="131"/>
      <c r="D158" s="132"/>
      <c r="E158" s="132"/>
    </row>
    <row r="159" spans="1:5" x14ac:dyDescent="0.25">
      <c r="A159" s="130"/>
      <c r="B159" s="131"/>
      <c r="C159" s="131"/>
      <c r="D159" s="132"/>
      <c r="E159" s="132"/>
    </row>
    <row r="160" spans="1:5" x14ac:dyDescent="0.25">
      <c r="A160" s="130"/>
      <c r="B160" s="131"/>
      <c r="C160" s="131"/>
      <c r="D160" s="132"/>
      <c r="E160" s="132"/>
    </row>
    <row r="161" spans="1:5" x14ac:dyDescent="0.25">
      <c r="A161" s="130"/>
      <c r="B161" s="131"/>
      <c r="C161" s="131"/>
      <c r="D161" s="132"/>
      <c r="E161" s="132"/>
    </row>
    <row r="162" spans="1:5" x14ac:dyDescent="0.25">
      <c r="A162" s="130"/>
      <c r="B162" s="131"/>
      <c r="C162" s="131"/>
      <c r="D162" s="132"/>
      <c r="E162" s="132"/>
    </row>
    <row r="163" spans="1:5" x14ac:dyDescent="0.25">
      <c r="A163" s="130"/>
      <c r="B163" s="131"/>
      <c r="C163" s="131"/>
      <c r="D163" s="132"/>
      <c r="E163" s="132"/>
    </row>
    <row r="164" spans="1:5" x14ac:dyDescent="0.25">
      <c r="A164" s="130"/>
      <c r="B164" s="131"/>
      <c r="C164" s="131"/>
      <c r="D164" s="132"/>
      <c r="E164" s="132"/>
    </row>
    <row r="165" spans="1:5" x14ac:dyDescent="0.25">
      <c r="A165" s="130"/>
      <c r="B165" s="131"/>
      <c r="C165" s="131"/>
      <c r="D165" s="132"/>
      <c r="E165" s="132"/>
    </row>
    <row r="166" spans="1:5" x14ac:dyDescent="0.25">
      <c r="A166" s="130"/>
      <c r="B166" s="131"/>
      <c r="C166" s="131"/>
      <c r="D166" s="132"/>
      <c r="E166" s="132"/>
    </row>
    <row r="167" spans="1:5" x14ac:dyDescent="0.25">
      <c r="A167" s="130"/>
      <c r="B167" s="131"/>
      <c r="C167" s="131"/>
      <c r="D167" s="132"/>
      <c r="E167" s="132"/>
    </row>
    <row r="168" spans="1:5" x14ac:dyDescent="0.25">
      <c r="A168" s="130"/>
      <c r="B168" s="131"/>
      <c r="C168" s="131"/>
      <c r="D168" s="132"/>
      <c r="E168" s="132"/>
    </row>
    <row r="169" spans="1:5" x14ac:dyDescent="0.25">
      <c r="A169" s="130"/>
      <c r="B169" s="131"/>
      <c r="C169" s="131"/>
      <c r="D169" s="132"/>
      <c r="E169" s="132"/>
    </row>
    <row r="170" spans="1:5" x14ac:dyDescent="0.25">
      <c r="A170" s="130"/>
      <c r="B170" s="131"/>
      <c r="C170" s="131"/>
      <c r="D170" s="132"/>
      <c r="E170" s="132"/>
    </row>
    <row r="171" spans="1:5" x14ac:dyDescent="0.25">
      <c r="A171" s="130"/>
      <c r="B171" s="131"/>
      <c r="C171" s="131"/>
      <c r="D171" s="132"/>
      <c r="E171" s="132"/>
    </row>
    <row r="172" spans="1:5" x14ac:dyDescent="0.25">
      <c r="A172" s="130"/>
      <c r="B172" s="131"/>
      <c r="C172" s="131"/>
      <c r="D172" s="132"/>
      <c r="E172" s="132"/>
    </row>
    <row r="173" spans="1:5" x14ac:dyDescent="0.25">
      <c r="A173" s="130"/>
      <c r="B173" s="131"/>
      <c r="C173" s="131"/>
      <c r="D173" s="132"/>
      <c r="E173" s="132"/>
    </row>
    <row r="174" spans="1:5" x14ac:dyDescent="0.25">
      <c r="A174" s="130"/>
      <c r="B174" s="131"/>
      <c r="C174" s="131"/>
      <c r="D174" s="132"/>
      <c r="E174" s="132"/>
    </row>
    <row r="175" spans="1:5" x14ac:dyDescent="0.25">
      <c r="A175" s="130"/>
      <c r="B175" s="131"/>
      <c r="C175" s="131"/>
      <c r="D175" s="132"/>
      <c r="E175" s="132"/>
    </row>
    <row r="176" spans="1:5" x14ac:dyDescent="0.25">
      <c r="A176" s="130"/>
      <c r="B176" s="131"/>
      <c r="C176" s="131"/>
      <c r="D176" s="132"/>
      <c r="E176" s="132"/>
    </row>
    <row r="177" spans="1:5" x14ac:dyDescent="0.25">
      <c r="A177" s="130"/>
      <c r="B177" s="131"/>
      <c r="C177" s="131"/>
      <c r="D177" s="132"/>
      <c r="E177" s="132"/>
    </row>
    <row r="178" spans="1:5" x14ac:dyDescent="0.25">
      <c r="A178" s="130"/>
      <c r="B178" s="131"/>
      <c r="C178" s="131"/>
      <c r="D178" s="132"/>
      <c r="E178" s="132"/>
    </row>
    <row r="179" spans="1:5" x14ac:dyDescent="0.25">
      <c r="A179" s="130"/>
      <c r="B179" s="131"/>
      <c r="C179" s="131"/>
      <c r="D179" s="132"/>
      <c r="E179" s="132"/>
    </row>
    <row r="180" spans="1:5" x14ac:dyDescent="0.25">
      <c r="A180" s="130"/>
      <c r="B180" s="131"/>
      <c r="C180" s="131"/>
      <c r="D180" s="132"/>
      <c r="E180" s="132"/>
    </row>
    <row r="181" spans="1:5" x14ac:dyDescent="0.25">
      <c r="A181" s="130"/>
      <c r="B181" s="131"/>
      <c r="C181" s="131"/>
      <c r="D181" s="132"/>
      <c r="E181" s="132"/>
    </row>
    <row r="182" spans="1:5" x14ac:dyDescent="0.25">
      <c r="A182" s="130"/>
      <c r="B182" s="131"/>
      <c r="C182" s="131"/>
      <c r="D182" s="132"/>
      <c r="E182" s="132"/>
    </row>
    <row r="183" spans="1:5" x14ac:dyDescent="0.25">
      <c r="A183" s="130"/>
      <c r="B183" s="131"/>
      <c r="C183" s="131"/>
      <c r="D183" s="132"/>
      <c r="E183" s="132"/>
    </row>
    <row r="184" spans="1:5" x14ac:dyDescent="0.25">
      <c r="A184" s="130"/>
      <c r="B184" s="131"/>
      <c r="C184" s="131"/>
      <c r="D184" s="132"/>
      <c r="E184" s="132"/>
    </row>
    <row r="185" spans="1:5" x14ac:dyDescent="0.25">
      <c r="A185" s="130"/>
      <c r="B185" s="131"/>
      <c r="C185" s="131"/>
      <c r="D185" s="132"/>
      <c r="E185" s="132"/>
    </row>
    <row r="186" spans="1:5" x14ac:dyDescent="0.25">
      <c r="A186" s="130"/>
      <c r="B186" s="131"/>
      <c r="C186" s="131"/>
      <c r="D186" s="132"/>
      <c r="E186" s="132"/>
    </row>
    <row r="187" spans="1:5" x14ac:dyDescent="0.25">
      <c r="A187" s="130"/>
      <c r="B187" s="131"/>
      <c r="C187" s="131"/>
      <c r="D187" s="132"/>
      <c r="E187" s="132"/>
    </row>
    <row r="188" spans="1:5" x14ac:dyDescent="0.25">
      <c r="A188" s="130"/>
      <c r="B188" s="131"/>
      <c r="C188" s="131"/>
      <c r="D188" s="132"/>
      <c r="E188" s="132"/>
    </row>
    <row r="189" spans="1:5" x14ac:dyDescent="0.25">
      <c r="A189" s="130"/>
      <c r="B189" s="131"/>
      <c r="C189" s="131"/>
      <c r="D189" s="132"/>
      <c r="E189" s="132"/>
    </row>
    <row r="190" spans="1:5" x14ac:dyDescent="0.25">
      <c r="A190" s="130"/>
      <c r="B190" s="131"/>
      <c r="C190" s="131"/>
      <c r="D190" s="132"/>
      <c r="E190" s="132"/>
    </row>
    <row r="191" spans="1:5" x14ac:dyDescent="0.25">
      <c r="A191" s="130"/>
      <c r="B191" s="131"/>
      <c r="C191" s="131"/>
      <c r="D191" s="132"/>
      <c r="E191" s="132"/>
    </row>
    <row r="192" spans="1:5" x14ac:dyDescent="0.25">
      <c r="A192" s="130"/>
      <c r="B192" s="131"/>
      <c r="C192" s="131"/>
      <c r="D192" s="132"/>
      <c r="E192" s="132"/>
    </row>
    <row r="193" spans="1:5" x14ac:dyDescent="0.25">
      <c r="A193" s="130"/>
      <c r="B193" s="131"/>
      <c r="C193" s="131"/>
      <c r="D193" s="132"/>
      <c r="E193" s="132"/>
    </row>
    <row r="194" spans="1:5" x14ac:dyDescent="0.25">
      <c r="A194" s="130"/>
      <c r="B194" s="131"/>
      <c r="C194" s="131"/>
      <c r="D194" s="132"/>
      <c r="E194" s="132"/>
    </row>
    <row r="195" spans="1:5" x14ac:dyDescent="0.25">
      <c r="A195" s="130"/>
      <c r="B195" s="131"/>
      <c r="C195" s="131"/>
      <c r="D195" s="132"/>
      <c r="E195" s="132"/>
    </row>
    <row r="196" spans="1:5" x14ac:dyDescent="0.25">
      <c r="A196" s="130"/>
      <c r="B196" s="131"/>
      <c r="C196" s="131"/>
      <c r="D196" s="132"/>
      <c r="E196" s="132"/>
    </row>
    <row r="197" spans="1:5" x14ac:dyDescent="0.25">
      <c r="A197" s="130"/>
      <c r="B197" s="131"/>
      <c r="C197" s="131"/>
      <c r="D197" s="132"/>
      <c r="E197" s="132"/>
    </row>
    <row r="198" spans="1:5" x14ac:dyDescent="0.25">
      <c r="A198" s="130"/>
      <c r="B198" s="131"/>
      <c r="C198" s="131"/>
      <c r="D198" s="132"/>
      <c r="E198" s="132"/>
    </row>
    <row r="199" spans="1:5" x14ac:dyDescent="0.25">
      <c r="A199" s="130"/>
      <c r="B199" s="131"/>
      <c r="C199" s="131"/>
      <c r="D199" s="132"/>
      <c r="E199" s="132"/>
    </row>
    <row r="200" spans="1:5" x14ac:dyDescent="0.25">
      <c r="A200" s="130"/>
      <c r="B200" s="131"/>
      <c r="C200" s="131"/>
      <c r="D200" s="132"/>
      <c r="E200" s="132"/>
    </row>
    <row r="201" spans="1:5" x14ac:dyDescent="0.25">
      <c r="A201" s="130"/>
      <c r="B201" s="131"/>
      <c r="C201" s="131"/>
      <c r="D201" s="132"/>
      <c r="E201" s="132"/>
    </row>
    <row r="202" spans="1:5" x14ac:dyDescent="0.25">
      <c r="A202" s="130"/>
      <c r="B202" s="131"/>
      <c r="C202" s="131"/>
      <c r="D202" s="132"/>
      <c r="E202" s="132"/>
    </row>
    <row r="203" spans="1:5" x14ac:dyDescent="0.25">
      <c r="A203" s="130"/>
      <c r="B203" s="131"/>
      <c r="C203" s="131"/>
      <c r="D203" s="132"/>
      <c r="E203" s="132"/>
    </row>
    <row r="204" spans="1:5" x14ac:dyDescent="0.25">
      <c r="A204" s="130"/>
      <c r="B204" s="131"/>
      <c r="C204" s="131"/>
      <c r="D204" s="132"/>
      <c r="E204" s="132"/>
    </row>
    <row r="205" spans="1:5" x14ac:dyDescent="0.25">
      <c r="A205" s="130"/>
      <c r="B205" s="131"/>
      <c r="C205" s="131"/>
      <c r="D205" s="132"/>
      <c r="E205" s="132"/>
    </row>
    <row r="206" spans="1:5" x14ac:dyDescent="0.25">
      <c r="A206" s="130"/>
      <c r="B206" s="131"/>
      <c r="C206" s="131"/>
      <c r="D206" s="132"/>
      <c r="E206" s="132"/>
    </row>
    <row r="207" spans="1:5" x14ac:dyDescent="0.25">
      <c r="A207" s="130"/>
      <c r="B207" s="131"/>
      <c r="C207" s="131"/>
      <c r="D207" s="132"/>
      <c r="E207" s="132"/>
    </row>
    <row r="208" spans="1:5" x14ac:dyDescent="0.25">
      <c r="A208" s="130"/>
      <c r="B208" s="131"/>
      <c r="C208" s="131"/>
      <c r="D208" s="132"/>
      <c r="E208" s="132"/>
    </row>
    <row r="209" spans="1:5" x14ac:dyDescent="0.25">
      <c r="A209" s="130"/>
      <c r="B209" s="131"/>
      <c r="C209" s="131"/>
      <c r="D209" s="132"/>
      <c r="E209" s="132"/>
    </row>
    <row r="210" spans="1:5" x14ac:dyDescent="0.25">
      <c r="A210" s="130"/>
      <c r="B210" s="131"/>
      <c r="C210" s="131"/>
      <c r="D210" s="132"/>
      <c r="E210" s="132"/>
    </row>
    <row r="211" spans="1:5" x14ac:dyDescent="0.25">
      <c r="A211" s="130"/>
      <c r="B211" s="131"/>
      <c r="C211" s="131"/>
      <c r="D211" s="132"/>
      <c r="E211" s="132"/>
    </row>
    <row r="212" spans="1:5" x14ac:dyDescent="0.25">
      <c r="A212" s="130"/>
      <c r="B212" s="131"/>
      <c r="C212" s="131"/>
      <c r="D212" s="132"/>
      <c r="E212" s="132"/>
    </row>
  </sheetData>
  <mergeCells count="1">
    <mergeCell ref="A6:E6"/>
  </mergeCells>
  <conditionalFormatting sqref="A11:E11">
    <cfRule type="expression" dxfId="305" priority="3828" stopIfTrue="1">
      <formula>AND($A11&lt;&gt;"", MOD(ROW()-12,2)=0)</formula>
    </cfRule>
  </conditionalFormatting>
  <conditionalFormatting sqref="E11">
    <cfRule type="expression" dxfId="304" priority="3824" stopIfTrue="1">
      <formula>$E11="Overdue"</formula>
    </cfRule>
    <cfRule type="expression" dxfId="303" priority="3829" stopIfTrue="1">
      <formula>$E11="Due Soon"</formula>
    </cfRule>
  </conditionalFormatting>
  <conditionalFormatting sqref="A213:E213">
    <cfRule type="expression" dxfId="302" priority="3832" stopIfTrue="1">
      <formula>AND($A213&lt;&gt;"", MOD(ROW()-12,2)=0)</formula>
    </cfRule>
  </conditionalFormatting>
  <conditionalFormatting sqref="E213">
    <cfRule type="expression" dxfId="301" priority="3811" stopIfTrue="1">
      <formula>$E213="Overdue"</formula>
    </cfRule>
    <cfRule type="expression" dxfId="300" priority="3833" stopIfTrue="1">
      <formula>$E213="Due Soon"</formula>
    </cfRule>
  </conditionalFormatting>
  <conditionalFormatting sqref="A12:E212">
    <cfRule type="expression" dxfId="5" priority="3834" stopIfTrue="1">
      <formula>AND($A12&lt;&gt;"", MOD(ROW()-12,2)=0)</formula>
    </cfRule>
  </conditionalFormatting>
  <conditionalFormatting sqref="E12:E212">
    <cfRule type="expression" dxfId="4" priority="1" stopIfTrue="1">
      <formula>$E12="Overdue"</formula>
    </cfRule>
    <cfRule type="expression" dxfId="3" priority="3835" stopIfTrue="1">
      <formula>$E12="Due Soon"</formula>
    </cfRule>
  </conditionalFormatting>
  <printOptions horizontalCentered="1"/>
  <pageMargins left="0.70866141732283472" right="0.70866141732283472" top="0.94488188976377963" bottom="0.59055118110236227" header="0.31496062992125984" footer="0.11811023622047245"/>
  <pageSetup paperSize="9" scale="88" fitToHeight="0" orientation="portrait" r:id="rId1"/>
  <headerFooter>
    <oddHeader>&amp;L&amp;G&amp;C&amp;"+,Regular"&amp;12Training Record&amp;RForm №: QAM/49A
Issue Date: 1 Sept 25
Revision: 00</oddHeader>
    <oddFooter>&amp;L&amp;"+,Italic"&amp;K02-024&amp;F&amp;C&amp;P of  &amp;N&amp;RPrinted on &amp;D &amp;T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ShowTrainingForm">
                <anchor>
                  <from>
                    <xdr:col>3</xdr:col>
                    <xdr:colOff>1104900</xdr:colOff>
                    <xdr:row>3</xdr:row>
                    <xdr:rowOff>47625</xdr:rowOff>
                  </from>
                  <to>
                    <xdr:col>4</xdr:col>
                    <xdr:colOff>809625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Test_PickPeople">
                <anchor>
                  <from>
                    <xdr:col>3</xdr:col>
                    <xdr:colOff>95250</xdr:colOff>
                    <xdr:row>3</xdr:row>
                    <xdr:rowOff>47625</xdr:rowOff>
                  </from>
                  <to>
                    <xdr:col>3</xdr:col>
                    <xdr:colOff>914400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D5F4E-066A-449A-86FD-38E62194C5E9}">
  <sheetPr codeName="Sheet8">
    <pageSetUpPr fitToPage="1"/>
  </sheetPr>
  <dimension ref="A1:S1231"/>
  <sheetViews>
    <sheetView showGridLines="0" topLeftCell="A3" workbookViewId="0">
      <selection activeCell="G24" sqref="G24"/>
    </sheetView>
  </sheetViews>
  <sheetFormatPr defaultRowHeight="15" x14ac:dyDescent="0.25"/>
  <cols>
    <col min="1" max="1" width="9.140625" style="7"/>
    <col min="2" max="2" width="12.7109375" style="11" customWidth="1"/>
    <col min="3" max="3" width="16.85546875" style="11" customWidth="1"/>
    <col min="4" max="4" width="10.140625" style="55" bestFit="1" customWidth="1"/>
    <col min="5" max="5" width="26.7109375" style="55" bestFit="1" customWidth="1"/>
    <col min="6" max="6" width="28.28515625" style="11" customWidth="1"/>
    <col min="8" max="8" width="9.140625" style="66"/>
    <col min="9" max="9" width="12.85546875" bestFit="1" customWidth="1"/>
    <col min="10" max="10" width="18.5703125" bestFit="1" customWidth="1"/>
    <col min="11" max="11" width="14.42578125" bestFit="1" customWidth="1"/>
    <col min="12" max="12" width="11.85546875" bestFit="1" customWidth="1"/>
    <col min="13" max="13" width="10.140625" bestFit="1" customWidth="1"/>
    <col min="14" max="14" width="9.42578125" bestFit="1" customWidth="1"/>
    <col min="15" max="15" width="9.140625" style="66"/>
    <col min="16" max="16" width="12.85546875" bestFit="1" customWidth="1"/>
    <col min="17" max="17" width="18.5703125" bestFit="1" customWidth="1"/>
    <col min="18" max="18" width="14.42578125" bestFit="1" customWidth="1"/>
    <col min="19" max="19" width="27.85546875" bestFit="1" customWidth="1"/>
  </cols>
  <sheetData>
    <row r="1" spans="1:19" ht="18.75" x14ac:dyDescent="0.3">
      <c r="B1" s="3" t="s">
        <v>276</v>
      </c>
      <c r="C1"/>
      <c r="D1" s="48"/>
      <c r="E1" s="48"/>
      <c r="F1"/>
    </row>
    <row r="2" spans="1:19" ht="15.75" thickBot="1" x14ac:dyDescent="0.3">
      <c r="B2" s="44"/>
      <c r="C2" s="10"/>
      <c r="D2" s="54"/>
      <c r="E2" s="54"/>
    </row>
    <row r="3" spans="1:19" ht="26.25" x14ac:dyDescent="0.25">
      <c r="B3" s="76" t="s">
        <v>277</v>
      </c>
      <c r="C3" s="100" t="s">
        <v>202</v>
      </c>
      <c r="D3" s="54"/>
      <c r="E3" s="54"/>
    </row>
    <row r="4" spans="1:19" x14ac:dyDescent="0.25">
      <c r="B4" s="77"/>
      <c r="C4" s="101"/>
      <c r="D4" s="54"/>
      <c r="E4" s="54"/>
    </row>
    <row r="5" spans="1:19" ht="26.25" x14ac:dyDescent="0.25">
      <c r="B5" s="77" t="s">
        <v>278</v>
      </c>
      <c r="C5" s="101" t="s">
        <v>124</v>
      </c>
      <c r="D5" s="54"/>
      <c r="E5" s="54"/>
    </row>
    <row r="6" spans="1:19" x14ac:dyDescent="0.25">
      <c r="B6" s="77"/>
      <c r="C6" s="101"/>
      <c r="D6" s="54"/>
      <c r="E6" s="54"/>
    </row>
    <row r="7" spans="1:19" ht="26.25" x14ac:dyDescent="0.25">
      <c r="B7" s="77" t="s">
        <v>279</v>
      </c>
      <c r="C7" s="101"/>
      <c r="D7" s="54"/>
      <c r="E7" s="54"/>
      <c r="I7" s="58" t="s">
        <v>366</v>
      </c>
      <c r="P7" s="58" t="s">
        <v>367</v>
      </c>
    </row>
    <row r="8" spans="1:19" x14ac:dyDescent="0.25">
      <c r="B8" s="77"/>
      <c r="C8" s="101"/>
      <c r="D8" s="54"/>
      <c r="E8" s="54"/>
    </row>
    <row r="9" spans="1:19" ht="27" customHeight="1" thickBot="1" x14ac:dyDescent="0.3">
      <c r="B9" s="78" t="s">
        <v>280</v>
      </c>
      <c r="C9" s="102"/>
      <c r="D9" s="54"/>
      <c r="E9" s="54"/>
      <c r="I9" s="62" t="s">
        <v>368</v>
      </c>
      <c r="P9" s="53" t="s">
        <v>369</v>
      </c>
    </row>
    <row r="10" spans="1:19" x14ac:dyDescent="0.25">
      <c r="A10" s="28"/>
      <c r="B10" s="126"/>
      <c r="C10" s="126"/>
      <c r="D10" s="126"/>
      <c r="E10" s="126"/>
      <c r="G10" s="11"/>
      <c r="H10" s="67"/>
      <c r="I10" s="11"/>
      <c r="J10" s="11"/>
      <c r="K10" s="11"/>
      <c r="L10" s="11"/>
      <c r="M10" s="11"/>
      <c r="N10" s="11"/>
      <c r="O10" s="67"/>
      <c r="P10" s="11"/>
    </row>
    <row r="11" spans="1:19" x14ac:dyDescent="0.25">
      <c r="A11" s="28"/>
      <c r="D11" s="55" t="str" cm="1">
        <f t="array" ref="D11">IF(TRIM($C$11)="","",
  _xlfn._xlws.SORT(
    _xlfn._xlws.FILTER(tblCourses[CourseID]&amp;" — "&amp;tblCourses[CourseName],
           ISNUMBER(SEARCH(LOWER(TRIM($C$11)),
                           LOWER(tblCourses[CourseID]&amp;" "&amp;tblCourses[CourseName]))))
  )
)</f>
        <v/>
      </c>
      <c r="G11" s="11"/>
      <c r="H11" s="67"/>
      <c r="I11" s="11"/>
      <c r="J11" s="11"/>
      <c r="K11" s="11"/>
      <c r="L11" s="11"/>
      <c r="M11" s="11"/>
      <c r="N11" s="11"/>
      <c r="O11" s="67"/>
      <c r="P11" s="11"/>
    </row>
    <row r="12" spans="1:19" x14ac:dyDescent="0.25">
      <c r="A12" s="28"/>
      <c r="B12" s="47" t="s">
        <v>41</v>
      </c>
      <c r="C12" s="52" t="str">
        <f>C5</f>
        <v>AVSEC-INIT</v>
      </c>
      <c r="D12" s="54"/>
      <c r="E12" s="54"/>
      <c r="G12" s="11"/>
      <c r="H12" s="67"/>
      <c r="I12" s="47" t="s">
        <v>41</v>
      </c>
      <c r="J12" s="52" t="str">
        <f>C3</f>
        <v>MPM-REF</v>
      </c>
      <c r="K12" s="11"/>
      <c r="L12" s="11"/>
      <c r="M12" s="11"/>
      <c r="N12" s="11"/>
      <c r="O12" s="67"/>
      <c r="P12" s="47" t="s">
        <v>41</v>
      </c>
      <c r="Q12" s="52" t="str">
        <f>C5</f>
        <v>AVSEC-INIT</v>
      </c>
    </row>
    <row r="13" spans="1:19" x14ac:dyDescent="0.25">
      <c r="A13" s="28"/>
      <c r="B13" s="44"/>
      <c r="C13" s="12"/>
      <c r="D13" s="54"/>
      <c r="E13" s="54"/>
      <c r="G13" s="11"/>
      <c r="H13" s="67"/>
      <c r="I13" s="11"/>
      <c r="J13" s="11"/>
      <c r="K13" s="11"/>
      <c r="L13" s="11"/>
      <c r="M13" s="11"/>
      <c r="N13" s="11"/>
      <c r="O13" s="67"/>
      <c r="P13" s="11"/>
    </row>
    <row r="14" spans="1:19" ht="25.5" x14ac:dyDescent="0.25">
      <c r="A14" s="28"/>
      <c r="B14" s="46" t="s">
        <v>275</v>
      </c>
      <c r="C14" s="124" t="str">
        <f>VLOOKUP($C$12,tblCourses[],2,FALSE)</f>
        <v>Aviation Security (Initial)</v>
      </c>
      <c r="D14" s="125"/>
      <c r="E14" s="125"/>
      <c r="G14" s="11"/>
      <c r="H14" s="67"/>
      <c r="I14" s="46" t="s">
        <v>275</v>
      </c>
      <c r="J14" s="124" t="str">
        <f>VLOOKUP($C$3,tblCourses[],2,FALSE)</f>
        <v>Maintenance Procedures &amp; Standard Maintenance Practices (Refresher)</v>
      </c>
      <c r="K14" s="125"/>
      <c r="L14" s="125"/>
      <c r="M14" s="125"/>
      <c r="N14" s="125"/>
      <c r="O14" s="67"/>
      <c r="P14" s="46" t="s">
        <v>275</v>
      </c>
      <c r="Q14" s="124" t="str">
        <f>VLOOKUP($C$5,tblCourses[],2,FALSE)</f>
        <v>Aviation Security (Initial)</v>
      </c>
      <c r="R14" s="125"/>
      <c r="S14" s="125"/>
    </row>
    <row r="15" spans="1:19" x14ac:dyDescent="0.25">
      <c r="A15" s="28"/>
      <c r="B15" s="44"/>
      <c r="C15" s="12"/>
      <c r="D15" s="54"/>
      <c r="E15" s="54"/>
      <c r="G15" s="11"/>
      <c r="H15" s="67"/>
      <c r="I15" s="11"/>
      <c r="J15" s="11"/>
      <c r="K15" s="11"/>
      <c r="L15" s="11"/>
      <c r="M15" s="11"/>
      <c r="N15" s="11"/>
      <c r="O15" s="67"/>
      <c r="P15" s="11"/>
    </row>
    <row r="16" spans="1:19" s="43" customFormat="1" ht="27" x14ac:dyDescent="0.25">
      <c r="A16" s="64"/>
      <c r="B16" s="45" t="s">
        <v>6</v>
      </c>
      <c r="C16" s="45" t="s">
        <v>7</v>
      </c>
      <c r="D16" s="45" t="s">
        <v>8</v>
      </c>
      <c r="E16" s="45" t="s">
        <v>272</v>
      </c>
      <c r="F16" s="94" t="s">
        <v>283</v>
      </c>
      <c r="G16" s="51"/>
      <c r="H16" s="68"/>
      <c r="I16" s="63" t="s">
        <v>6</v>
      </c>
      <c r="J16" s="45" t="s">
        <v>7</v>
      </c>
      <c r="K16" s="45" t="s">
        <v>36</v>
      </c>
      <c r="L16" s="45" t="s">
        <v>37</v>
      </c>
      <c r="M16" s="45" t="s">
        <v>38</v>
      </c>
      <c r="N16" s="45" t="s">
        <v>39</v>
      </c>
      <c r="O16" s="68"/>
      <c r="P16" s="45" t="s">
        <v>6</v>
      </c>
      <c r="Q16" s="33" t="s">
        <v>7</v>
      </c>
      <c r="R16" s="33" t="s">
        <v>8</v>
      </c>
      <c r="S16" s="33" t="s">
        <v>272</v>
      </c>
    </row>
    <row r="17" spans="1:19" s="8" customFormat="1" ht="25.5" x14ac:dyDescent="0.25">
      <c r="A17" s="65">
        <f>IF(B17=ISBLANK(""),"",A16+1)</f>
        <v>1</v>
      </c>
      <c r="B17" s="14" t="str" cm="1">
        <f t="array" ref="B17:E32">IF(OR($C$3="",$C$5=""),"",
  IFERROR(
    _xlfn.LET(
      _xlpm.courseX,TRIM($C$3),
      _xlpm.courseY,TRIM($C$5),
      _xlpm.deptF,TRIM($C$7),
      _xlpm.roleF,TRIM($C$9),
      _xlpm.pID_all,TRIM(tblPeople[PersonID]),
      _xlpm.pName_all,tblPeople[PersonName],
      _xlpm.dept_all,TRIM(tblPeople[Department]),
      _xlpm.role_all,TRIM(tblPeople[Position]),
      _xlpm.status_all,UPPER(TRIM(tblPeople[Status])),
      _xlpm.activeMask,--(_xlpm.status_all="ACTIVE"),
      _xlpm.deptMask,IF(_xlpm.deptF="",1,--(_xlpm.dept_all=_xlpm.deptF)),
      _xlpm.roleMask,IF(_xlpm.roleF="",1,--(_xlpm.role_all=_xlpm.roleF)),
      _xlpm.baseMask,_xlpm.activeMask*_xlpm.deptMask*_xlpm.roleMask,
      _xlpm.actPID,_xlfn._xlws.FILTER(_xlpm.pID_all,_xlpm.baseMask,""),
      _xlpm.actName,_xlfn._xlws.FILTER(_xlpm.pName_all,_xlpm.baseMask,""),
      _xlpm.actDept,_xlfn._xlws.FILTER(_xlpm.dept_all,_xlpm.baseMask,""),
      _xlpm.actRole,_xlfn._xlws.FILTER(_xlpm.role_all,_xlpm.baseMask,""),
      _xlpm.didX,_xlfn.UNIQUE(_xlfn._xlws.FILTER(TRIM(tblTraining[PersonID]),TRIM(tblTraining[CourseID])=_xlpm.courseX,"")),
      _xlpm.didY,_xlfn.UNIQUE(_xlfn._xlws.FILTER(TRIM(tblTraining[PersonID]),TRIM(tblTraining[CourseID])=_xlpm.courseY,"")),
      _xlpm.hasX,ISNUMBER(_xlfn.XMATCH(_xlpm.actPID,_xlpm.didX)),
      _xlpm.hasY,ISNUMBER(_xlfn.XMATCH(_xlpm.actPID,_xlpm.didY)),
      _xlpm.mask,_xlpm.hasX*(1-_xlpm.hasY),
      _xlfn._xlws.FILTER(_xlfn.HSTACK(_xlpm.actPID,_xlpm.actName,_xlpm.actDept,_xlpm.actRole),_xlpm.mask,"")
    ),
  "")
)</f>
        <v>AVED01</v>
      </c>
      <c r="C17" s="14" t="str">
        <v>Alex Avedi</v>
      </c>
      <c r="D17" s="56" t="str">
        <v>POSTHOLDER</v>
      </c>
      <c r="E17" s="56" t="str">
        <v>ACCOUNTABLE MANAGER</v>
      </c>
      <c r="F17" s="95" t="str">
        <f>IFERROR(VLOOKUP(B17,tblPeople[],14,FALSE),"")</f>
        <v>alex@flysafarilink.com</v>
      </c>
      <c r="G17" s="12"/>
      <c r="H17" s="74">
        <v>1</v>
      </c>
      <c r="I17" s="12" t="str" cm="1">
        <f t="array" aca="1" ref="I17:N79" ca="1">IF($C$3="","",
  IFERROR(
    _xlfn.LET(
      _xlpm.q,TRIM($C$3),
      _xlpm.t,tblTraining[[PersonID]:[Status]],
      _xlpm.trainPID,TRIM(tblTraining[PersonID]),
      _xlpm.trainCourse,TRIM(tblTraining[CourseID]),
      _xlpm.staffStatus,UPPER(TRIM(_xlfn.XLOOKUP(_xlpm.trainPID,TRIM(tblPeople[PersonID]),tblPeople[Status],""))),
      _xlpm.activeMask,--(_xlpm.staffStatus="ACTIVE"),
      _xlpm.d,_xlfn._xlws.FILTER(_xlpm.t,(_xlpm.trainCourse=_xlpm.q)*(_xlpm.trainPID&lt;&gt;"")*_xlpm.activeMask,""),
      _xlpm.sd,_xlfn.SORTBY(_xlpm.d,_xlfn.CHOOSECOLS(_xlpm.d,1),1,_xlfn.CHOOSECOLS(_xlpm.d,5),-1),
      _xlpm.pid,_xlfn.CHOOSECOLS(_xlpm.sd,1),
      _xlpm.pos,_xlfn.XMATCH(_xlpm.pid,_xlpm.pid),
      _xlpm.rn,_xlfn.SEQUENCE(ROWS(_xlpm.sd)),
      _xlpm.latest,_xlfn._xlws.FILTER(_xlpm.sd,_xlpm.pos=_xlpm.rn),
      _xlpm.ldRaw,_xlfn.CHOOSECOLS(_xlpm.latest,5),
      _xlpm.ndRaw,_xlfn.CHOOSECOLS(_xlpm.latest,6),
      _xlpm.ld,IF(N(_xlpm.ldRaw)&gt;0,_xlpm.ldRaw,""),
      _xlpm.nd,IF(N(_xlpm.ndRaw)&gt;0,_xlpm.ndRaw,""),
      _xlpm.days,IF(_xlpm.nd="","",_xlpm.nd-TODAY()),
      _xlpm.out,_xlfn.HSTACK(_xlfn.CHOOSECOLS(_xlpm.latest,1,2),_xlpm.ld,_xlpm.nd,_xlpm.days,_xlfn.CHOOSECOLS(_xlpm.latest,8)),
      _xlfn.SORTBY(_xlpm.out,_xlfn.CHOOSECOLS(_xlpm.out,5),1,_xlfn.CHOOSECOLS(_xlpm.out,2),1)
    ),
  "")
)</f>
        <v>WACH01</v>
      </c>
      <c r="J17" s="12" t="str">
        <f ca="1"/>
        <v>Samuel Wacho</v>
      </c>
      <c r="K17" s="29">
        <f ca="1"/>
        <v>45785</v>
      </c>
      <c r="L17" s="29">
        <f ca="1"/>
        <v>46515</v>
      </c>
      <c r="M17" s="30">
        <f ca="1"/>
        <v>229</v>
      </c>
      <c r="N17" s="12" t="str">
        <f ca="1"/>
        <v>OK</v>
      </c>
      <c r="O17" s="65">
        <v>1</v>
      </c>
      <c r="P17" s="12" t="str" cm="1">
        <f t="array" ref="P17:S33">IF($C$5="","",
  IFERROR(
    _xlfn.LET(
      _xlpm.q,TRIM($C$5),
      _xlpm.did,_xlfn._xlws.FILTER(TRIM(tblTraining[PersonID]),TRIM(tblTraining[CourseID])=_xlpm.q,""),
      _xlpm.didU,_xlfn.UNIQUE(_xlfn._xlws.FILTER(_xlpm.did,_xlpm.did&lt;&gt;"")),
      _xlpm.allPID,TRIM(tblPeople[PersonID]),
      _xlpm.allName,tblPeople[PersonName],
      _xlpm.dept,TRIM(tblPeople[Department]),
      _xlpm.role,TRIM(tblPeople[Position]),
      _xlpm.stat,UPPER(TRIM(tblPeople[Status])),
      _xlpm.activeMask,--(_xlpm.stat="ACTIVE"),
      _xlpm.idMask,--(_xlpm.allPID&lt;&gt;""),
      _xlpm.notDoneMask,--ISNA(_xlfn.XMATCH(_xlpm.allPID,_xlpm.didU)),
      _xlpm.mask,_xlpm.activeMask*_xlpm.idMask*_xlpm.notDoneMask,
      _xlfn._xlws.FILTER(_xlfn.HSTACK(_xlpm.allPID,_xlpm.allName,_xlpm.dept,_xlpm.role),_xlpm.mask,"")
    ),
  "")
)</f>
        <v>AVED01</v>
      </c>
      <c r="Q17" s="8" t="str">
        <v>Alex Avedi</v>
      </c>
      <c r="R17" s="8" t="str">
        <v>POSTHOLDER</v>
      </c>
      <c r="S17" s="8" t="str">
        <v>ACCOUNTABLE MANAGER</v>
      </c>
    </row>
    <row r="18" spans="1:19" s="8" customFormat="1" ht="25.5" x14ac:dyDescent="0.25">
      <c r="A18" s="65">
        <f t="shared" ref="A18:A81" si="0">IF(B18=ISBLANK(""),"",A17+1)</f>
        <v>2</v>
      </c>
      <c r="B18" s="14" t="str">
        <v>HURG01</v>
      </c>
      <c r="C18" s="14" t="str">
        <v>Douglas Hurgins</v>
      </c>
      <c r="D18" s="56" t="str">
        <v>MAINTENANCE</v>
      </c>
      <c r="E18" s="56" t="str">
        <v>CERTIFYING ENGINEER</v>
      </c>
      <c r="F18" s="95" t="str">
        <f>IFERROR(VLOOKUP(B18,tblPeople[],14,FALSE),"")</f>
        <v>dhurgins@gmail.com</v>
      </c>
      <c r="G18" s="12"/>
      <c r="H18" s="74">
        <v>2</v>
      </c>
      <c r="I18" s="12" t="str">
        <f ca="1"/>
        <v>NAMB01</v>
      </c>
      <c r="J18" s="12" t="str">
        <f ca="1"/>
        <v>Kendra Nambisia</v>
      </c>
      <c r="K18" s="29">
        <f ca="1"/>
        <v>45786</v>
      </c>
      <c r="L18" s="29">
        <f ca="1"/>
        <v>46516</v>
      </c>
      <c r="M18" s="30">
        <f ca="1"/>
        <v>230</v>
      </c>
      <c r="N18" s="12" t="str">
        <f ca="1"/>
        <v>OK</v>
      </c>
      <c r="O18" s="65">
        <v>2</v>
      </c>
      <c r="P18" s="12" t="str">
        <v>HURG01</v>
      </c>
      <c r="Q18" s="8" t="str">
        <v>Douglas Hurgins</v>
      </c>
      <c r="R18" s="8" t="str">
        <v>MAINTENANCE</v>
      </c>
      <c r="S18" s="8" t="str">
        <v>CERTIFYING ENGINEER</v>
      </c>
    </row>
    <row r="19" spans="1:19" s="8" customFormat="1" ht="14.25" x14ac:dyDescent="0.25">
      <c r="A19" s="65">
        <f t="shared" si="0"/>
        <v>3</v>
      </c>
      <c r="B19" s="14" t="str">
        <v>KIBI01</v>
      </c>
      <c r="C19" s="14" t="str">
        <v>Bernard Kibiwott</v>
      </c>
      <c r="D19" s="56" t="str">
        <v>RAMP</v>
      </c>
      <c r="E19" s="56" t="str">
        <v>EQUIPMENT OPERATOR</v>
      </c>
      <c r="F19" s="95" t="str">
        <f>IFERROR(VLOOKUP(B19,tblPeople[],14,FALSE),"")</f>
        <v>benard.kibiwot123@gmail.com</v>
      </c>
      <c r="G19" s="12"/>
      <c r="H19" s="74">
        <v>3</v>
      </c>
      <c r="I19" s="12" t="str">
        <f ca="1"/>
        <v>KIBE01</v>
      </c>
      <c r="J19" s="12" t="str">
        <f ca="1"/>
        <v>Walter Kibet</v>
      </c>
      <c r="K19" s="29">
        <f ca="1"/>
        <v>45786</v>
      </c>
      <c r="L19" s="29">
        <f ca="1"/>
        <v>46516</v>
      </c>
      <c r="M19" s="30">
        <f ca="1"/>
        <v>230</v>
      </c>
      <c r="N19" s="12" t="str">
        <f ca="1"/>
        <v>OK</v>
      </c>
      <c r="O19" s="65">
        <v>3</v>
      </c>
      <c r="P19" s="12" t="str">
        <v>KIBI01</v>
      </c>
      <c r="Q19" s="8" t="str">
        <v>Bernard Kibiwott</v>
      </c>
      <c r="R19" s="8" t="str">
        <v>RAMP</v>
      </c>
      <c r="S19" s="8" t="str">
        <v>EQUIPMENT OPERATOR</v>
      </c>
    </row>
    <row r="20" spans="1:19" s="8" customFormat="1" ht="25.5" x14ac:dyDescent="0.25">
      <c r="A20" s="65">
        <f t="shared" si="0"/>
        <v>4</v>
      </c>
      <c r="B20" s="14" t="str">
        <v>KING01</v>
      </c>
      <c r="C20" s="14" t="str">
        <v>Chrispus King'ori</v>
      </c>
      <c r="D20" s="56" t="str">
        <v>MAINTENANCE</v>
      </c>
      <c r="E20" s="56" t="str">
        <v>TECHNICIAN</v>
      </c>
      <c r="F20" s="95" t="str">
        <f>IFERROR(VLOOKUP(B20,tblPeople[],14,FALSE),"")</f>
        <v>chrispuskingori14@gmail.com</v>
      </c>
      <c r="G20" s="12"/>
      <c r="H20" s="74">
        <v>4</v>
      </c>
      <c r="I20" s="12" t="str">
        <f ca="1"/>
        <v>ONDI02</v>
      </c>
      <c r="J20" s="12" t="str">
        <f ca="1"/>
        <v>Andrew Ondiek</v>
      </c>
      <c r="K20" s="29">
        <f ca="1"/>
        <v>45843</v>
      </c>
      <c r="L20" s="29">
        <f ca="1"/>
        <v>46573</v>
      </c>
      <c r="M20" s="30">
        <f ca="1"/>
        <v>287</v>
      </c>
      <c r="N20" s="12" t="str">
        <f ca="1"/>
        <v>OK</v>
      </c>
      <c r="O20" s="65">
        <v>4</v>
      </c>
      <c r="P20" s="12" t="str">
        <v>KING01</v>
      </c>
      <c r="Q20" s="8" t="str">
        <v>Chrispus King'ori</v>
      </c>
      <c r="R20" s="8" t="str">
        <v>MAINTENANCE</v>
      </c>
      <c r="S20" s="8" t="str">
        <v>TECHNICIAN</v>
      </c>
    </row>
    <row r="21" spans="1:19" s="8" customFormat="1" ht="25.5" x14ac:dyDescent="0.25">
      <c r="A21" s="65">
        <f t="shared" si="0"/>
        <v>5</v>
      </c>
      <c r="B21" s="14" t="str">
        <v>MLAT01</v>
      </c>
      <c r="C21" s="14" t="str">
        <v>William Mlati</v>
      </c>
      <c r="D21" s="56" t="str">
        <v>MAINTENANCE</v>
      </c>
      <c r="E21" s="56" t="str">
        <v>HEAD OF MAINTENANCE</v>
      </c>
      <c r="F21" s="95" t="str">
        <f>IFERROR(VLOOKUP(B21,tblPeople[],14,FALSE),"")</f>
        <v>williamwashigadi@gmail.com</v>
      </c>
      <c r="G21" s="12"/>
      <c r="H21" s="74">
        <v>5</v>
      </c>
      <c r="I21" s="12" t="str">
        <f ca="1"/>
        <v>NTHA01</v>
      </c>
      <c r="J21" s="12" t="str">
        <f ca="1"/>
        <v>Angeline Nthakyo</v>
      </c>
      <c r="K21" s="29">
        <f ca="1"/>
        <v>45843</v>
      </c>
      <c r="L21" s="29">
        <f ca="1"/>
        <v>46573</v>
      </c>
      <c r="M21" s="30">
        <f ca="1"/>
        <v>287</v>
      </c>
      <c r="N21" s="12" t="str">
        <f ca="1"/>
        <v>OK</v>
      </c>
      <c r="O21" s="65">
        <v>5</v>
      </c>
      <c r="P21" s="12" t="str">
        <v>MLAT01</v>
      </c>
      <c r="Q21" s="8" t="str">
        <v>William Mlati</v>
      </c>
      <c r="R21" s="8" t="str">
        <v>MAINTENANCE</v>
      </c>
      <c r="S21" s="8" t="str">
        <v>HEAD OF MAINTENANCE</v>
      </c>
    </row>
    <row r="22" spans="1:19" s="8" customFormat="1" ht="14.25" x14ac:dyDescent="0.25">
      <c r="A22" s="65">
        <f t="shared" si="0"/>
        <v>6</v>
      </c>
      <c r="B22" s="14" t="str">
        <v>MONG01</v>
      </c>
      <c r="C22" s="14" t="str">
        <v>Thadeus Mong’are</v>
      </c>
      <c r="D22" s="56" t="str">
        <v>AVIONICS</v>
      </c>
      <c r="E22" s="56" t="str">
        <v>CERTIFYING ENGINEER</v>
      </c>
      <c r="F22" s="95" t="str">
        <f>IFERROR(VLOOKUP(B22,tblPeople[],14,FALSE),"")</f>
        <v>mongaret21@gmail.com</v>
      </c>
      <c r="G22" s="12"/>
      <c r="H22" s="74">
        <v>6</v>
      </c>
      <c r="I22" s="12" t="str">
        <f ca="1"/>
        <v>KING01</v>
      </c>
      <c r="J22" s="12" t="str">
        <f ca="1"/>
        <v>Chrispus King'ori</v>
      </c>
      <c r="K22" s="29">
        <f ca="1"/>
        <v>45843</v>
      </c>
      <c r="L22" s="29">
        <f ca="1"/>
        <v>46573</v>
      </c>
      <c r="M22" s="30">
        <f ca="1"/>
        <v>287</v>
      </c>
      <c r="N22" s="12" t="str">
        <f ca="1"/>
        <v>OK</v>
      </c>
      <c r="O22" s="65">
        <v>6</v>
      </c>
      <c r="P22" s="12" t="str">
        <v>MONG01</v>
      </c>
      <c r="Q22" s="8" t="str">
        <v>Thadeus Mong’are</v>
      </c>
      <c r="R22" s="8" t="str">
        <v>AVIONICS</v>
      </c>
      <c r="S22" s="8" t="str">
        <v>CERTIFYING ENGINEER</v>
      </c>
    </row>
    <row r="23" spans="1:19" s="8" customFormat="1" ht="25.5" x14ac:dyDescent="0.25">
      <c r="A23" s="65">
        <f t="shared" si="0"/>
        <v>7</v>
      </c>
      <c r="B23" s="14" t="str">
        <v>MUEM02</v>
      </c>
      <c r="C23" s="14" t="str">
        <v>Urbanus Muema</v>
      </c>
      <c r="D23" s="56" t="str">
        <v>MAINTENANCE</v>
      </c>
      <c r="E23" s="56" t="str">
        <v>TECHNICIAN</v>
      </c>
      <c r="F23" s="95" t="str">
        <f>IFERROR(VLOOKUP(B23,tblPeople[],14,FALSE),"")</f>
        <v>mbuvi2008@yahoo.com</v>
      </c>
      <c r="G23" s="12"/>
      <c r="H23" s="74">
        <v>7</v>
      </c>
      <c r="I23" s="12" t="str">
        <f ca="1"/>
        <v>BIL01</v>
      </c>
      <c r="J23" s="12" t="str">
        <f ca="1"/>
        <v>Churchill Bil</v>
      </c>
      <c r="K23" s="29">
        <f ca="1"/>
        <v>45843</v>
      </c>
      <c r="L23" s="29">
        <f ca="1"/>
        <v>46573</v>
      </c>
      <c r="M23" s="30">
        <f ca="1"/>
        <v>287</v>
      </c>
      <c r="N23" s="12" t="str">
        <f ca="1"/>
        <v>OK</v>
      </c>
      <c r="O23" s="65">
        <v>7</v>
      </c>
      <c r="P23" s="12" t="str">
        <v>MUEM02</v>
      </c>
      <c r="Q23" s="8" t="str">
        <v>Urbanus Muema</v>
      </c>
      <c r="R23" s="8" t="str">
        <v>MAINTENANCE</v>
      </c>
      <c r="S23" s="8" t="str">
        <v>TECHNICIAN</v>
      </c>
    </row>
    <row r="24" spans="1:19" s="8" customFormat="1" ht="25.5" x14ac:dyDescent="0.25">
      <c r="A24" s="65">
        <f t="shared" si="0"/>
        <v>8</v>
      </c>
      <c r="B24" s="14" t="str">
        <v>MUGO01</v>
      </c>
      <c r="C24" s="14" t="str">
        <v>James Mugo</v>
      </c>
      <c r="D24" s="56" t="str">
        <v>MAINTENANCE</v>
      </c>
      <c r="E24" s="56" t="str">
        <v>TECHNICIAN</v>
      </c>
      <c r="F24" s="95" t="str">
        <f>IFERROR(VLOOKUP(B24,tblPeople[],14,FALSE),"")</f>
        <v>jameskarobia90@gmail.com</v>
      </c>
      <c r="G24" s="12"/>
      <c r="H24" s="74">
        <v>8</v>
      </c>
      <c r="I24" s="12" t="str">
        <f ca="1"/>
        <v>PETE01</v>
      </c>
      <c r="J24" s="12" t="str">
        <f ca="1"/>
        <v>Erick Peter</v>
      </c>
      <c r="K24" s="29">
        <f ca="1"/>
        <v>45843</v>
      </c>
      <c r="L24" s="29">
        <f ca="1"/>
        <v>46573</v>
      </c>
      <c r="M24" s="30">
        <f ca="1"/>
        <v>287</v>
      </c>
      <c r="N24" s="12" t="str">
        <f ca="1"/>
        <v>OK</v>
      </c>
      <c r="O24" s="65">
        <v>8</v>
      </c>
      <c r="P24" s="12" t="str">
        <v>MUGO01</v>
      </c>
      <c r="Q24" s="8" t="str">
        <v>James Mugo</v>
      </c>
      <c r="R24" s="8" t="str">
        <v>MAINTENANCE</v>
      </c>
      <c r="S24" s="8" t="str">
        <v>TECHNICIAN</v>
      </c>
    </row>
    <row r="25" spans="1:19" s="8" customFormat="1" ht="25.5" x14ac:dyDescent="0.25">
      <c r="A25" s="65">
        <f t="shared" si="0"/>
        <v>9</v>
      </c>
      <c r="B25" s="14" t="str">
        <v>MURI02</v>
      </c>
      <c r="C25" s="14" t="str">
        <v>Francis Muriuki</v>
      </c>
      <c r="D25" s="56" t="str">
        <v>MAINTENANCE</v>
      </c>
      <c r="E25" s="56" t="str">
        <v>BASE MAINTENANCE &amp; WORKSHOP MANAGER</v>
      </c>
      <c r="F25" s="95" t="str">
        <f>IFERROR(VLOOKUP(B25,tblPeople[],14,FALSE),"")</f>
        <v>mmuriukifrancis@yahoo.com</v>
      </c>
      <c r="G25" s="12"/>
      <c r="H25" s="74">
        <v>9</v>
      </c>
      <c r="I25" s="12" t="str">
        <f ca="1"/>
        <v>KIHA01</v>
      </c>
      <c r="J25" s="12" t="str">
        <f ca="1"/>
        <v>John Kihara</v>
      </c>
      <c r="K25" s="29">
        <f ca="1"/>
        <v>45843</v>
      </c>
      <c r="L25" s="29">
        <f ca="1"/>
        <v>46573</v>
      </c>
      <c r="M25" s="30">
        <f ca="1"/>
        <v>287</v>
      </c>
      <c r="N25" s="12" t="str">
        <f ca="1"/>
        <v>OK</v>
      </c>
      <c r="O25" s="65">
        <v>9</v>
      </c>
      <c r="P25" s="12" t="str">
        <v>MURI02</v>
      </c>
      <c r="Q25" s="8" t="str">
        <v>Francis Muriuki</v>
      </c>
      <c r="R25" s="8" t="str">
        <v>MAINTENANCE</v>
      </c>
      <c r="S25" s="8" t="str">
        <v>BASE MAINTENANCE &amp; WORKSHOP MANAGER</v>
      </c>
    </row>
    <row r="26" spans="1:19" s="8" customFormat="1" ht="25.5" x14ac:dyDescent="0.25">
      <c r="A26" s="65">
        <f t="shared" si="0"/>
        <v>10</v>
      </c>
      <c r="B26" s="14" t="str">
        <v>MZER01</v>
      </c>
      <c r="C26" s="14" t="str">
        <v>Paul Mzera</v>
      </c>
      <c r="D26" s="56" t="str">
        <v>MAINTENANCE</v>
      </c>
      <c r="E26" s="56" t="str">
        <v>CERTIFYING ENGINEER</v>
      </c>
      <c r="F26" s="95" t="str">
        <f>IFERROR(VLOOKUP(B26,tblPeople[],14,FALSE),"")</f>
        <v>paulmzera73@gmail.com</v>
      </c>
      <c r="G26" s="12"/>
      <c r="H26" s="74">
        <v>10</v>
      </c>
      <c r="I26" s="12" t="str">
        <f ca="1"/>
        <v>OKEL01</v>
      </c>
      <c r="J26" s="12" t="str">
        <f ca="1"/>
        <v>Romy Okello</v>
      </c>
      <c r="K26" s="29">
        <f ca="1"/>
        <v>45843</v>
      </c>
      <c r="L26" s="29">
        <f ca="1"/>
        <v>46573</v>
      </c>
      <c r="M26" s="30">
        <f ca="1"/>
        <v>287</v>
      </c>
      <c r="N26" s="12" t="str">
        <f ca="1"/>
        <v>OK</v>
      </c>
      <c r="O26" s="65">
        <v>10</v>
      </c>
      <c r="P26" s="12" t="str">
        <v>MZER01</v>
      </c>
      <c r="Q26" s="8" t="str">
        <v>Paul Mzera</v>
      </c>
      <c r="R26" s="8" t="str">
        <v>MAINTENANCE</v>
      </c>
      <c r="S26" s="8" t="str">
        <v>CERTIFYING ENGINEER</v>
      </c>
    </row>
    <row r="27" spans="1:19" s="8" customFormat="1" ht="14.25" x14ac:dyDescent="0.25">
      <c r="A27" s="65">
        <f t="shared" si="0"/>
        <v>11</v>
      </c>
      <c r="B27" s="14" t="str">
        <v>NJIH01</v>
      </c>
      <c r="C27" s="14" t="str">
        <v>Michael Njihia</v>
      </c>
      <c r="D27" s="56" t="str">
        <v>RAMP</v>
      </c>
      <c r="E27" s="56" t="str">
        <v>GROOMER</v>
      </c>
      <c r="F27" s="95" t="str">
        <f>IFERROR(VLOOKUP(B27,tblPeople[],14,FALSE),"")</f>
        <v>mikenjihia@gmail.com</v>
      </c>
      <c r="G27" s="12"/>
      <c r="H27" s="74">
        <v>11</v>
      </c>
      <c r="I27" s="12" t="str">
        <f ca="1"/>
        <v>EDNA01</v>
      </c>
      <c r="J27" s="12" t="str">
        <f ca="1"/>
        <v>Dorine Edna</v>
      </c>
      <c r="K27" s="29">
        <f ca="1"/>
        <v>45973</v>
      </c>
      <c r="L27" s="29">
        <f ca="1"/>
        <v>46703</v>
      </c>
      <c r="M27" s="30">
        <f ca="1"/>
        <v>417</v>
      </c>
      <c r="N27" s="12" t="str">
        <f ca="1"/>
        <v>OK</v>
      </c>
      <c r="O27" s="65">
        <v>11</v>
      </c>
      <c r="P27" s="12" t="str">
        <v>NJIH01</v>
      </c>
      <c r="Q27" s="8" t="str">
        <v>Michael Njihia</v>
      </c>
      <c r="R27" s="8" t="str">
        <v>RAMP</v>
      </c>
      <c r="S27" s="8" t="str">
        <v>GROOMER</v>
      </c>
    </row>
    <row r="28" spans="1:19" s="8" customFormat="1" ht="25.5" x14ac:dyDescent="0.25">
      <c r="A28" s="65">
        <f t="shared" si="0"/>
        <v>12</v>
      </c>
      <c r="B28" s="14" t="str">
        <v>OKOT01</v>
      </c>
      <c r="C28" s="14" t="str">
        <v>Samuel Okoth</v>
      </c>
      <c r="D28" s="56" t="str">
        <v>MAINTENANCE</v>
      </c>
      <c r="E28" s="56" t="str">
        <v>TECHNICIAN</v>
      </c>
      <c r="F28" s="95" t="str">
        <f>IFERROR(VLOOKUP(B28,tblPeople[],14,FALSE),"")</f>
        <v>odhiambos28@gmail.com</v>
      </c>
      <c r="G28" s="12"/>
      <c r="H28" s="74">
        <v>12</v>
      </c>
      <c r="I28" s="12" t="str">
        <f ca="1"/>
        <v>MUEM01</v>
      </c>
      <c r="J28" s="12" t="str">
        <f ca="1"/>
        <v>Jackline Muembu</v>
      </c>
      <c r="K28" s="29">
        <f ca="1"/>
        <v>45973</v>
      </c>
      <c r="L28" s="29">
        <f ca="1"/>
        <v>46703</v>
      </c>
      <c r="M28" s="30">
        <f ca="1"/>
        <v>417</v>
      </c>
      <c r="N28" s="12" t="str">
        <f ca="1"/>
        <v>OK</v>
      </c>
      <c r="O28" s="65">
        <v>12</v>
      </c>
      <c r="P28" s="12" t="str">
        <v>OKOT01</v>
      </c>
      <c r="Q28" s="8" t="str">
        <v>Samuel Okoth</v>
      </c>
      <c r="R28" s="8" t="str">
        <v>MAINTENANCE</v>
      </c>
      <c r="S28" s="8" t="str">
        <v>TECHNICIAN</v>
      </c>
    </row>
    <row r="29" spans="1:19" s="8" customFormat="1" ht="14.25" x14ac:dyDescent="0.25">
      <c r="A29" s="65">
        <f t="shared" si="0"/>
        <v>13</v>
      </c>
      <c r="B29" s="14" t="str">
        <v>OLUN01</v>
      </c>
      <c r="C29" s="14" t="str">
        <v>Michael Olunga</v>
      </c>
      <c r="D29" s="56" t="str">
        <v>RAMP</v>
      </c>
      <c r="E29" s="56" t="str">
        <v>GROOMER</v>
      </c>
      <c r="F29" s="95" t="str">
        <f>IFERROR(VLOOKUP(B29,tblPeople[],14,FALSE),"")</f>
        <v>mikeolunga366@gmail.com</v>
      </c>
      <c r="G29" s="12"/>
      <c r="H29" s="74">
        <v>13</v>
      </c>
      <c r="I29" s="12" t="str">
        <f ca="1"/>
        <v>EDUP01</v>
      </c>
      <c r="J29" s="12" t="str">
        <f ca="1"/>
        <v>Walter Edupu</v>
      </c>
      <c r="K29" s="29">
        <f ca="1"/>
        <v>46008</v>
      </c>
      <c r="L29" s="29">
        <f ca="1"/>
        <v>46738</v>
      </c>
      <c r="M29" s="30">
        <f ca="1"/>
        <v>452</v>
      </c>
      <c r="N29" s="12" t="str">
        <f ca="1"/>
        <v>OK</v>
      </c>
      <c r="O29" s="65">
        <v>13</v>
      </c>
      <c r="P29" s="12" t="str">
        <v>OLUN01</v>
      </c>
      <c r="Q29" s="8" t="str">
        <v>Michael Olunga</v>
      </c>
      <c r="R29" s="8" t="str">
        <v>RAMP</v>
      </c>
      <c r="S29" s="8" t="str">
        <v>GROOMER</v>
      </c>
    </row>
    <row r="30" spans="1:19" s="8" customFormat="1" ht="25.5" x14ac:dyDescent="0.25">
      <c r="A30" s="65">
        <f t="shared" si="0"/>
        <v>14</v>
      </c>
      <c r="B30" s="14" t="str">
        <v>OMON02</v>
      </c>
      <c r="C30" s="14" t="str">
        <v>Francis Omondi</v>
      </c>
      <c r="D30" s="56" t="str">
        <v>MAINTENANCE</v>
      </c>
      <c r="E30" s="56" t="str">
        <v>PAINTER</v>
      </c>
      <c r="F30" s="95" t="str">
        <f>IFERROR(VLOOKUP(B30,tblPeople[],14,FALSE),"")</f>
        <v>omondif507@gmail.com</v>
      </c>
      <c r="G30" s="12"/>
      <c r="H30" s="74">
        <v>14</v>
      </c>
      <c r="I30" s="12" t="str">
        <f ca="1"/>
        <v>KAZU01</v>
      </c>
      <c r="J30" s="12" t="str">
        <f ca="1"/>
        <v>Kea Kazungu</v>
      </c>
      <c r="K30" s="29">
        <f ca="1"/>
        <v>46053</v>
      </c>
      <c r="L30" s="29">
        <f ca="1"/>
        <v>46783</v>
      </c>
      <c r="M30" s="30">
        <f ca="1"/>
        <v>497</v>
      </c>
      <c r="N30" s="12" t="str">
        <f ca="1"/>
        <v>OK</v>
      </c>
      <c r="O30" s="65">
        <v>14</v>
      </c>
      <c r="P30" s="12" t="str">
        <v>OMON02</v>
      </c>
      <c r="Q30" s="8" t="str">
        <v>Francis Omondi</v>
      </c>
      <c r="R30" s="8" t="str">
        <v>MAINTENANCE</v>
      </c>
      <c r="S30" s="8" t="str">
        <v>PAINTER</v>
      </c>
    </row>
    <row r="31" spans="1:19" s="8" customFormat="1" ht="25.5" x14ac:dyDescent="0.25">
      <c r="A31" s="65">
        <f t="shared" si="0"/>
        <v>15</v>
      </c>
      <c r="B31" s="14" t="str">
        <v>SAWE01</v>
      </c>
      <c r="C31" s="14" t="str">
        <v>Sydney Sawe</v>
      </c>
      <c r="D31" s="56" t="str">
        <v>MAINTENANCE</v>
      </c>
      <c r="E31" s="56" t="str">
        <v>TECHNICIAN</v>
      </c>
      <c r="F31" s="95" t="str">
        <f>IFERROR(VLOOKUP(B31,tblPeople[],14,FALSE),"")</f>
        <v>sawesydney@gmail.com</v>
      </c>
      <c r="G31" s="12"/>
      <c r="H31" s="74">
        <v>15</v>
      </c>
      <c r="I31" s="12" t="str">
        <f ca="1"/>
        <v>HURG01</v>
      </c>
      <c r="J31" s="12" t="str">
        <f ca="1"/>
        <v>Douglas Hurgins</v>
      </c>
      <c r="K31" s="29">
        <f ca="1"/>
        <v>46073</v>
      </c>
      <c r="L31" s="29">
        <f ca="1"/>
        <v>46803</v>
      </c>
      <c r="M31" s="30">
        <f ca="1"/>
        <v>517</v>
      </c>
      <c r="N31" s="12" t="str">
        <f ca="1"/>
        <v>OK</v>
      </c>
      <c r="O31" s="65">
        <v>15</v>
      </c>
      <c r="P31" s="12" t="str">
        <v>SAWE01</v>
      </c>
      <c r="Q31" s="8" t="str">
        <v>Sydney Sawe</v>
      </c>
      <c r="R31" s="8" t="str">
        <v>MAINTENANCE</v>
      </c>
      <c r="S31" s="8" t="str">
        <v>TECHNICIAN</v>
      </c>
    </row>
    <row r="32" spans="1:19" s="8" customFormat="1" ht="14.25" x14ac:dyDescent="0.25">
      <c r="A32" s="65">
        <f t="shared" si="0"/>
        <v>16</v>
      </c>
      <c r="B32" s="14" t="str">
        <v>WAMB02</v>
      </c>
      <c r="C32" s="14" t="str">
        <v>Hannah Wambui</v>
      </c>
      <c r="D32" s="56" t="str">
        <v>STORES</v>
      </c>
      <c r="E32" s="56" t="str">
        <v>STORES CLERK</v>
      </c>
      <c r="F32" s="95" t="str">
        <f>IFERROR(VLOOKUP(B32,tblPeople[],14,FALSE),"")</f>
        <v>annewambui48@gmail.com</v>
      </c>
      <c r="G32" s="12"/>
      <c r="H32" s="74">
        <v>16</v>
      </c>
      <c r="I32" s="12" t="str">
        <f ca="1"/>
        <v>GUDA01</v>
      </c>
      <c r="J32" s="12" t="str">
        <f ca="1"/>
        <v>Elina Guda</v>
      </c>
      <c r="K32" s="29">
        <f ca="1"/>
        <v>46073</v>
      </c>
      <c r="L32" s="29">
        <f ca="1"/>
        <v>46803</v>
      </c>
      <c r="M32" s="30">
        <f ca="1"/>
        <v>517</v>
      </c>
      <c r="N32" s="12" t="str">
        <f ca="1"/>
        <v>OK</v>
      </c>
      <c r="O32" s="65">
        <v>16</v>
      </c>
      <c r="P32" s="12" t="str">
        <v>WAMB02</v>
      </c>
      <c r="Q32" s="8" t="str">
        <v>Hannah Wambui</v>
      </c>
      <c r="R32" s="8" t="str">
        <v>STORES</v>
      </c>
      <c r="S32" s="8" t="str">
        <v>STORES CLERK</v>
      </c>
    </row>
    <row r="33" spans="1:19" s="8" customFormat="1" ht="14.25" x14ac:dyDescent="0.25">
      <c r="A33" s="65" t="str">
        <f t="shared" si="0"/>
        <v/>
      </c>
      <c r="B33" s="14"/>
      <c r="C33" s="14"/>
      <c r="D33" s="56"/>
      <c r="E33" s="56"/>
      <c r="F33" s="95" t="str">
        <f>IFERROR(VLOOKUP(B33,tblPeople[],14,FALSE),"")</f>
        <v/>
      </c>
      <c r="G33" s="12"/>
      <c r="H33" s="74">
        <v>17</v>
      </c>
      <c r="I33" s="12" t="str">
        <f ca="1"/>
        <v>MURI02</v>
      </c>
      <c r="J33" s="12" t="str">
        <f ca="1"/>
        <v>Francis Muriuki</v>
      </c>
      <c r="K33" s="29">
        <f ca="1"/>
        <v>46073</v>
      </c>
      <c r="L33" s="29">
        <f ca="1"/>
        <v>46803</v>
      </c>
      <c r="M33" s="30">
        <f ca="1"/>
        <v>517</v>
      </c>
      <c r="N33" s="12" t="str">
        <f ca="1"/>
        <v>OK</v>
      </c>
      <c r="O33" s="65">
        <v>17</v>
      </c>
      <c r="P33" s="12" t="str">
        <v>MUIG01</v>
      </c>
      <c r="Q33" s="8" t="str">
        <v>Robert Muigai</v>
      </c>
      <c r="R33" s="8" t="str">
        <v>MAINTENANCE</v>
      </c>
      <c r="S33" s="8" t="str">
        <v>TECHNICIAN</v>
      </c>
    </row>
    <row r="34" spans="1:19" s="8" customFormat="1" ht="14.25" x14ac:dyDescent="0.25">
      <c r="A34" s="65" t="str">
        <f t="shared" si="0"/>
        <v/>
      </c>
      <c r="B34" s="14"/>
      <c r="C34" s="14"/>
      <c r="D34" s="56"/>
      <c r="E34" s="56"/>
      <c r="F34" s="95" t="str">
        <f>IFERROR(VLOOKUP(B34,tblPeople[],14,FALSE),"")</f>
        <v/>
      </c>
      <c r="G34" s="12"/>
      <c r="H34" s="74">
        <v>18</v>
      </c>
      <c r="I34" s="12" t="str">
        <f ca="1"/>
        <v>MAGO01</v>
      </c>
      <c r="J34" s="12" t="str">
        <f ca="1"/>
        <v>Fred Magotsi</v>
      </c>
      <c r="K34" s="29">
        <f ca="1"/>
        <v>46073</v>
      </c>
      <c r="L34" s="29">
        <f ca="1"/>
        <v>46803</v>
      </c>
      <c r="M34" s="30">
        <f ca="1"/>
        <v>517</v>
      </c>
      <c r="N34" s="12" t="str">
        <f ca="1"/>
        <v>OK</v>
      </c>
      <c r="O34" s="65">
        <v>18</v>
      </c>
      <c r="P34" s="12"/>
    </row>
    <row r="35" spans="1:19" s="8" customFormat="1" ht="14.25" x14ac:dyDescent="0.25">
      <c r="A35" s="65" t="str">
        <f t="shared" si="0"/>
        <v/>
      </c>
      <c r="B35" s="12"/>
      <c r="C35" s="12"/>
      <c r="D35" s="57"/>
      <c r="E35" s="57"/>
      <c r="F35" s="95" t="str">
        <f>IFERROR(VLOOKUP(B35,tblPeople[],14,FALSE),"")</f>
        <v/>
      </c>
      <c r="G35" s="12"/>
      <c r="H35" s="74">
        <v>19</v>
      </c>
      <c r="I35" s="12" t="str">
        <f ca="1"/>
        <v>MWAS01</v>
      </c>
      <c r="J35" s="12" t="str">
        <f ca="1"/>
        <v>Gideon Mwasio</v>
      </c>
      <c r="K35" s="29">
        <f ca="1"/>
        <v>46073</v>
      </c>
      <c r="L35" s="29">
        <f ca="1"/>
        <v>46803</v>
      </c>
      <c r="M35" s="30">
        <f ca="1"/>
        <v>517</v>
      </c>
      <c r="N35" s="12" t="str">
        <f ca="1"/>
        <v>OK</v>
      </c>
      <c r="O35" s="65">
        <v>19</v>
      </c>
      <c r="P35" s="12"/>
    </row>
    <row r="36" spans="1:19" s="8" customFormat="1" ht="14.25" x14ac:dyDescent="0.25">
      <c r="A36" s="65" t="str">
        <f t="shared" si="0"/>
        <v/>
      </c>
      <c r="B36" s="12"/>
      <c r="C36" s="12"/>
      <c r="D36" s="57"/>
      <c r="E36" s="57"/>
      <c r="F36" s="95" t="str">
        <f>IFERROR(VLOOKUP(B36,tblPeople[],14,FALSE),"")</f>
        <v/>
      </c>
      <c r="G36" s="12"/>
      <c r="H36" s="74">
        <v>20</v>
      </c>
      <c r="I36" s="12" t="str">
        <f ca="1"/>
        <v>WAMB02</v>
      </c>
      <c r="J36" s="12" t="str">
        <f ca="1"/>
        <v>Hannah Wambui</v>
      </c>
      <c r="K36" s="29">
        <f ca="1"/>
        <v>46073</v>
      </c>
      <c r="L36" s="29">
        <f ca="1"/>
        <v>46803</v>
      </c>
      <c r="M36" s="30">
        <f ca="1"/>
        <v>517</v>
      </c>
      <c r="N36" s="12" t="str">
        <f ca="1"/>
        <v>OK</v>
      </c>
      <c r="O36" s="65">
        <v>20</v>
      </c>
      <c r="P36" s="12"/>
    </row>
    <row r="37" spans="1:19" s="8" customFormat="1" ht="14.25" x14ac:dyDescent="0.25">
      <c r="A37" s="65" t="str">
        <f t="shared" si="0"/>
        <v/>
      </c>
      <c r="B37" s="12"/>
      <c r="C37" s="12"/>
      <c r="D37" s="57"/>
      <c r="E37" s="57"/>
      <c r="F37" s="95" t="str">
        <f>IFERROR(VLOOKUP(B37,tblPeople[],14,FALSE),"")</f>
        <v/>
      </c>
      <c r="G37" s="12"/>
      <c r="H37" s="74">
        <v>21</v>
      </c>
      <c r="I37" s="12" t="str">
        <f ca="1"/>
        <v>MURI01</v>
      </c>
      <c r="J37" s="12" t="str">
        <f ca="1"/>
        <v>John Muriithi</v>
      </c>
      <c r="K37" s="29">
        <f ca="1"/>
        <v>46073</v>
      </c>
      <c r="L37" s="29">
        <f ca="1"/>
        <v>46803</v>
      </c>
      <c r="M37" s="30">
        <f ca="1"/>
        <v>517</v>
      </c>
      <c r="N37" s="12" t="str">
        <f ca="1"/>
        <v>OK</v>
      </c>
      <c r="O37" s="65">
        <v>21</v>
      </c>
      <c r="P37" s="12"/>
    </row>
    <row r="38" spans="1:19" s="8" customFormat="1" ht="14.25" x14ac:dyDescent="0.25">
      <c r="A38" s="65" t="str">
        <f t="shared" si="0"/>
        <v/>
      </c>
      <c r="B38" s="12"/>
      <c r="C38" s="12"/>
      <c r="D38" s="57"/>
      <c r="E38" s="57"/>
      <c r="F38" s="95" t="str">
        <f>IFERROR(VLOOKUP(B38,tblPeople[],14,FALSE),"")</f>
        <v/>
      </c>
      <c r="G38" s="12"/>
      <c r="H38" s="74">
        <v>22</v>
      </c>
      <c r="I38" s="12" t="str">
        <f ca="1"/>
        <v>MOHA01</v>
      </c>
      <c r="J38" s="12" t="str">
        <f ca="1"/>
        <v>Majid Mohamed</v>
      </c>
      <c r="K38" s="29">
        <f ca="1"/>
        <v>46073</v>
      </c>
      <c r="L38" s="29">
        <f ca="1"/>
        <v>46803</v>
      </c>
      <c r="M38" s="30">
        <f ca="1"/>
        <v>517</v>
      </c>
      <c r="N38" s="12" t="str">
        <f ca="1"/>
        <v>OK</v>
      </c>
      <c r="O38" s="65">
        <v>22</v>
      </c>
      <c r="P38" s="12"/>
    </row>
    <row r="39" spans="1:19" s="8" customFormat="1" ht="14.25" x14ac:dyDescent="0.25">
      <c r="A39" s="65" t="str">
        <f t="shared" si="0"/>
        <v/>
      </c>
      <c r="B39" s="12"/>
      <c r="C39" s="12"/>
      <c r="D39" s="57"/>
      <c r="E39" s="57"/>
      <c r="F39" s="95" t="str">
        <f>IFERROR(VLOOKUP(B39,tblPeople[],14,FALSE),"")</f>
        <v/>
      </c>
      <c r="G39" s="12"/>
      <c r="H39" s="74">
        <v>23</v>
      </c>
      <c r="I39" s="12" t="str">
        <f ca="1"/>
        <v>OLUN01</v>
      </c>
      <c r="J39" s="12" t="str">
        <f ca="1"/>
        <v>Michael Olunga</v>
      </c>
      <c r="K39" s="29">
        <f ca="1"/>
        <v>46073</v>
      </c>
      <c r="L39" s="29">
        <f ca="1"/>
        <v>46803</v>
      </c>
      <c r="M39" s="30">
        <f ca="1"/>
        <v>517</v>
      </c>
      <c r="N39" s="12" t="str">
        <f ca="1"/>
        <v>OK</v>
      </c>
      <c r="O39" s="65">
        <v>23</v>
      </c>
      <c r="P39" s="12"/>
    </row>
    <row r="40" spans="1:19" s="8" customFormat="1" ht="14.25" x14ac:dyDescent="0.25">
      <c r="A40" s="65" t="str">
        <f t="shared" si="0"/>
        <v/>
      </c>
      <c r="B40" s="12"/>
      <c r="C40" s="12"/>
      <c r="D40" s="57"/>
      <c r="E40" s="57"/>
      <c r="F40" s="95" t="str">
        <f>IFERROR(VLOOKUP(B40,tblPeople[],14,FALSE),"")</f>
        <v/>
      </c>
      <c r="G40" s="12"/>
      <c r="H40" s="74">
        <v>24</v>
      </c>
      <c r="I40" s="12" t="str">
        <f ca="1"/>
        <v>MUSY01</v>
      </c>
      <c r="J40" s="12" t="str">
        <f ca="1"/>
        <v>Moses Musyoka</v>
      </c>
      <c r="K40" s="29">
        <f ca="1"/>
        <v>46073</v>
      </c>
      <c r="L40" s="29">
        <f ca="1"/>
        <v>46803</v>
      </c>
      <c r="M40" s="30">
        <f ca="1"/>
        <v>517</v>
      </c>
      <c r="N40" s="12" t="str">
        <f ca="1"/>
        <v>OK</v>
      </c>
      <c r="O40" s="65">
        <v>24</v>
      </c>
      <c r="P40" s="12"/>
    </row>
    <row r="41" spans="1:19" s="8" customFormat="1" ht="14.25" x14ac:dyDescent="0.25">
      <c r="A41" s="65" t="str">
        <f t="shared" si="0"/>
        <v/>
      </c>
      <c r="B41" s="12"/>
      <c r="C41" s="12"/>
      <c r="D41" s="57"/>
      <c r="E41" s="57"/>
      <c r="F41" s="95" t="str">
        <f>IFERROR(VLOOKUP(B41,tblPeople[],14,FALSE),"")</f>
        <v/>
      </c>
      <c r="G41" s="12"/>
      <c r="H41" s="74">
        <v>25</v>
      </c>
      <c r="I41" s="12" t="str">
        <f ca="1"/>
        <v>MZER01</v>
      </c>
      <c r="J41" s="12" t="str">
        <f ca="1"/>
        <v>Paul Mzera</v>
      </c>
      <c r="K41" s="29">
        <f ca="1"/>
        <v>46073</v>
      </c>
      <c r="L41" s="29">
        <f ca="1"/>
        <v>46803</v>
      </c>
      <c r="M41" s="30">
        <f ca="1"/>
        <v>517</v>
      </c>
      <c r="N41" s="12" t="str">
        <f ca="1"/>
        <v>OK</v>
      </c>
      <c r="O41" s="65">
        <v>25</v>
      </c>
      <c r="P41" s="12"/>
    </row>
    <row r="42" spans="1:19" s="8" customFormat="1" ht="14.25" x14ac:dyDescent="0.25">
      <c r="A42" s="65" t="str">
        <f t="shared" si="0"/>
        <v/>
      </c>
      <c r="B42" s="12"/>
      <c r="C42" s="12"/>
      <c r="D42" s="57"/>
      <c r="E42" s="57"/>
      <c r="F42" s="95" t="str">
        <f>IFERROR(VLOOKUP(B42,tblPeople[],14,FALSE),"")</f>
        <v/>
      </c>
      <c r="G42" s="12"/>
      <c r="H42" s="74">
        <v>26</v>
      </c>
      <c r="I42" s="12" t="str">
        <f ca="1"/>
        <v>OTIE01</v>
      </c>
      <c r="J42" s="12" t="str">
        <f ca="1"/>
        <v>Reuben Otieno</v>
      </c>
      <c r="K42" s="29">
        <f ca="1"/>
        <v>46073</v>
      </c>
      <c r="L42" s="29">
        <f ca="1"/>
        <v>46803</v>
      </c>
      <c r="M42" s="30">
        <f ca="1"/>
        <v>517</v>
      </c>
      <c r="N42" s="12" t="str">
        <f ca="1"/>
        <v>OK</v>
      </c>
      <c r="O42" s="65">
        <v>26</v>
      </c>
      <c r="P42" s="12"/>
    </row>
    <row r="43" spans="1:19" s="8" customFormat="1" ht="14.25" x14ac:dyDescent="0.25">
      <c r="A43" s="65" t="str">
        <f t="shared" si="0"/>
        <v/>
      </c>
      <c r="B43" s="12"/>
      <c r="C43" s="12"/>
      <c r="D43" s="57"/>
      <c r="E43" s="57"/>
      <c r="F43" s="95" t="str">
        <f>IFERROR(VLOOKUP(B43,tblPeople[],14,FALSE),"")</f>
        <v/>
      </c>
      <c r="G43" s="12"/>
      <c r="H43" s="74">
        <v>27</v>
      </c>
      <c r="I43" s="12" t="str">
        <f ca="1"/>
        <v>MUST01</v>
      </c>
      <c r="J43" s="12" t="str">
        <f ca="1"/>
        <v>Stephen Mutambu</v>
      </c>
      <c r="K43" s="29">
        <f ca="1"/>
        <v>46073</v>
      </c>
      <c r="L43" s="29">
        <f ca="1"/>
        <v>46803</v>
      </c>
      <c r="M43" s="30">
        <f ca="1"/>
        <v>517</v>
      </c>
      <c r="N43" s="12" t="str">
        <f ca="1"/>
        <v>OK</v>
      </c>
      <c r="O43" s="65">
        <v>27</v>
      </c>
      <c r="P43" s="12"/>
    </row>
    <row r="44" spans="1:19" s="8" customFormat="1" ht="14.25" x14ac:dyDescent="0.25">
      <c r="A44" s="65" t="str">
        <f t="shared" si="0"/>
        <v/>
      </c>
      <c r="B44" s="12"/>
      <c r="C44" s="12"/>
      <c r="D44" s="57"/>
      <c r="E44" s="57"/>
      <c r="F44" s="95" t="str">
        <f>IFERROR(VLOOKUP(B44,tblPeople[],14,FALSE),"")</f>
        <v/>
      </c>
      <c r="G44" s="12"/>
      <c r="H44" s="74">
        <v>28</v>
      </c>
      <c r="I44" s="12" t="str">
        <f ca="1"/>
        <v>TUNJ01</v>
      </c>
      <c r="J44" s="12" t="str">
        <f ca="1"/>
        <v>Stephen Tunje</v>
      </c>
      <c r="K44" s="29">
        <f ca="1"/>
        <v>46073</v>
      </c>
      <c r="L44" s="29">
        <f ca="1"/>
        <v>46803</v>
      </c>
      <c r="M44" s="30">
        <f ca="1"/>
        <v>517</v>
      </c>
      <c r="N44" s="12" t="str">
        <f ca="1"/>
        <v>OK</v>
      </c>
      <c r="O44" s="65">
        <v>28</v>
      </c>
      <c r="P44" s="12"/>
    </row>
    <row r="45" spans="1:19" s="8" customFormat="1" ht="14.25" x14ac:dyDescent="0.25">
      <c r="A45" s="65" t="str">
        <f t="shared" si="0"/>
        <v/>
      </c>
      <c r="B45" s="12"/>
      <c r="C45" s="12"/>
      <c r="D45" s="57"/>
      <c r="E45" s="57"/>
      <c r="F45" s="95" t="str">
        <f>IFERROR(VLOOKUP(B45,tblPeople[],14,FALSE),"")</f>
        <v/>
      </c>
      <c r="G45" s="12"/>
      <c r="H45" s="74">
        <v>29</v>
      </c>
      <c r="I45" s="12" t="str">
        <f ca="1"/>
        <v>MLAT01</v>
      </c>
      <c r="J45" s="12" t="str">
        <f ca="1"/>
        <v>William Mlati</v>
      </c>
      <c r="K45" s="29">
        <f ca="1"/>
        <v>46073</v>
      </c>
      <c r="L45" s="29">
        <f ca="1"/>
        <v>46803</v>
      </c>
      <c r="M45" s="30">
        <f ca="1"/>
        <v>517</v>
      </c>
      <c r="N45" s="12" t="str">
        <f ca="1"/>
        <v>OK</v>
      </c>
      <c r="O45" s="65">
        <v>29</v>
      </c>
      <c r="P45" s="12"/>
    </row>
    <row r="46" spans="1:19" s="8" customFormat="1" ht="14.25" x14ac:dyDescent="0.25">
      <c r="A46" s="65" t="str">
        <f t="shared" si="0"/>
        <v/>
      </c>
      <c r="B46" s="12"/>
      <c r="C46" s="12"/>
      <c r="D46" s="57"/>
      <c r="E46" s="57"/>
      <c r="F46" s="95" t="str">
        <f>IFERROR(VLOOKUP(B46,tblPeople[],14,FALSE),"")</f>
        <v/>
      </c>
      <c r="G46" s="12"/>
      <c r="H46" s="74">
        <v>30</v>
      </c>
      <c r="I46" s="12" t="str">
        <f ca="1"/>
        <v>KIBI01</v>
      </c>
      <c r="J46" s="12" t="str">
        <f ca="1"/>
        <v>Bernard Kibiwott</v>
      </c>
      <c r="K46" s="29">
        <f ca="1"/>
        <v>46079</v>
      </c>
      <c r="L46" s="29">
        <f ca="1"/>
        <v>46809</v>
      </c>
      <c r="M46" s="30">
        <f ca="1"/>
        <v>523</v>
      </c>
      <c r="N46" s="12" t="str">
        <f ca="1"/>
        <v>OK</v>
      </c>
      <c r="O46" s="65">
        <v>30</v>
      </c>
      <c r="P46" s="12"/>
    </row>
    <row r="47" spans="1:19" s="8" customFormat="1" ht="14.25" x14ac:dyDescent="0.25">
      <c r="A47" s="65" t="str">
        <f t="shared" si="0"/>
        <v/>
      </c>
      <c r="B47" s="12"/>
      <c r="C47" s="12"/>
      <c r="D47" s="57"/>
      <c r="E47" s="57"/>
      <c r="F47" s="95" t="str">
        <f>IFERROR(VLOOKUP(B47,tblPeople[],14,FALSE),"")</f>
        <v/>
      </c>
      <c r="G47" s="12"/>
      <c r="H47" s="74">
        <v>31</v>
      </c>
      <c r="I47" s="12" t="str">
        <f ca="1"/>
        <v>KWAL01</v>
      </c>
      <c r="J47" s="12" t="str">
        <f ca="1"/>
        <v>Dunstan Kwalanda</v>
      </c>
      <c r="K47" s="29">
        <f ca="1"/>
        <v>46079</v>
      </c>
      <c r="L47" s="29">
        <f ca="1"/>
        <v>46809</v>
      </c>
      <c r="M47" s="30">
        <f ca="1"/>
        <v>523</v>
      </c>
      <c r="N47" s="12" t="str">
        <f ca="1"/>
        <v>OK</v>
      </c>
      <c r="O47" s="65">
        <v>31</v>
      </c>
      <c r="P47" s="12"/>
    </row>
    <row r="48" spans="1:19" s="8" customFormat="1" ht="14.25" x14ac:dyDescent="0.25">
      <c r="A48" s="65" t="str">
        <f t="shared" si="0"/>
        <v/>
      </c>
      <c r="B48" s="12"/>
      <c r="C48" s="12"/>
      <c r="D48" s="57"/>
      <c r="E48" s="57"/>
      <c r="F48" s="95" t="str">
        <f>IFERROR(VLOOKUP(B48,tblPeople[],14,FALSE),"")</f>
        <v/>
      </c>
      <c r="G48" s="12"/>
      <c r="H48" s="74">
        <v>32</v>
      </c>
      <c r="I48" s="12" t="str">
        <f ca="1"/>
        <v>OMON02</v>
      </c>
      <c r="J48" s="12" t="str">
        <f ca="1"/>
        <v>Francis Omondi</v>
      </c>
      <c r="K48" s="29">
        <f ca="1"/>
        <v>46079</v>
      </c>
      <c r="L48" s="29">
        <f ca="1"/>
        <v>46809</v>
      </c>
      <c r="M48" s="30">
        <f ca="1"/>
        <v>523</v>
      </c>
      <c r="N48" s="12" t="str">
        <f ca="1"/>
        <v>OK</v>
      </c>
      <c r="O48" s="65">
        <v>32</v>
      </c>
      <c r="P48" s="12"/>
    </row>
    <row r="49" spans="1:16" s="8" customFormat="1" ht="14.25" x14ac:dyDescent="0.25">
      <c r="A49" s="65" t="str">
        <f t="shared" si="0"/>
        <v/>
      </c>
      <c r="B49" s="12"/>
      <c r="C49" s="12"/>
      <c r="D49" s="57"/>
      <c r="E49" s="57"/>
      <c r="F49" s="95" t="str">
        <f>IFERROR(VLOOKUP(B49,tblPeople[],14,FALSE),"")</f>
        <v/>
      </c>
      <c r="G49" s="12"/>
      <c r="H49" s="74">
        <v>33</v>
      </c>
      <c r="I49" s="12" t="str">
        <f ca="1"/>
        <v>WAND01</v>
      </c>
      <c r="J49" s="12" t="str">
        <f ca="1"/>
        <v>Judith Wandera</v>
      </c>
      <c r="K49" s="29">
        <f ca="1"/>
        <v>46079</v>
      </c>
      <c r="L49" s="29">
        <f ca="1"/>
        <v>46809</v>
      </c>
      <c r="M49" s="30">
        <f ca="1"/>
        <v>523</v>
      </c>
      <c r="N49" s="12" t="str">
        <f ca="1"/>
        <v>OK</v>
      </c>
      <c r="O49" s="65">
        <v>33</v>
      </c>
      <c r="P49" s="12"/>
    </row>
    <row r="50" spans="1:16" s="8" customFormat="1" ht="14.25" x14ac:dyDescent="0.25">
      <c r="A50" s="65" t="str">
        <f t="shared" si="0"/>
        <v/>
      </c>
      <c r="B50" s="12"/>
      <c r="C50" s="12"/>
      <c r="D50" s="57"/>
      <c r="E50" s="57"/>
      <c r="F50" s="95" t="str">
        <f>IFERROR(VLOOKUP(B50,tblPeople[],14,FALSE),"")</f>
        <v/>
      </c>
      <c r="G50" s="12"/>
      <c r="H50" s="74">
        <v>34</v>
      </c>
      <c r="I50" s="12" t="str">
        <f ca="1"/>
        <v>NYAW01</v>
      </c>
      <c r="J50" s="12" t="str">
        <f ca="1"/>
        <v>Julius Nyawira</v>
      </c>
      <c r="K50" s="29">
        <f ca="1"/>
        <v>46079</v>
      </c>
      <c r="L50" s="29">
        <f ca="1"/>
        <v>46809</v>
      </c>
      <c r="M50" s="30">
        <f ca="1"/>
        <v>523</v>
      </c>
      <c r="N50" s="12" t="str">
        <f ca="1"/>
        <v>OK</v>
      </c>
      <c r="O50" s="65">
        <v>34</v>
      </c>
      <c r="P50" s="12"/>
    </row>
    <row r="51" spans="1:16" s="8" customFormat="1" ht="14.25" x14ac:dyDescent="0.25">
      <c r="A51" s="65" t="str">
        <f t="shared" si="0"/>
        <v/>
      </c>
      <c r="B51" s="12"/>
      <c r="C51" s="12"/>
      <c r="D51" s="57"/>
      <c r="E51" s="57"/>
      <c r="F51" s="95" t="str">
        <f>IFERROR(VLOOKUP(B51,tblPeople[],14,FALSE),"")</f>
        <v/>
      </c>
      <c r="G51" s="12"/>
      <c r="H51" s="74">
        <v>35</v>
      </c>
      <c r="I51" s="12" t="str">
        <f ca="1"/>
        <v>ETEN01</v>
      </c>
      <c r="J51" s="12" t="str">
        <f ca="1"/>
        <v>Mercy Etende</v>
      </c>
      <c r="K51" s="29">
        <f ca="1"/>
        <v>46079</v>
      </c>
      <c r="L51" s="29">
        <f ca="1"/>
        <v>46809</v>
      </c>
      <c r="M51" s="30">
        <f ca="1"/>
        <v>523</v>
      </c>
      <c r="N51" s="12" t="str">
        <f ca="1"/>
        <v>OK</v>
      </c>
      <c r="O51" s="65">
        <v>35</v>
      </c>
      <c r="P51" s="12"/>
    </row>
    <row r="52" spans="1:16" s="8" customFormat="1" ht="14.25" x14ac:dyDescent="0.25">
      <c r="A52" s="65" t="str">
        <f t="shared" si="0"/>
        <v/>
      </c>
      <c r="B52" s="12"/>
      <c r="C52" s="12"/>
      <c r="D52" s="57"/>
      <c r="E52" s="57"/>
      <c r="F52" s="95" t="str">
        <f>IFERROR(VLOOKUP(B52,tblPeople[],14,FALSE),"")</f>
        <v/>
      </c>
      <c r="G52" s="12"/>
      <c r="H52" s="74">
        <v>36</v>
      </c>
      <c r="I52" s="12" t="str">
        <f ca="1"/>
        <v>MUSA01</v>
      </c>
      <c r="J52" s="12" t="str">
        <f ca="1"/>
        <v>Patrick Musau</v>
      </c>
      <c r="K52" s="29">
        <f ca="1"/>
        <v>46079</v>
      </c>
      <c r="L52" s="29">
        <f ca="1"/>
        <v>46809</v>
      </c>
      <c r="M52" s="30">
        <f ca="1"/>
        <v>523</v>
      </c>
      <c r="N52" s="12" t="str">
        <f ca="1"/>
        <v>OK</v>
      </c>
      <c r="O52" s="65">
        <v>36</v>
      </c>
      <c r="P52" s="12"/>
    </row>
    <row r="53" spans="1:16" s="8" customFormat="1" ht="14.25" x14ac:dyDescent="0.25">
      <c r="A53" s="65" t="str">
        <f t="shared" si="0"/>
        <v/>
      </c>
      <c r="B53" s="12"/>
      <c r="C53" s="12"/>
      <c r="D53" s="57"/>
      <c r="E53" s="57"/>
      <c r="F53" s="95" t="str">
        <f>IFERROR(VLOOKUP(B53,tblPeople[],14,FALSE),"")</f>
        <v/>
      </c>
      <c r="G53" s="12"/>
      <c r="H53" s="74">
        <v>37</v>
      </c>
      <c r="I53" s="12" t="str">
        <f ca="1"/>
        <v>MWAN06</v>
      </c>
      <c r="J53" s="12" t="str">
        <f ca="1"/>
        <v>Patrick Mwangi</v>
      </c>
      <c r="K53" s="29">
        <f ca="1"/>
        <v>46079</v>
      </c>
      <c r="L53" s="29">
        <f ca="1"/>
        <v>46809</v>
      </c>
      <c r="M53" s="30">
        <f ca="1"/>
        <v>523</v>
      </c>
      <c r="N53" s="12" t="str">
        <f ca="1"/>
        <v>OK</v>
      </c>
      <c r="O53" s="65">
        <v>37</v>
      </c>
      <c r="P53" s="12"/>
    </row>
    <row r="54" spans="1:16" s="8" customFormat="1" ht="14.25" x14ac:dyDescent="0.25">
      <c r="A54" s="65" t="str">
        <f t="shared" si="0"/>
        <v/>
      </c>
      <c r="B54" s="12"/>
      <c r="C54" s="12"/>
      <c r="D54" s="57"/>
      <c r="E54" s="57"/>
      <c r="F54" s="95" t="str">
        <f>IFERROR(VLOOKUP(B54,tblPeople[],14,FALSE),"")</f>
        <v/>
      </c>
      <c r="G54" s="12"/>
      <c r="H54" s="74">
        <v>38</v>
      </c>
      <c r="I54" s="12" t="str">
        <f ca="1"/>
        <v>MWAN01</v>
      </c>
      <c r="J54" s="12" t="str">
        <f ca="1"/>
        <v>Philip Mwania</v>
      </c>
      <c r="K54" s="29">
        <f ca="1"/>
        <v>46079</v>
      </c>
      <c r="L54" s="29">
        <f ca="1"/>
        <v>46809</v>
      </c>
      <c r="M54" s="30">
        <f ca="1"/>
        <v>523</v>
      </c>
      <c r="N54" s="12" t="str">
        <f ca="1"/>
        <v>OK</v>
      </c>
      <c r="O54" s="65">
        <v>38</v>
      </c>
      <c r="P54" s="12"/>
    </row>
    <row r="55" spans="1:16" s="8" customFormat="1" ht="14.25" x14ac:dyDescent="0.25">
      <c r="A55" s="65" t="str">
        <f t="shared" si="0"/>
        <v/>
      </c>
      <c r="B55" s="12"/>
      <c r="C55" s="12"/>
      <c r="D55" s="57"/>
      <c r="E55" s="57"/>
      <c r="F55" s="95" t="str">
        <f>IFERROR(VLOOKUP(B55,tblPeople[],14,FALSE),"")</f>
        <v/>
      </c>
      <c r="G55" s="12"/>
      <c r="H55" s="74">
        <v>39</v>
      </c>
      <c r="I55" s="12" t="str">
        <f ca="1"/>
        <v>HARU01</v>
      </c>
      <c r="J55" s="12" t="str">
        <f ca="1"/>
        <v>Smith Harun</v>
      </c>
      <c r="K55" s="29">
        <f ca="1"/>
        <v>46079</v>
      </c>
      <c r="L55" s="29">
        <f ca="1"/>
        <v>46809</v>
      </c>
      <c r="M55" s="30">
        <f ca="1"/>
        <v>523</v>
      </c>
      <c r="N55" s="12" t="str">
        <f ca="1"/>
        <v>OK</v>
      </c>
      <c r="O55" s="65">
        <v>39</v>
      </c>
      <c r="P55" s="12"/>
    </row>
    <row r="56" spans="1:16" s="8" customFormat="1" ht="14.25" x14ac:dyDescent="0.25">
      <c r="A56" s="65" t="str">
        <f t="shared" si="0"/>
        <v/>
      </c>
      <c r="B56" s="12"/>
      <c r="C56" s="12"/>
      <c r="D56" s="57"/>
      <c r="E56" s="57"/>
      <c r="F56" s="95" t="str">
        <f>IFERROR(VLOOKUP(B56,tblPeople[],14,FALSE),"")</f>
        <v/>
      </c>
      <c r="G56" s="12"/>
      <c r="H56" s="74">
        <v>40</v>
      </c>
      <c r="I56" s="12" t="str">
        <f ca="1"/>
        <v>MUEM02</v>
      </c>
      <c r="J56" s="12" t="str">
        <f ca="1"/>
        <v>Urbanus Muema</v>
      </c>
      <c r="K56" s="29">
        <f ca="1"/>
        <v>46079</v>
      </c>
      <c r="L56" s="29">
        <f ca="1"/>
        <v>46809</v>
      </c>
      <c r="M56" s="30">
        <f ca="1"/>
        <v>523</v>
      </c>
      <c r="N56" s="12" t="str">
        <f ca="1"/>
        <v>OK</v>
      </c>
      <c r="O56" s="65">
        <v>40</v>
      </c>
      <c r="P56" s="12"/>
    </row>
    <row r="57" spans="1:16" s="8" customFormat="1" ht="14.25" x14ac:dyDescent="0.25">
      <c r="A57" s="65" t="str">
        <f t="shared" si="0"/>
        <v/>
      </c>
      <c r="B57" s="12"/>
      <c r="C57" s="12"/>
      <c r="D57" s="57"/>
      <c r="E57" s="57"/>
      <c r="F57" s="95" t="str">
        <f>IFERROR(VLOOKUP(B57,tblPeople[],14,FALSE),"")</f>
        <v/>
      </c>
      <c r="G57" s="12"/>
      <c r="H57" s="74">
        <v>41</v>
      </c>
      <c r="I57" s="12" t="str">
        <f ca="1"/>
        <v>KANA01</v>
      </c>
      <c r="J57" s="12" t="str">
        <f ca="1"/>
        <v>Wycliffe Kanana</v>
      </c>
      <c r="K57" s="29">
        <f ca="1"/>
        <v>46079</v>
      </c>
      <c r="L57" s="29">
        <f ca="1"/>
        <v>46809</v>
      </c>
      <c r="M57" s="30">
        <f ca="1"/>
        <v>523</v>
      </c>
      <c r="N57" s="12" t="str">
        <f ca="1"/>
        <v>OK</v>
      </c>
      <c r="O57" s="65">
        <v>41</v>
      </c>
      <c r="P57" s="12"/>
    </row>
    <row r="58" spans="1:16" s="8" customFormat="1" ht="14.25" x14ac:dyDescent="0.25">
      <c r="A58" s="65" t="str">
        <f t="shared" si="0"/>
        <v/>
      </c>
      <c r="B58" s="12"/>
      <c r="C58" s="12"/>
      <c r="D58" s="57"/>
      <c r="E58" s="57"/>
      <c r="F58" s="95" t="str">
        <f>IFERROR(VLOOKUP(B58,tblPeople[],14,FALSE),"")</f>
        <v/>
      </c>
      <c r="G58" s="12"/>
      <c r="H58" s="74">
        <v>42</v>
      </c>
      <c r="I58" s="12" t="str">
        <f ca="1"/>
        <v>OKUD01</v>
      </c>
      <c r="J58" s="12" t="str">
        <f ca="1"/>
        <v>Alfred Okudo</v>
      </c>
      <c r="K58" s="29">
        <f ca="1"/>
        <v>46155</v>
      </c>
      <c r="L58" s="29">
        <f ca="1"/>
        <v>46886</v>
      </c>
      <c r="M58" s="30">
        <f ca="1"/>
        <v>600</v>
      </c>
      <c r="N58" s="12" t="str">
        <f ca="1"/>
        <v>OK</v>
      </c>
      <c r="O58" s="65">
        <v>42</v>
      </c>
      <c r="P58" s="12"/>
    </row>
    <row r="59" spans="1:16" s="8" customFormat="1" ht="14.25" x14ac:dyDescent="0.25">
      <c r="A59" s="65" t="str">
        <f t="shared" si="0"/>
        <v/>
      </c>
      <c r="B59" s="12"/>
      <c r="C59" s="12"/>
      <c r="D59" s="57"/>
      <c r="E59" s="57"/>
      <c r="F59" s="95" t="str">
        <f>IFERROR(VLOOKUP(B59,tblPeople[],14,FALSE),"")</f>
        <v/>
      </c>
      <c r="G59" s="12"/>
      <c r="H59" s="74">
        <v>43</v>
      </c>
      <c r="I59" s="12" t="str">
        <f ca="1"/>
        <v>KIMI01</v>
      </c>
      <c r="J59" s="12" t="str">
        <f ca="1"/>
        <v>Benard Kimiti</v>
      </c>
      <c r="K59" s="29">
        <f ca="1"/>
        <v>46155</v>
      </c>
      <c r="L59" s="29">
        <f ca="1"/>
        <v>46886</v>
      </c>
      <c r="M59" s="30">
        <f ca="1"/>
        <v>600</v>
      </c>
      <c r="N59" s="12" t="str">
        <f ca="1"/>
        <v>OK</v>
      </c>
      <c r="O59" s="65">
        <v>43</v>
      </c>
      <c r="P59" s="12"/>
    </row>
    <row r="60" spans="1:16" s="8" customFormat="1" ht="14.25" x14ac:dyDescent="0.25">
      <c r="A60" s="65" t="str">
        <f t="shared" si="0"/>
        <v/>
      </c>
      <c r="B60" s="12"/>
      <c r="C60" s="12"/>
      <c r="D60" s="57"/>
      <c r="E60" s="57"/>
      <c r="F60" s="95" t="str">
        <f>IFERROR(VLOOKUP(B60,tblPeople[],14,FALSE),"")</f>
        <v/>
      </c>
      <c r="G60" s="12"/>
      <c r="H60" s="74">
        <v>44</v>
      </c>
      <c r="I60" s="12" t="str">
        <f ca="1"/>
        <v>GITA01</v>
      </c>
      <c r="J60" s="12" t="str">
        <f ca="1"/>
        <v>Benson Gitahi</v>
      </c>
      <c r="K60" s="29">
        <f ca="1"/>
        <v>46155</v>
      </c>
      <c r="L60" s="29">
        <f ca="1"/>
        <v>46886</v>
      </c>
      <c r="M60" s="30">
        <f ca="1"/>
        <v>600</v>
      </c>
      <c r="N60" s="12" t="str">
        <f ca="1"/>
        <v>OK</v>
      </c>
      <c r="O60" s="65">
        <v>44</v>
      </c>
      <c r="P60" s="12"/>
    </row>
    <row r="61" spans="1:16" s="8" customFormat="1" ht="14.25" x14ac:dyDescent="0.25">
      <c r="A61" s="65" t="str">
        <f t="shared" si="0"/>
        <v/>
      </c>
      <c r="B61" s="12"/>
      <c r="C61" s="12"/>
      <c r="D61" s="57"/>
      <c r="E61" s="57"/>
      <c r="F61" s="95" t="str">
        <f>IFERROR(VLOOKUP(B61,tblPeople[],14,FALSE),"")</f>
        <v/>
      </c>
      <c r="G61" s="12"/>
      <c r="H61" s="74">
        <v>45</v>
      </c>
      <c r="I61" s="12" t="str">
        <f ca="1"/>
        <v>MUGA01</v>
      </c>
      <c r="J61" s="12" t="str">
        <f ca="1"/>
        <v>Brian Muga</v>
      </c>
      <c r="K61" s="29">
        <f ca="1"/>
        <v>46155</v>
      </c>
      <c r="L61" s="29">
        <f ca="1"/>
        <v>46886</v>
      </c>
      <c r="M61" s="30">
        <f ca="1"/>
        <v>600</v>
      </c>
      <c r="N61" s="12" t="str">
        <f ca="1"/>
        <v>OK</v>
      </c>
      <c r="O61" s="65">
        <v>45</v>
      </c>
      <c r="P61" s="12"/>
    </row>
    <row r="62" spans="1:16" s="8" customFormat="1" ht="14.25" x14ac:dyDescent="0.25">
      <c r="A62" s="65" t="str">
        <f t="shared" si="0"/>
        <v/>
      </c>
      <c r="B62" s="12"/>
      <c r="C62" s="12"/>
      <c r="D62" s="57"/>
      <c r="E62" s="57"/>
      <c r="F62" s="95" t="str">
        <f>IFERROR(VLOOKUP(B62,tblPeople[],14,FALSE),"")</f>
        <v/>
      </c>
      <c r="G62" s="12"/>
      <c r="H62" s="74">
        <v>46</v>
      </c>
      <c r="I62" s="12" t="str">
        <f ca="1"/>
        <v>MZUN01</v>
      </c>
      <c r="J62" s="12" t="str">
        <f ca="1"/>
        <v>Dickson Mzungu</v>
      </c>
      <c r="K62" s="29">
        <f ca="1"/>
        <v>46155</v>
      </c>
      <c r="L62" s="29">
        <f ca="1"/>
        <v>46886</v>
      </c>
      <c r="M62" s="30">
        <f ca="1"/>
        <v>600</v>
      </c>
      <c r="N62" s="12" t="str">
        <f ca="1"/>
        <v>OK</v>
      </c>
      <c r="O62" s="65">
        <v>46</v>
      </c>
      <c r="P62" s="12"/>
    </row>
    <row r="63" spans="1:16" s="8" customFormat="1" ht="14.25" x14ac:dyDescent="0.25">
      <c r="A63" s="65" t="str">
        <f t="shared" si="0"/>
        <v/>
      </c>
      <c r="B63" s="12"/>
      <c r="C63" s="12"/>
      <c r="D63" s="57"/>
      <c r="E63" s="57"/>
      <c r="F63" s="95" t="str">
        <f>IFERROR(VLOOKUP(B63,tblPeople[],14,FALSE),"")</f>
        <v/>
      </c>
      <c r="G63" s="12"/>
      <c r="H63" s="74">
        <v>47</v>
      </c>
      <c r="I63" s="12" t="str">
        <f ca="1"/>
        <v>MWAN07</v>
      </c>
      <c r="J63" s="12" t="str">
        <f ca="1"/>
        <v>Erick Mwanje</v>
      </c>
      <c r="K63" s="29">
        <f ca="1"/>
        <v>46155</v>
      </c>
      <c r="L63" s="29">
        <f ca="1"/>
        <v>46886</v>
      </c>
      <c r="M63" s="30">
        <f ca="1"/>
        <v>600</v>
      </c>
      <c r="N63" s="12" t="str">
        <f ca="1"/>
        <v>OK</v>
      </c>
      <c r="O63" s="65">
        <v>47</v>
      </c>
      <c r="P63" s="12"/>
    </row>
    <row r="64" spans="1:16" s="8" customFormat="1" ht="14.25" x14ac:dyDescent="0.25">
      <c r="A64" s="65" t="str">
        <f t="shared" si="0"/>
        <v/>
      </c>
      <c r="B64" s="12"/>
      <c r="C64" s="12"/>
      <c r="D64" s="57"/>
      <c r="E64" s="57"/>
      <c r="F64" s="95" t="str">
        <f>IFERROR(VLOOKUP(B64,tblPeople[],14,FALSE),"")</f>
        <v/>
      </c>
      <c r="G64" s="12"/>
      <c r="H64" s="74">
        <v>48</v>
      </c>
      <c r="I64" s="12" t="str">
        <f ca="1"/>
        <v>MAIN01</v>
      </c>
      <c r="J64" s="12" t="str">
        <f ca="1"/>
        <v>Evans Maingi</v>
      </c>
      <c r="K64" s="29">
        <f ca="1"/>
        <v>46155</v>
      </c>
      <c r="L64" s="29">
        <f ca="1"/>
        <v>46886</v>
      </c>
      <c r="M64" s="30">
        <f ca="1"/>
        <v>600</v>
      </c>
      <c r="N64" s="12" t="str">
        <f ca="1"/>
        <v>OK</v>
      </c>
      <c r="O64" s="65">
        <v>48</v>
      </c>
      <c r="P64" s="12"/>
    </row>
    <row r="65" spans="1:16" s="8" customFormat="1" ht="14.25" x14ac:dyDescent="0.25">
      <c r="A65" s="65" t="str">
        <f t="shared" si="0"/>
        <v/>
      </c>
      <c r="B65" s="12"/>
      <c r="C65" s="12"/>
      <c r="D65" s="57"/>
      <c r="E65" s="57"/>
      <c r="F65" s="95" t="str">
        <f>IFERROR(VLOOKUP(B65,tblPeople[],14,FALSE),"")</f>
        <v/>
      </c>
      <c r="G65" s="12"/>
      <c r="H65" s="74">
        <v>49</v>
      </c>
      <c r="I65" s="12" t="str">
        <f ca="1"/>
        <v>MUTO01</v>
      </c>
      <c r="J65" s="12" t="str">
        <f ca="1"/>
        <v>Francis Mutonga</v>
      </c>
      <c r="K65" s="29">
        <f ca="1"/>
        <v>46155</v>
      </c>
      <c r="L65" s="29">
        <f ca="1"/>
        <v>46886</v>
      </c>
      <c r="M65" s="30">
        <f ca="1"/>
        <v>600</v>
      </c>
      <c r="N65" s="12" t="str">
        <f ca="1"/>
        <v>OK</v>
      </c>
      <c r="O65" s="65">
        <v>49</v>
      </c>
      <c r="P65" s="12"/>
    </row>
    <row r="66" spans="1:16" s="8" customFormat="1" ht="14.25" x14ac:dyDescent="0.25">
      <c r="A66" s="65" t="str">
        <f t="shared" si="0"/>
        <v/>
      </c>
      <c r="B66" s="12"/>
      <c r="C66" s="12"/>
      <c r="D66" s="57"/>
      <c r="E66" s="57"/>
      <c r="F66" s="95" t="str">
        <f>IFERROR(VLOOKUP(B66,tblPeople[],14,FALSE),"")</f>
        <v/>
      </c>
      <c r="G66" s="12"/>
      <c r="H66" s="74">
        <v>50</v>
      </c>
      <c r="I66" s="12" t="str">
        <f ca="1"/>
        <v>MUIS01</v>
      </c>
      <c r="J66" s="12" t="str">
        <f ca="1"/>
        <v>James Muisyo</v>
      </c>
      <c r="K66" s="29">
        <f ca="1"/>
        <v>46155</v>
      </c>
      <c r="L66" s="29">
        <f ca="1"/>
        <v>46886</v>
      </c>
      <c r="M66" s="30">
        <f ca="1"/>
        <v>600</v>
      </c>
      <c r="N66" s="12" t="str">
        <f ca="1"/>
        <v>OK</v>
      </c>
      <c r="O66" s="65">
        <v>50</v>
      </c>
      <c r="P66" s="12"/>
    </row>
    <row r="67" spans="1:16" s="8" customFormat="1" ht="14.25" x14ac:dyDescent="0.25">
      <c r="A67" s="65" t="str">
        <f t="shared" si="0"/>
        <v/>
      </c>
      <c r="B67" s="12"/>
      <c r="C67" s="12"/>
      <c r="D67" s="57"/>
      <c r="E67" s="57"/>
      <c r="F67" s="95" t="str">
        <f>IFERROR(VLOOKUP(B67,tblPeople[],14,FALSE),"")</f>
        <v/>
      </c>
      <c r="G67" s="12"/>
      <c r="H67" s="74">
        <v>51</v>
      </c>
      <c r="I67" s="12" t="str">
        <f ca="1"/>
        <v>CHEG01</v>
      </c>
      <c r="J67" s="12" t="str">
        <f ca="1"/>
        <v>Martin Chege</v>
      </c>
      <c r="K67" s="29">
        <f ca="1"/>
        <v>46155</v>
      </c>
      <c r="L67" s="29">
        <f ca="1"/>
        <v>46886</v>
      </c>
      <c r="M67" s="12">
        <f ca="1"/>
        <v>600</v>
      </c>
      <c r="N67" s="12" t="str">
        <f ca="1"/>
        <v>OK</v>
      </c>
      <c r="O67" s="65">
        <v>51</v>
      </c>
      <c r="P67" s="12"/>
    </row>
    <row r="68" spans="1:16" s="8" customFormat="1" ht="14.25" x14ac:dyDescent="0.25">
      <c r="A68" s="65" t="str">
        <f t="shared" si="0"/>
        <v/>
      </c>
      <c r="B68" s="12"/>
      <c r="C68" s="12"/>
      <c r="D68" s="57"/>
      <c r="E68" s="57"/>
      <c r="F68" s="95" t="str">
        <f>IFERROR(VLOOKUP(B68,tblPeople[],14,FALSE),"")</f>
        <v/>
      </c>
      <c r="G68" s="12"/>
      <c r="H68" s="74">
        <v>52</v>
      </c>
      <c r="I68" s="12" t="str">
        <f ca="1"/>
        <v>CHEL01</v>
      </c>
      <c r="J68" s="12" t="str">
        <f ca="1"/>
        <v>Mary Chelagat</v>
      </c>
      <c r="K68" s="29">
        <f ca="1"/>
        <v>46155</v>
      </c>
      <c r="L68" s="29">
        <f ca="1"/>
        <v>46886</v>
      </c>
      <c r="M68" s="12">
        <f ca="1"/>
        <v>600</v>
      </c>
      <c r="N68" s="12" t="str">
        <f ca="1"/>
        <v>OK</v>
      </c>
      <c r="O68" s="65">
        <v>52</v>
      </c>
      <c r="P68" s="12"/>
    </row>
    <row r="69" spans="1:16" s="8" customFormat="1" ht="14.25" x14ac:dyDescent="0.25">
      <c r="A69" s="65" t="str">
        <f t="shared" si="0"/>
        <v/>
      </c>
      <c r="B69" s="12"/>
      <c r="C69" s="12"/>
      <c r="D69" s="57"/>
      <c r="E69" s="57"/>
      <c r="F69" s="95" t="str">
        <f>IFERROR(VLOOKUP(B69,tblPeople[],14,FALSE),"")</f>
        <v/>
      </c>
      <c r="G69" s="12"/>
      <c r="H69" s="74">
        <v>53</v>
      </c>
      <c r="I69" s="12" t="str">
        <f ca="1"/>
        <v>MUHA01</v>
      </c>
      <c r="J69" s="12" t="str">
        <f ca="1"/>
        <v>Prudence Muhami</v>
      </c>
      <c r="K69" s="29">
        <f ca="1"/>
        <v>46155</v>
      </c>
      <c r="L69" s="29">
        <f ca="1"/>
        <v>46886</v>
      </c>
      <c r="M69" s="12">
        <f ca="1"/>
        <v>600</v>
      </c>
      <c r="N69" s="12" t="str">
        <f ca="1"/>
        <v>OK</v>
      </c>
      <c r="O69" s="65">
        <v>53</v>
      </c>
      <c r="P69" s="12"/>
    </row>
    <row r="70" spans="1:16" s="8" customFormat="1" ht="14.25" x14ac:dyDescent="0.25">
      <c r="A70" s="65" t="str">
        <f t="shared" si="0"/>
        <v/>
      </c>
      <c r="B70" s="12"/>
      <c r="C70" s="12"/>
      <c r="D70" s="57"/>
      <c r="E70" s="57"/>
      <c r="F70" s="95" t="str">
        <f>IFERROR(VLOOKUP(B70,tblPeople[],14,FALSE),"")</f>
        <v/>
      </c>
      <c r="G70" s="12"/>
      <c r="H70" s="74">
        <v>54</v>
      </c>
      <c r="I70" s="12" t="str">
        <f ca="1"/>
        <v>IKIL01</v>
      </c>
      <c r="J70" s="12" t="str">
        <f ca="1"/>
        <v>Venessa Ikileng'</v>
      </c>
      <c r="K70" s="29">
        <f ca="1"/>
        <v>46155</v>
      </c>
      <c r="L70" s="29">
        <f ca="1"/>
        <v>46886</v>
      </c>
      <c r="M70" s="12">
        <f ca="1"/>
        <v>600</v>
      </c>
      <c r="N70" s="12" t="str">
        <f ca="1"/>
        <v>OK</v>
      </c>
      <c r="O70" s="65">
        <v>54</v>
      </c>
      <c r="P70" s="12"/>
    </row>
    <row r="71" spans="1:16" s="8" customFormat="1" ht="14.25" x14ac:dyDescent="0.25">
      <c r="A71" s="65" t="str">
        <f t="shared" si="0"/>
        <v/>
      </c>
      <c r="B71" s="12"/>
      <c r="C71" s="12"/>
      <c r="D71" s="57"/>
      <c r="E71" s="57"/>
      <c r="F71" s="95" t="str">
        <f>IFERROR(VLOOKUP(B71,tblPeople[],14,FALSE),"")</f>
        <v/>
      </c>
      <c r="G71" s="12"/>
      <c r="H71" s="74">
        <v>55</v>
      </c>
      <c r="I71" s="12" t="str">
        <f ca="1"/>
        <v>KEME01</v>
      </c>
      <c r="J71" s="12" t="str">
        <f ca="1"/>
        <v xml:space="preserve">Edwin Kemei </v>
      </c>
      <c r="K71" s="29">
        <f ca="1"/>
        <v>46184</v>
      </c>
      <c r="L71" s="29">
        <f ca="1"/>
        <v>46915</v>
      </c>
      <c r="M71" s="12">
        <f ca="1"/>
        <v>629</v>
      </c>
      <c r="N71" s="12" t="str">
        <f ca="1"/>
        <v>OK</v>
      </c>
      <c r="O71" s="65">
        <v>55</v>
      </c>
      <c r="P71" s="12"/>
    </row>
    <row r="72" spans="1:16" s="8" customFormat="1" ht="14.25" x14ac:dyDescent="0.25">
      <c r="A72" s="65" t="str">
        <f t="shared" si="0"/>
        <v/>
      </c>
      <c r="B72" s="12"/>
      <c r="C72" s="12"/>
      <c r="D72" s="57"/>
      <c r="E72" s="57"/>
      <c r="F72" s="95" t="str">
        <f>IFERROR(VLOOKUP(B72,tblPeople[],14,FALSE),"")</f>
        <v/>
      </c>
      <c r="G72" s="12"/>
      <c r="H72" s="74">
        <v>56</v>
      </c>
      <c r="I72" s="12" t="str">
        <f ca="1"/>
        <v>MUGO01</v>
      </c>
      <c r="J72" s="12" t="str">
        <f ca="1"/>
        <v>James Mugo</v>
      </c>
      <c r="K72" s="29">
        <f ca="1"/>
        <v>46184</v>
      </c>
      <c r="L72" s="29">
        <f ca="1"/>
        <v>46915</v>
      </c>
      <c r="M72" s="12">
        <f ca="1"/>
        <v>629</v>
      </c>
      <c r="N72" s="12" t="str">
        <f ca="1"/>
        <v>OK</v>
      </c>
      <c r="O72" s="65">
        <v>56</v>
      </c>
      <c r="P72" s="12"/>
    </row>
    <row r="73" spans="1:16" s="8" customFormat="1" ht="14.25" x14ac:dyDescent="0.25">
      <c r="A73" s="65" t="str">
        <f t="shared" si="0"/>
        <v/>
      </c>
      <c r="B73" s="12"/>
      <c r="C73" s="12"/>
      <c r="D73" s="57"/>
      <c r="E73" s="57"/>
      <c r="F73" s="95" t="str">
        <f>IFERROR(VLOOKUP(B73,tblPeople[],14,FALSE),"")</f>
        <v/>
      </c>
      <c r="G73" s="12"/>
      <c r="H73" s="74">
        <v>57</v>
      </c>
      <c r="I73" s="12" t="str">
        <f ca="1"/>
        <v>NJIH01</v>
      </c>
      <c r="J73" s="12" t="str">
        <f ca="1"/>
        <v>Michael Njihia</v>
      </c>
      <c r="K73" s="29">
        <f ca="1"/>
        <v>46184</v>
      </c>
      <c r="L73" s="29">
        <f ca="1"/>
        <v>46915</v>
      </c>
      <c r="M73" s="12">
        <f ca="1"/>
        <v>629</v>
      </c>
      <c r="N73" s="12" t="str">
        <f ca="1"/>
        <v>OK</v>
      </c>
      <c r="O73" s="65">
        <v>57</v>
      </c>
      <c r="P73" s="12"/>
    </row>
    <row r="74" spans="1:16" s="8" customFormat="1" ht="14.25" x14ac:dyDescent="0.25">
      <c r="A74" s="65" t="str">
        <f t="shared" si="0"/>
        <v/>
      </c>
      <c r="B74" s="12"/>
      <c r="C74" s="12"/>
      <c r="D74" s="57"/>
      <c r="E74" s="57"/>
      <c r="F74" s="95" t="str">
        <f>IFERROR(VLOOKUP(B74,tblPeople[],14,FALSE),"")</f>
        <v/>
      </c>
      <c r="G74" s="12"/>
      <c r="H74" s="74">
        <v>58</v>
      </c>
      <c r="I74" s="12" t="str">
        <f ca="1"/>
        <v>OKOT01</v>
      </c>
      <c r="J74" s="12" t="str">
        <f ca="1"/>
        <v>Samuel Okoth</v>
      </c>
      <c r="K74" s="29">
        <f ca="1"/>
        <v>46184</v>
      </c>
      <c r="L74" s="29">
        <f ca="1"/>
        <v>46915</v>
      </c>
      <c r="M74" s="12">
        <f ca="1"/>
        <v>629</v>
      </c>
      <c r="N74" s="12" t="str">
        <f ca="1"/>
        <v>OK</v>
      </c>
      <c r="O74" s="65">
        <v>58</v>
      </c>
      <c r="P74" s="12"/>
    </row>
    <row r="75" spans="1:16" s="8" customFormat="1" ht="14.25" x14ac:dyDescent="0.25">
      <c r="A75" s="65" t="str">
        <f t="shared" si="0"/>
        <v/>
      </c>
      <c r="B75" s="12"/>
      <c r="C75" s="12"/>
      <c r="D75" s="57"/>
      <c r="E75" s="57"/>
      <c r="F75" s="95" t="str">
        <f>IFERROR(VLOOKUP(B75,tblPeople[],14,FALSE),"")</f>
        <v/>
      </c>
      <c r="G75" s="12"/>
      <c r="H75" s="74">
        <v>59</v>
      </c>
      <c r="I75" s="12" t="str">
        <f ca="1"/>
        <v>SAWE01</v>
      </c>
      <c r="J75" s="12" t="str">
        <f ca="1"/>
        <v>Sydney Sawe</v>
      </c>
      <c r="K75" s="29">
        <f ca="1"/>
        <v>46184</v>
      </c>
      <c r="L75" s="29">
        <f ca="1"/>
        <v>46915</v>
      </c>
      <c r="M75" s="12">
        <f ca="1"/>
        <v>629</v>
      </c>
      <c r="N75" s="12" t="str">
        <f ca="1"/>
        <v>OK</v>
      </c>
      <c r="O75" s="103"/>
      <c r="P75" s="12"/>
    </row>
    <row r="76" spans="1:16" s="8" customFormat="1" ht="14.25" x14ac:dyDescent="0.2">
      <c r="A76" s="65" t="str">
        <f t="shared" si="0"/>
        <v/>
      </c>
      <c r="B76" s="12"/>
      <c r="C76" s="12"/>
      <c r="D76" s="57"/>
      <c r="E76" s="57"/>
      <c r="F76" s="95" t="str">
        <f>IFERROR(VLOOKUP(B76,tblPeople[],14,FALSE),"")</f>
        <v/>
      </c>
      <c r="G76" s="12"/>
      <c r="H76" s="103"/>
      <c r="I76" s="12" t="str">
        <f ca="1"/>
        <v>MONG01</v>
      </c>
      <c r="J76" s="12" t="str">
        <f ca="1"/>
        <v>Thadeus Mong’are</v>
      </c>
      <c r="K76" s="29">
        <f ca="1"/>
        <v>46184</v>
      </c>
      <c r="L76" s="29">
        <f ca="1"/>
        <v>46915</v>
      </c>
      <c r="M76" s="12">
        <f ca="1"/>
        <v>629</v>
      </c>
      <c r="N76" s="12" t="str">
        <f ca="1"/>
        <v>OK</v>
      </c>
      <c r="O76" s="103"/>
      <c r="P76" s="12"/>
    </row>
    <row r="77" spans="1:16" s="8" customFormat="1" ht="14.25" x14ac:dyDescent="0.2">
      <c r="A77" s="65" t="str">
        <f t="shared" si="0"/>
        <v/>
      </c>
      <c r="B77" s="12"/>
      <c r="C77" s="12"/>
      <c r="D77" s="57"/>
      <c r="E77" s="57"/>
      <c r="F77" s="95" t="str">
        <f>IFERROR(VLOOKUP(B77,tblPeople[],14,FALSE),"")</f>
        <v/>
      </c>
      <c r="G77" s="12"/>
      <c r="H77" s="103"/>
      <c r="I77" s="12" t="str">
        <f ca="1"/>
        <v>WAMB01</v>
      </c>
      <c r="J77" s="12" t="str">
        <f ca="1"/>
        <v>Thomas Wambunya</v>
      </c>
      <c r="K77" s="29">
        <f ca="1"/>
        <v>46184</v>
      </c>
      <c r="L77" s="29">
        <f ca="1"/>
        <v>46915</v>
      </c>
      <c r="M77" s="12">
        <f ca="1"/>
        <v>629</v>
      </c>
      <c r="N77" s="12" t="str">
        <f ca="1"/>
        <v>OK</v>
      </c>
      <c r="O77" s="103"/>
      <c r="P77" s="12"/>
    </row>
    <row r="78" spans="1:16" s="8" customFormat="1" ht="14.25" x14ac:dyDescent="0.2">
      <c r="A78" s="65" t="str">
        <f t="shared" si="0"/>
        <v/>
      </c>
      <c r="B78" s="12"/>
      <c r="C78" s="12"/>
      <c r="D78" s="57"/>
      <c r="E78" s="57"/>
      <c r="F78" s="95" t="str">
        <f>IFERROR(VLOOKUP(B78,tblPeople[],14,FALSE),"")</f>
        <v/>
      </c>
      <c r="G78" s="12"/>
      <c r="H78" s="103"/>
      <c r="I78" s="12" t="str">
        <f ca="1"/>
        <v>SHUN01</v>
      </c>
      <c r="J78" s="12" t="str">
        <f ca="1"/>
        <v>Titus Shunza</v>
      </c>
      <c r="K78" s="29">
        <f ca="1"/>
        <v>46184</v>
      </c>
      <c r="L78" s="29">
        <f ca="1"/>
        <v>46915</v>
      </c>
      <c r="M78" s="12">
        <f ca="1"/>
        <v>629</v>
      </c>
      <c r="N78" s="12" t="str">
        <f ca="1"/>
        <v>OK</v>
      </c>
      <c r="O78" s="103"/>
      <c r="P78" s="12"/>
    </row>
    <row r="79" spans="1:16" s="8" customFormat="1" ht="14.25" x14ac:dyDescent="0.2">
      <c r="A79" s="65" t="str">
        <f t="shared" si="0"/>
        <v/>
      </c>
      <c r="B79" s="12"/>
      <c r="C79" s="12"/>
      <c r="D79" s="57"/>
      <c r="E79" s="57"/>
      <c r="F79" s="95" t="str">
        <f>IFERROR(VLOOKUP(B79,tblPeople[],14,FALSE),"")</f>
        <v/>
      </c>
      <c r="G79" s="12"/>
      <c r="H79" s="103"/>
      <c r="I79" s="12" t="str">
        <f ca="1"/>
        <v>AVED01</v>
      </c>
      <c r="J79" s="12" t="str">
        <f ca="1"/>
        <v>Alex Avedi</v>
      </c>
      <c r="K79" s="29">
        <f ca="1"/>
        <v>46234</v>
      </c>
      <c r="L79" s="29">
        <f ca="1"/>
        <v>46965</v>
      </c>
      <c r="M79" s="12">
        <f ca="1"/>
        <v>679</v>
      </c>
      <c r="N79" s="12" t="str">
        <f ca="1"/>
        <v>OK</v>
      </c>
      <c r="O79" s="103"/>
      <c r="P79" s="12"/>
    </row>
    <row r="80" spans="1:16" s="8" customFormat="1" ht="14.25" x14ac:dyDescent="0.2">
      <c r="A80" s="65" t="str">
        <f t="shared" si="0"/>
        <v/>
      </c>
      <c r="B80" s="12"/>
      <c r="C80" s="12"/>
      <c r="D80" s="57"/>
      <c r="E80" s="57"/>
      <c r="F80" s="95" t="str">
        <f>IFERROR(VLOOKUP(B80,tblPeople[],14,FALSE),"")</f>
        <v/>
      </c>
      <c r="G80" s="12"/>
      <c r="H80" s="103"/>
      <c r="I80" s="12"/>
      <c r="J80" s="12"/>
      <c r="K80" s="29"/>
      <c r="L80" s="29"/>
      <c r="M80" s="12"/>
      <c r="N80" s="12"/>
      <c r="O80" s="103"/>
      <c r="P80" s="12"/>
    </row>
    <row r="81" spans="1:16" s="8" customFormat="1" ht="14.25" x14ac:dyDescent="0.2">
      <c r="A81" s="65" t="str">
        <f t="shared" si="0"/>
        <v/>
      </c>
      <c r="B81" s="12"/>
      <c r="C81" s="12"/>
      <c r="D81" s="57"/>
      <c r="E81" s="57"/>
      <c r="F81" s="95" t="str">
        <f>IFERROR(VLOOKUP(B81,tblPeople[],14,FALSE),"")</f>
        <v/>
      </c>
      <c r="G81" s="12"/>
      <c r="H81" s="103"/>
      <c r="I81" s="12"/>
      <c r="J81" s="12"/>
      <c r="K81" s="29"/>
      <c r="L81" s="29"/>
      <c r="M81" s="12"/>
      <c r="N81" s="12"/>
      <c r="O81" s="103"/>
      <c r="P81" s="12"/>
    </row>
    <row r="82" spans="1:16" s="8" customFormat="1" ht="14.25" x14ac:dyDescent="0.2">
      <c r="A82" s="65" t="str">
        <f t="shared" ref="A82:A145" si="1">IF(B82=ISBLANK(""),"",A81+1)</f>
        <v/>
      </c>
      <c r="B82" s="12"/>
      <c r="C82" s="12"/>
      <c r="D82" s="57"/>
      <c r="E82" s="57"/>
      <c r="F82" s="95" t="str">
        <f>IFERROR(VLOOKUP(B82,tblPeople[],14,FALSE),"")</f>
        <v/>
      </c>
      <c r="G82" s="12"/>
      <c r="H82" s="103"/>
      <c r="I82" s="12"/>
      <c r="J82" s="12"/>
      <c r="K82" s="29"/>
      <c r="L82" s="29"/>
      <c r="M82" s="12"/>
      <c r="N82" s="12"/>
      <c r="O82" s="103"/>
      <c r="P82" s="12"/>
    </row>
    <row r="83" spans="1:16" s="8" customFormat="1" ht="14.25" x14ac:dyDescent="0.2">
      <c r="A83" s="65" t="str">
        <f t="shared" si="1"/>
        <v/>
      </c>
      <c r="B83" s="12"/>
      <c r="C83" s="12"/>
      <c r="D83" s="57"/>
      <c r="E83" s="57"/>
      <c r="F83" s="95" t="str">
        <f>IFERROR(VLOOKUP(B83,tblPeople[],14,FALSE),"")</f>
        <v/>
      </c>
      <c r="G83" s="12"/>
      <c r="H83" s="103"/>
      <c r="I83" s="12"/>
      <c r="J83" s="12"/>
      <c r="K83" s="29"/>
      <c r="L83" s="29"/>
      <c r="M83" s="12"/>
      <c r="N83" s="12"/>
      <c r="O83" s="103"/>
      <c r="P83" s="12"/>
    </row>
    <row r="84" spans="1:16" s="8" customFormat="1" ht="14.25" x14ac:dyDescent="0.2">
      <c r="A84" s="65" t="str">
        <f t="shared" si="1"/>
        <v/>
      </c>
      <c r="B84" s="12"/>
      <c r="C84" s="12"/>
      <c r="D84" s="57"/>
      <c r="E84" s="57"/>
      <c r="F84" s="95" t="str">
        <f>IFERROR(VLOOKUP(B84,tblPeople[],14,FALSE),"")</f>
        <v/>
      </c>
      <c r="G84" s="12"/>
      <c r="H84" s="103"/>
      <c r="I84" s="12"/>
      <c r="J84" s="12"/>
      <c r="K84" s="29"/>
      <c r="L84" s="29"/>
      <c r="M84" s="12"/>
      <c r="N84" s="12"/>
      <c r="O84" s="103"/>
      <c r="P84" s="12"/>
    </row>
    <row r="85" spans="1:16" s="8" customFormat="1" ht="14.25" x14ac:dyDescent="0.2">
      <c r="A85" s="65" t="str">
        <f t="shared" si="1"/>
        <v/>
      </c>
      <c r="B85" s="12"/>
      <c r="C85" s="12"/>
      <c r="D85" s="57"/>
      <c r="E85" s="57"/>
      <c r="F85" s="95" t="str">
        <f>IFERROR(VLOOKUP(B85,tblPeople[],14,FALSE),"")</f>
        <v/>
      </c>
      <c r="G85" s="12"/>
      <c r="H85" s="103"/>
      <c r="I85" s="12"/>
      <c r="J85" s="12"/>
      <c r="K85" s="29"/>
      <c r="L85" s="29"/>
      <c r="M85" s="12"/>
      <c r="N85" s="12"/>
      <c r="O85" s="103"/>
      <c r="P85" s="12"/>
    </row>
    <row r="86" spans="1:16" s="8" customFormat="1" ht="14.25" x14ac:dyDescent="0.2">
      <c r="A86" s="65" t="str">
        <f t="shared" si="1"/>
        <v/>
      </c>
      <c r="B86" s="12"/>
      <c r="C86" s="12"/>
      <c r="D86" s="57"/>
      <c r="E86" s="57"/>
      <c r="F86" s="95" t="str">
        <f>IFERROR(VLOOKUP(B86,tblPeople[],14,FALSE),"")</f>
        <v/>
      </c>
      <c r="G86" s="12"/>
      <c r="H86" s="103"/>
      <c r="I86" s="12"/>
      <c r="J86" s="12"/>
      <c r="K86" s="29"/>
      <c r="L86" s="29"/>
      <c r="M86" s="12"/>
      <c r="N86" s="12"/>
      <c r="O86" s="103"/>
      <c r="P86" s="12"/>
    </row>
    <row r="87" spans="1:16" s="8" customFormat="1" ht="14.25" x14ac:dyDescent="0.2">
      <c r="A87" s="65" t="str">
        <f t="shared" si="1"/>
        <v/>
      </c>
      <c r="B87" s="12"/>
      <c r="C87" s="12"/>
      <c r="D87" s="57"/>
      <c r="E87" s="57"/>
      <c r="F87" s="95" t="str">
        <f>IFERROR(VLOOKUP(B87,tblPeople[],14,FALSE),"")</f>
        <v/>
      </c>
      <c r="G87" s="12"/>
      <c r="H87" s="103"/>
      <c r="I87" s="12"/>
      <c r="J87" s="12"/>
      <c r="K87" s="29"/>
      <c r="L87" s="29"/>
      <c r="M87" s="12"/>
      <c r="N87" s="12"/>
      <c r="O87" s="103"/>
      <c r="P87" s="12"/>
    </row>
    <row r="88" spans="1:16" s="8" customFormat="1" ht="14.25" x14ac:dyDescent="0.2">
      <c r="A88" s="65" t="str">
        <f t="shared" si="1"/>
        <v/>
      </c>
      <c r="B88" s="12"/>
      <c r="C88" s="12"/>
      <c r="D88" s="57"/>
      <c r="E88" s="57"/>
      <c r="F88" s="95" t="str">
        <f>IFERROR(VLOOKUP(B88,tblPeople[],14,FALSE),"")</f>
        <v/>
      </c>
      <c r="G88" s="12"/>
      <c r="H88" s="103"/>
      <c r="I88" s="12"/>
      <c r="J88" s="12"/>
      <c r="K88" s="29"/>
      <c r="L88" s="29"/>
      <c r="M88" s="12"/>
      <c r="N88" s="12"/>
      <c r="O88" s="103"/>
      <c r="P88" s="12"/>
    </row>
    <row r="89" spans="1:16" s="8" customFormat="1" ht="14.25" x14ac:dyDescent="0.2">
      <c r="A89" s="65" t="str">
        <f t="shared" si="1"/>
        <v/>
      </c>
      <c r="B89" s="12"/>
      <c r="C89" s="12"/>
      <c r="D89" s="57"/>
      <c r="E89" s="57"/>
      <c r="F89" s="95" t="str">
        <f>IFERROR(VLOOKUP(B89,tblPeople[],14,FALSE),"")</f>
        <v/>
      </c>
      <c r="G89" s="12"/>
      <c r="H89" s="103"/>
      <c r="I89" s="12"/>
      <c r="J89" s="12"/>
      <c r="K89" s="29"/>
      <c r="L89" s="29"/>
      <c r="M89" s="12"/>
      <c r="N89" s="12"/>
      <c r="O89" s="103"/>
      <c r="P89" s="12"/>
    </row>
    <row r="90" spans="1:16" s="8" customFormat="1" ht="14.25" x14ac:dyDescent="0.2">
      <c r="A90" s="65" t="str">
        <f t="shared" si="1"/>
        <v/>
      </c>
      <c r="B90" s="12"/>
      <c r="C90" s="12"/>
      <c r="D90" s="57"/>
      <c r="E90" s="57"/>
      <c r="F90" s="95" t="str">
        <f>IFERROR(VLOOKUP(B90,tblPeople[],14,FALSE),"")</f>
        <v/>
      </c>
      <c r="G90" s="12"/>
      <c r="H90" s="103"/>
      <c r="I90" s="12"/>
      <c r="J90" s="12"/>
      <c r="K90" s="29"/>
      <c r="L90" s="29"/>
      <c r="M90" s="12"/>
      <c r="N90" s="12"/>
      <c r="O90" s="103"/>
      <c r="P90" s="12"/>
    </row>
    <row r="91" spans="1:16" s="8" customFormat="1" ht="14.25" x14ac:dyDescent="0.2">
      <c r="A91" s="65" t="str">
        <f t="shared" si="1"/>
        <v/>
      </c>
      <c r="B91" s="12"/>
      <c r="C91" s="12"/>
      <c r="D91" s="57"/>
      <c r="E91" s="57"/>
      <c r="F91" s="95" t="str">
        <f>IFERROR(VLOOKUP(B91,tblPeople[],14,FALSE),"")</f>
        <v/>
      </c>
      <c r="G91" s="12"/>
      <c r="H91" s="103"/>
      <c r="I91" s="12"/>
      <c r="J91" s="12"/>
      <c r="K91" s="29"/>
      <c r="L91" s="29"/>
      <c r="M91" s="12"/>
      <c r="N91" s="12"/>
      <c r="O91" s="103"/>
      <c r="P91" s="12"/>
    </row>
    <row r="92" spans="1:16" s="8" customFormat="1" ht="14.25" x14ac:dyDescent="0.2">
      <c r="A92" s="65" t="str">
        <f t="shared" si="1"/>
        <v/>
      </c>
      <c r="B92" s="12"/>
      <c r="C92" s="12"/>
      <c r="D92" s="57"/>
      <c r="E92" s="57"/>
      <c r="F92" s="95" t="str">
        <f>IFERROR(VLOOKUP(B92,tblPeople[],14,FALSE),"")</f>
        <v/>
      </c>
      <c r="G92" s="12"/>
      <c r="H92" s="103"/>
      <c r="I92" s="12"/>
      <c r="J92" s="12"/>
      <c r="K92" s="29"/>
      <c r="L92" s="29"/>
      <c r="M92" s="12"/>
      <c r="N92" s="12"/>
      <c r="O92" s="103"/>
      <c r="P92" s="12"/>
    </row>
    <row r="93" spans="1:16" s="8" customFormat="1" ht="14.25" x14ac:dyDescent="0.2">
      <c r="A93" s="65" t="str">
        <f t="shared" si="1"/>
        <v/>
      </c>
      <c r="B93" s="12"/>
      <c r="C93" s="12"/>
      <c r="D93" s="57"/>
      <c r="E93" s="57"/>
      <c r="F93" s="95" t="str">
        <f>IFERROR(VLOOKUP(B93,tblPeople[],14,FALSE),"")</f>
        <v/>
      </c>
      <c r="G93" s="12"/>
      <c r="H93" s="103"/>
      <c r="I93" s="12"/>
      <c r="J93" s="12"/>
      <c r="K93" s="29"/>
      <c r="L93" s="29"/>
      <c r="M93" s="12"/>
      <c r="N93" s="12"/>
      <c r="O93" s="103"/>
      <c r="P93" s="12"/>
    </row>
    <row r="94" spans="1:16" s="8" customFormat="1" ht="14.25" x14ac:dyDescent="0.2">
      <c r="A94" s="65" t="str">
        <f t="shared" si="1"/>
        <v/>
      </c>
      <c r="B94" s="12"/>
      <c r="C94" s="12"/>
      <c r="D94" s="57"/>
      <c r="E94" s="57"/>
      <c r="F94" s="95" t="str">
        <f>IFERROR(VLOOKUP(B94,tblPeople[],14,FALSE),"")</f>
        <v/>
      </c>
      <c r="G94" s="12"/>
      <c r="H94" s="103"/>
      <c r="I94" s="12"/>
      <c r="J94" s="12"/>
      <c r="K94" s="29"/>
      <c r="L94" s="29"/>
      <c r="M94" s="12"/>
      <c r="N94" s="12"/>
      <c r="O94" s="103"/>
      <c r="P94" s="12"/>
    </row>
    <row r="95" spans="1:16" s="8" customFormat="1" ht="14.25" x14ac:dyDescent="0.2">
      <c r="A95" s="65" t="str">
        <f t="shared" si="1"/>
        <v/>
      </c>
      <c r="B95" s="12"/>
      <c r="C95" s="12"/>
      <c r="D95" s="57"/>
      <c r="E95" s="57"/>
      <c r="F95" s="95" t="str">
        <f>IFERROR(VLOOKUP(B95,tblPeople[],14,FALSE),"")</f>
        <v/>
      </c>
      <c r="G95" s="12"/>
      <c r="H95" s="103"/>
      <c r="I95" s="12"/>
      <c r="J95" s="12"/>
      <c r="K95" s="29"/>
      <c r="L95" s="29"/>
      <c r="M95" s="12"/>
      <c r="N95" s="12"/>
      <c r="O95" s="103"/>
      <c r="P95" s="12"/>
    </row>
    <row r="96" spans="1:16" s="8" customFormat="1" ht="14.25" x14ac:dyDescent="0.2">
      <c r="A96" s="65" t="str">
        <f t="shared" si="1"/>
        <v/>
      </c>
      <c r="B96" s="12"/>
      <c r="C96" s="12"/>
      <c r="D96" s="57"/>
      <c r="E96" s="57"/>
      <c r="F96" s="95" t="str">
        <f>IFERROR(VLOOKUP(B96,tblPeople[],14,FALSE),"")</f>
        <v/>
      </c>
      <c r="G96" s="12"/>
      <c r="H96" s="103"/>
      <c r="I96" s="12"/>
      <c r="J96" s="12"/>
      <c r="K96" s="29"/>
      <c r="L96" s="29"/>
      <c r="M96" s="12"/>
      <c r="N96" s="12"/>
      <c r="O96" s="103"/>
      <c r="P96" s="12"/>
    </row>
    <row r="97" spans="1:16" s="8" customFormat="1" ht="14.25" x14ac:dyDescent="0.2">
      <c r="A97" s="65" t="str">
        <f t="shared" si="1"/>
        <v/>
      </c>
      <c r="B97" s="12"/>
      <c r="C97" s="12"/>
      <c r="D97" s="57"/>
      <c r="E97" s="57"/>
      <c r="F97" s="95" t="str">
        <f>IFERROR(VLOOKUP(B97,tblPeople[],14,FALSE),"")</f>
        <v/>
      </c>
      <c r="G97" s="12"/>
      <c r="H97" s="103"/>
      <c r="I97" s="12"/>
      <c r="J97" s="12"/>
      <c r="K97" s="29"/>
      <c r="L97" s="29"/>
      <c r="M97" s="12"/>
      <c r="N97" s="12"/>
      <c r="O97" s="103"/>
      <c r="P97" s="12"/>
    </row>
    <row r="98" spans="1:16" s="8" customFormat="1" ht="14.25" x14ac:dyDescent="0.2">
      <c r="A98" s="65" t="str">
        <f t="shared" si="1"/>
        <v/>
      </c>
      <c r="B98" s="12"/>
      <c r="C98" s="12"/>
      <c r="D98" s="57"/>
      <c r="E98" s="57"/>
      <c r="F98" s="95" t="str">
        <f>IFERROR(VLOOKUP(B98,tblPeople[],14,FALSE),"")</f>
        <v/>
      </c>
      <c r="G98" s="12"/>
      <c r="H98" s="103"/>
      <c r="I98" s="12"/>
      <c r="J98" s="12"/>
      <c r="K98" s="29"/>
      <c r="L98" s="29"/>
      <c r="M98" s="12"/>
      <c r="N98" s="12"/>
      <c r="O98" s="103"/>
      <c r="P98" s="12"/>
    </row>
    <row r="99" spans="1:16" s="8" customFormat="1" ht="14.25" x14ac:dyDescent="0.2">
      <c r="A99" s="65" t="str">
        <f t="shared" si="1"/>
        <v/>
      </c>
      <c r="B99" s="12"/>
      <c r="C99" s="12"/>
      <c r="D99" s="57"/>
      <c r="E99" s="57"/>
      <c r="F99" s="95" t="str">
        <f>IFERROR(VLOOKUP(B99,tblPeople[],14,FALSE),"")</f>
        <v/>
      </c>
      <c r="G99" s="12"/>
      <c r="H99" s="103"/>
      <c r="I99" s="12"/>
      <c r="J99" s="12"/>
      <c r="K99" s="29"/>
      <c r="L99" s="29"/>
      <c r="M99" s="12"/>
      <c r="N99" s="12"/>
      <c r="O99" s="103"/>
      <c r="P99" s="12"/>
    </row>
    <row r="100" spans="1:16" s="8" customFormat="1" ht="14.25" x14ac:dyDescent="0.2">
      <c r="A100" s="65" t="str">
        <f t="shared" si="1"/>
        <v/>
      </c>
      <c r="B100" s="12"/>
      <c r="C100" s="12"/>
      <c r="D100" s="57"/>
      <c r="E100" s="57"/>
      <c r="F100" s="95" t="str">
        <f>IFERROR(VLOOKUP(B100,tblPeople[],14,FALSE),"")</f>
        <v/>
      </c>
      <c r="G100" s="12"/>
      <c r="H100" s="103"/>
      <c r="I100" s="12"/>
      <c r="J100" s="12"/>
      <c r="K100" s="29"/>
      <c r="L100" s="29"/>
      <c r="M100" s="12"/>
      <c r="N100" s="12"/>
      <c r="O100" s="103"/>
      <c r="P100" s="12"/>
    </row>
    <row r="101" spans="1:16" s="8" customFormat="1" ht="14.25" x14ac:dyDescent="0.2">
      <c r="A101" s="65" t="str">
        <f t="shared" si="1"/>
        <v/>
      </c>
      <c r="B101" s="12"/>
      <c r="C101" s="12"/>
      <c r="D101" s="57"/>
      <c r="E101" s="57"/>
      <c r="F101" s="95" t="str">
        <f>IFERROR(VLOOKUP(B101,tblPeople[],14,FALSE),"")</f>
        <v/>
      </c>
      <c r="G101" s="12"/>
      <c r="H101" s="103"/>
      <c r="I101" s="12"/>
      <c r="J101" s="12"/>
      <c r="K101" s="29"/>
      <c r="L101" s="29"/>
      <c r="M101" s="12"/>
      <c r="N101" s="12"/>
      <c r="O101" s="103"/>
      <c r="P101" s="12"/>
    </row>
    <row r="102" spans="1:16" s="8" customFormat="1" ht="14.25" x14ac:dyDescent="0.2">
      <c r="A102" s="65" t="str">
        <f t="shared" si="1"/>
        <v/>
      </c>
      <c r="B102" s="12"/>
      <c r="C102" s="12"/>
      <c r="D102" s="57"/>
      <c r="E102" s="57"/>
      <c r="F102" s="95" t="str">
        <f>IFERROR(VLOOKUP(B102,tblPeople[],14,FALSE),"")</f>
        <v/>
      </c>
      <c r="G102" s="12"/>
      <c r="H102" s="103"/>
      <c r="I102" s="12"/>
      <c r="J102" s="12"/>
      <c r="K102" s="29"/>
      <c r="L102" s="29"/>
      <c r="M102" s="12"/>
      <c r="N102" s="12"/>
      <c r="O102" s="103"/>
      <c r="P102" s="12"/>
    </row>
    <row r="103" spans="1:16" s="8" customFormat="1" ht="14.25" x14ac:dyDescent="0.2">
      <c r="A103" s="65" t="str">
        <f t="shared" si="1"/>
        <v/>
      </c>
      <c r="B103" s="12"/>
      <c r="C103" s="12"/>
      <c r="D103" s="57"/>
      <c r="E103" s="57"/>
      <c r="F103" s="95" t="str">
        <f>IFERROR(VLOOKUP(B103,tblPeople[],14,FALSE),"")</f>
        <v/>
      </c>
      <c r="G103" s="12"/>
      <c r="H103" s="103"/>
      <c r="I103" s="12"/>
      <c r="J103" s="12"/>
      <c r="K103" s="29"/>
      <c r="L103" s="29"/>
      <c r="M103" s="12"/>
      <c r="N103" s="12"/>
      <c r="O103" s="103"/>
      <c r="P103" s="12"/>
    </row>
    <row r="104" spans="1:16" s="8" customFormat="1" ht="14.25" x14ac:dyDescent="0.2">
      <c r="A104" s="65" t="str">
        <f t="shared" si="1"/>
        <v/>
      </c>
      <c r="B104" s="12"/>
      <c r="C104" s="12"/>
      <c r="D104" s="57"/>
      <c r="E104" s="57"/>
      <c r="F104" s="95" t="str">
        <f>IFERROR(VLOOKUP(B104,tblPeople[],14,FALSE),"")</f>
        <v/>
      </c>
      <c r="G104" s="12"/>
      <c r="H104" s="103"/>
      <c r="I104" s="12"/>
      <c r="J104" s="12"/>
      <c r="K104" s="29"/>
      <c r="L104" s="29"/>
      <c r="M104" s="12"/>
      <c r="N104" s="12"/>
      <c r="O104" s="103"/>
      <c r="P104" s="12"/>
    </row>
    <row r="105" spans="1:16" s="8" customFormat="1" ht="14.25" x14ac:dyDescent="0.2">
      <c r="A105" s="65" t="str">
        <f t="shared" si="1"/>
        <v/>
      </c>
      <c r="B105" s="12"/>
      <c r="C105" s="12"/>
      <c r="D105" s="57"/>
      <c r="E105" s="57"/>
      <c r="F105" s="95" t="str">
        <f>IFERROR(VLOOKUP(B105,tblPeople[],14,FALSE),"")</f>
        <v/>
      </c>
      <c r="G105" s="12"/>
      <c r="H105" s="103"/>
      <c r="I105" s="12"/>
      <c r="J105" s="12"/>
      <c r="K105" s="29"/>
      <c r="L105" s="29"/>
      <c r="M105" s="12"/>
      <c r="N105" s="12"/>
      <c r="O105" s="103"/>
      <c r="P105" s="12"/>
    </row>
    <row r="106" spans="1:16" s="8" customFormat="1" ht="14.25" x14ac:dyDescent="0.2">
      <c r="A106" s="65" t="str">
        <f t="shared" si="1"/>
        <v/>
      </c>
      <c r="B106" s="12"/>
      <c r="C106" s="12"/>
      <c r="D106" s="57"/>
      <c r="E106" s="57"/>
      <c r="F106" s="95" t="str">
        <f>IFERROR(VLOOKUP(B106,tblPeople[],14,FALSE),"")</f>
        <v/>
      </c>
      <c r="G106" s="12"/>
      <c r="H106" s="103"/>
      <c r="I106" s="12"/>
      <c r="J106" s="12"/>
      <c r="K106" s="29"/>
      <c r="L106" s="29"/>
      <c r="M106" s="12"/>
      <c r="N106" s="12"/>
      <c r="O106" s="103"/>
      <c r="P106" s="12"/>
    </row>
    <row r="107" spans="1:16" s="8" customFormat="1" ht="14.25" x14ac:dyDescent="0.2">
      <c r="A107" s="65" t="str">
        <f t="shared" si="1"/>
        <v/>
      </c>
      <c r="B107" s="12"/>
      <c r="C107" s="12"/>
      <c r="D107" s="57"/>
      <c r="E107" s="57"/>
      <c r="F107" s="95" t="str">
        <f>IFERROR(VLOOKUP(B107,tblPeople[],14,FALSE),"")</f>
        <v/>
      </c>
      <c r="G107" s="12"/>
      <c r="H107" s="103"/>
      <c r="I107" s="12"/>
      <c r="J107" s="12"/>
      <c r="K107" s="29"/>
      <c r="L107" s="29"/>
      <c r="M107" s="12"/>
      <c r="N107" s="12"/>
      <c r="O107" s="103"/>
      <c r="P107" s="12"/>
    </row>
    <row r="108" spans="1:16" s="8" customFormat="1" ht="14.25" x14ac:dyDescent="0.2">
      <c r="A108" s="65" t="str">
        <f t="shared" si="1"/>
        <v/>
      </c>
      <c r="B108" s="12"/>
      <c r="C108" s="12"/>
      <c r="D108" s="57"/>
      <c r="E108" s="57"/>
      <c r="F108" s="95" t="str">
        <f>IFERROR(VLOOKUP(B108,tblPeople[],14,FALSE),"")</f>
        <v/>
      </c>
      <c r="G108" s="12"/>
      <c r="H108" s="103"/>
      <c r="I108" s="12"/>
      <c r="J108" s="12"/>
      <c r="K108" s="29"/>
      <c r="L108" s="29"/>
      <c r="M108" s="12"/>
      <c r="N108" s="12"/>
      <c r="O108" s="103"/>
      <c r="P108" s="12"/>
    </row>
    <row r="109" spans="1:16" s="8" customFormat="1" ht="14.25" x14ac:dyDescent="0.2">
      <c r="A109" s="65" t="str">
        <f t="shared" si="1"/>
        <v/>
      </c>
      <c r="B109" s="12"/>
      <c r="C109" s="12"/>
      <c r="D109" s="57"/>
      <c r="E109" s="57"/>
      <c r="F109" s="95" t="str">
        <f>IFERROR(VLOOKUP(B109,tblPeople[],14,FALSE),"")</f>
        <v/>
      </c>
      <c r="G109" s="12"/>
      <c r="H109" s="103"/>
      <c r="I109" s="12"/>
      <c r="J109" s="12"/>
      <c r="K109" s="29"/>
      <c r="L109" s="29"/>
      <c r="M109" s="12"/>
      <c r="N109" s="12"/>
      <c r="O109" s="103"/>
      <c r="P109" s="12"/>
    </row>
    <row r="110" spans="1:16" s="8" customFormat="1" ht="14.25" x14ac:dyDescent="0.2">
      <c r="A110" s="65" t="str">
        <f t="shared" si="1"/>
        <v/>
      </c>
      <c r="B110" s="12"/>
      <c r="C110" s="12"/>
      <c r="D110" s="57"/>
      <c r="E110" s="57"/>
      <c r="F110" s="95" t="str">
        <f>IFERROR(VLOOKUP(B110,tblPeople[],14,FALSE),"")</f>
        <v/>
      </c>
      <c r="G110" s="12"/>
      <c r="H110" s="103"/>
      <c r="I110" s="12"/>
      <c r="J110" s="12"/>
      <c r="K110" s="29"/>
      <c r="L110" s="29"/>
      <c r="M110" s="12"/>
      <c r="N110" s="12"/>
      <c r="O110" s="103"/>
      <c r="P110" s="12"/>
    </row>
    <row r="111" spans="1:16" s="8" customFormat="1" ht="14.25" x14ac:dyDescent="0.2">
      <c r="A111" s="65" t="str">
        <f t="shared" si="1"/>
        <v/>
      </c>
      <c r="B111" s="12"/>
      <c r="C111" s="12"/>
      <c r="D111" s="57"/>
      <c r="E111" s="57"/>
      <c r="F111" s="95" t="str">
        <f>IFERROR(VLOOKUP(B111,tblPeople[],14,FALSE),"")</f>
        <v/>
      </c>
      <c r="G111" s="12"/>
      <c r="H111" s="103"/>
      <c r="I111" s="12"/>
      <c r="J111" s="12"/>
      <c r="K111" s="29"/>
      <c r="L111" s="29"/>
      <c r="M111" s="12"/>
      <c r="N111" s="12"/>
      <c r="O111" s="103"/>
      <c r="P111" s="12"/>
    </row>
    <row r="112" spans="1:16" s="8" customFormat="1" ht="14.25" x14ac:dyDescent="0.2">
      <c r="A112" s="65" t="str">
        <f t="shared" si="1"/>
        <v/>
      </c>
      <c r="B112" s="12"/>
      <c r="C112" s="12"/>
      <c r="D112" s="57"/>
      <c r="E112" s="57"/>
      <c r="F112" s="95" t="str">
        <f>IFERROR(VLOOKUP(B112,tblPeople[],14,FALSE),"")</f>
        <v/>
      </c>
      <c r="G112" s="12"/>
      <c r="H112" s="103"/>
      <c r="I112" s="12"/>
      <c r="J112" s="12"/>
      <c r="K112" s="29"/>
      <c r="L112" s="29"/>
      <c r="M112" s="12"/>
      <c r="N112" s="12"/>
      <c r="O112" s="103"/>
      <c r="P112" s="12"/>
    </row>
    <row r="113" spans="1:16" s="8" customFormat="1" ht="14.25" x14ac:dyDescent="0.2">
      <c r="A113" s="65" t="str">
        <f t="shared" si="1"/>
        <v/>
      </c>
      <c r="B113" s="12"/>
      <c r="C113" s="12"/>
      <c r="D113" s="57"/>
      <c r="E113" s="57"/>
      <c r="F113" s="95" t="str">
        <f>IFERROR(VLOOKUP(B113,tblPeople[],14,FALSE),"")</f>
        <v/>
      </c>
      <c r="G113" s="12"/>
      <c r="H113" s="103"/>
      <c r="I113" s="12"/>
      <c r="J113" s="12"/>
      <c r="K113" s="29"/>
      <c r="L113" s="29"/>
      <c r="M113" s="12"/>
      <c r="N113" s="12"/>
      <c r="O113" s="103"/>
      <c r="P113" s="12"/>
    </row>
    <row r="114" spans="1:16" s="8" customFormat="1" ht="14.25" x14ac:dyDescent="0.2">
      <c r="A114" s="65" t="str">
        <f t="shared" si="1"/>
        <v/>
      </c>
      <c r="B114" s="12"/>
      <c r="C114" s="12"/>
      <c r="D114" s="57"/>
      <c r="E114" s="57"/>
      <c r="F114" s="95" t="str">
        <f>IFERROR(VLOOKUP(B114,tblPeople[],14,FALSE),"")</f>
        <v/>
      </c>
      <c r="G114" s="12"/>
      <c r="H114" s="103"/>
      <c r="I114" s="12"/>
      <c r="J114" s="12"/>
      <c r="K114" s="29"/>
      <c r="L114" s="29"/>
      <c r="M114" s="12"/>
      <c r="N114" s="12"/>
      <c r="O114" s="103"/>
      <c r="P114" s="12"/>
    </row>
    <row r="115" spans="1:16" s="8" customFormat="1" ht="14.25" x14ac:dyDescent="0.2">
      <c r="A115" s="65" t="str">
        <f t="shared" si="1"/>
        <v/>
      </c>
      <c r="B115" s="12"/>
      <c r="C115" s="12"/>
      <c r="D115" s="54"/>
      <c r="E115" s="54"/>
      <c r="F115" s="95" t="str">
        <f>IFERROR(VLOOKUP(B115,tblPeople[],14,FALSE),"")</f>
        <v/>
      </c>
      <c r="G115" s="12"/>
      <c r="H115" s="103"/>
      <c r="I115" s="12"/>
      <c r="J115" s="12"/>
      <c r="K115" s="29"/>
      <c r="L115" s="29"/>
      <c r="M115" s="12"/>
      <c r="N115" s="12"/>
      <c r="O115" s="103"/>
      <c r="P115" s="12"/>
    </row>
    <row r="116" spans="1:16" s="8" customFormat="1" ht="14.25" x14ac:dyDescent="0.2">
      <c r="A116" s="65" t="str">
        <f t="shared" si="1"/>
        <v/>
      </c>
      <c r="B116" s="12"/>
      <c r="C116" s="12"/>
      <c r="D116" s="54"/>
      <c r="E116" s="54"/>
      <c r="F116" s="95" t="str">
        <f>IFERROR(VLOOKUP(B116,tblPeople[],14,FALSE),"")</f>
        <v/>
      </c>
      <c r="G116" s="12"/>
      <c r="H116" s="103"/>
      <c r="I116" s="12"/>
      <c r="J116" s="12"/>
      <c r="K116" s="12"/>
      <c r="L116" s="29"/>
      <c r="M116" s="12"/>
      <c r="N116" s="12"/>
      <c r="O116" s="103"/>
      <c r="P116" s="12"/>
    </row>
    <row r="117" spans="1:16" s="8" customFormat="1" ht="14.25" x14ac:dyDescent="0.2">
      <c r="A117" s="65" t="str">
        <f t="shared" si="1"/>
        <v/>
      </c>
      <c r="B117" s="12"/>
      <c r="C117" s="12"/>
      <c r="D117" s="54"/>
      <c r="E117" s="54"/>
      <c r="F117" s="95" t="str">
        <f>IFERROR(VLOOKUP(B117,tblPeople[],14,FALSE),"")</f>
        <v/>
      </c>
      <c r="G117" s="12"/>
      <c r="H117" s="103"/>
      <c r="I117" s="12"/>
      <c r="J117" s="12"/>
      <c r="K117" s="12"/>
      <c r="L117" s="12"/>
      <c r="M117" s="12"/>
      <c r="N117" s="12"/>
      <c r="O117" s="103"/>
      <c r="P117" s="12"/>
    </row>
    <row r="118" spans="1:16" s="8" customFormat="1" ht="14.25" x14ac:dyDescent="0.2">
      <c r="A118" s="65" t="str">
        <f t="shared" si="1"/>
        <v/>
      </c>
      <c r="B118" s="12"/>
      <c r="C118" s="12"/>
      <c r="D118" s="54"/>
      <c r="E118" s="54"/>
      <c r="F118" s="95" t="str">
        <f>IFERROR(VLOOKUP(B118,tblPeople[],14,FALSE),"")</f>
        <v/>
      </c>
      <c r="G118" s="12"/>
      <c r="H118" s="103"/>
      <c r="I118" s="12"/>
      <c r="J118" s="12"/>
      <c r="K118" s="12"/>
      <c r="L118" s="12"/>
      <c r="M118" s="12"/>
      <c r="N118" s="12"/>
      <c r="O118" s="103"/>
      <c r="P118" s="12"/>
    </row>
    <row r="119" spans="1:16" s="8" customFormat="1" ht="14.25" x14ac:dyDescent="0.2">
      <c r="A119" s="65" t="str">
        <f t="shared" si="1"/>
        <v/>
      </c>
      <c r="B119" s="12"/>
      <c r="C119" s="12"/>
      <c r="D119" s="54"/>
      <c r="E119" s="54"/>
      <c r="F119" s="95" t="str">
        <f>IFERROR(VLOOKUP(B119,tblPeople[],14,FALSE),"")</f>
        <v/>
      </c>
      <c r="G119" s="12"/>
      <c r="H119" s="103"/>
      <c r="I119" s="12"/>
      <c r="J119" s="12"/>
      <c r="K119" s="12"/>
      <c r="L119" s="12"/>
      <c r="M119" s="12"/>
      <c r="N119" s="12"/>
      <c r="O119" s="103"/>
      <c r="P119" s="12"/>
    </row>
    <row r="120" spans="1:16" s="8" customFormat="1" ht="14.25" x14ac:dyDescent="0.2">
      <c r="A120" s="65" t="str">
        <f t="shared" si="1"/>
        <v/>
      </c>
      <c r="B120" s="12"/>
      <c r="C120" s="12"/>
      <c r="D120" s="54"/>
      <c r="E120" s="54"/>
      <c r="F120" s="95" t="str">
        <f>IFERROR(VLOOKUP(B120,tblPeople[],14,FALSE),"")</f>
        <v/>
      </c>
      <c r="G120" s="12"/>
      <c r="H120" s="103"/>
      <c r="I120" s="12"/>
      <c r="J120" s="12"/>
      <c r="K120" s="12"/>
      <c r="L120" s="12"/>
      <c r="M120" s="12"/>
      <c r="N120" s="12"/>
      <c r="O120" s="103"/>
      <c r="P120" s="12"/>
    </row>
    <row r="121" spans="1:16" s="8" customFormat="1" ht="14.25" x14ac:dyDescent="0.2">
      <c r="A121" s="65" t="str">
        <f t="shared" si="1"/>
        <v/>
      </c>
      <c r="B121" s="12"/>
      <c r="C121" s="12"/>
      <c r="D121" s="54"/>
      <c r="E121" s="54"/>
      <c r="F121" s="95" t="str">
        <f>IFERROR(VLOOKUP(B121,tblPeople[],14,FALSE),"")</f>
        <v/>
      </c>
      <c r="G121" s="12"/>
      <c r="H121" s="103"/>
      <c r="I121" s="12"/>
      <c r="J121" s="12"/>
      <c r="K121" s="12"/>
      <c r="L121" s="12"/>
      <c r="M121" s="12"/>
      <c r="N121" s="12"/>
      <c r="O121" s="103"/>
      <c r="P121" s="12"/>
    </row>
    <row r="122" spans="1:16" s="8" customFormat="1" ht="14.25" x14ac:dyDescent="0.2">
      <c r="A122" s="65" t="str">
        <f t="shared" si="1"/>
        <v/>
      </c>
      <c r="B122" s="12"/>
      <c r="C122" s="12"/>
      <c r="D122" s="54"/>
      <c r="E122" s="54"/>
      <c r="F122" s="95" t="str">
        <f>IFERROR(VLOOKUP(B122,tblPeople[],14,FALSE),"")</f>
        <v/>
      </c>
      <c r="G122" s="12"/>
      <c r="H122" s="103"/>
      <c r="I122" s="12"/>
      <c r="J122" s="12"/>
      <c r="K122" s="12"/>
      <c r="L122" s="12"/>
      <c r="M122" s="12"/>
      <c r="N122" s="12"/>
      <c r="O122" s="103"/>
      <c r="P122" s="12"/>
    </row>
    <row r="123" spans="1:16" s="8" customFormat="1" ht="14.25" x14ac:dyDescent="0.2">
      <c r="A123" s="65" t="str">
        <f t="shared" si="1"/>
        <v/>
      </c>
      <c r="B123" s="12"/>
      <c r="C123" s="12"/>
      <c r="D123" s="54"/>
      <c r="E123" s="54"/>
      <c r="F123" s="95" t="str">
        <f>IFERROR(VLOOKUP(B123,tblPeople[],14,FALSE),"")</f>
        <v/>
      </c>
      <c r="G123" s="12"/>
      <c r="H123" s="103"/>
      <c r="I123" s="12"/>
      <c r="J123" s="12"/>
      <c r="K123" s="12"/>
      <c r="L123" s="12"/>
      <c r="M123" s="12"/>
      <c r="N123" s="12"/>
      <c r="O123" s="103"/>
      <c r="P123" s="12"/>
    </row>
    <row r="124" spans="1:16" s="8" customFormat="1" ht="14.25" x14ac:dyDescent="0.2">
      <c r="A124" s="65" t="str">
        <f t="shared" si="1"/>
        <v/>
      </c>
      <c r="B124" s="12"/>
      <c r="C124" s="12"/>
      <c r="D124" s="54"/>
      <c r="E124" s="54"/>
      <c r="F124" s="95" t="str">
        <f>IFERROR(VLOOKUP(B124,tblPeople[],14,FALSE),"")</f>
        <v/>
      </c>
      <c r="G124" s="12"/>
      <c r="H124" s="103"/>
      <c r="I124" s="12"/>
      <c r="J124" s="12"/>
      <c r="K124" s="12"/>
      <c r="L124" s="12"/>
      <c r="M124" s="12"/>
      <c r="N124" s="12"/>
      <c r="O124" s="103"/>
      <c r="P124" s="12"/>
    </row>
    <row r="125" spans="1:16" s="8" customFormat="1" ht="14.25" x14ac:dyDescent="0.2">
      <c r="A125" s="65" t="str">
        <f t="shared" si="1"/>
        <v/>
      </c>
      <c r="B125" s="12"/>
      <c r="C125" s="12"/>
      <c r="D125" s="54"/>
      <c r="E125" s="54"/>
      <c r="F125" s="95" t="str">
        <f>IFERROR(VLOOKUP(B125,tblPeople[],14,FALSE),"")</f>
        <v/>
      </c>
      <c r="G125" s="12"/>
      <c r="H125" s="103"/>
      <c r="I125" s="12"/>
      <c r="J125" s="12"/>
      <c r="K125" s="12"/>
      <c r="L125" s="12"/>
      <c r="M125" s="12"/>
      <c r="N125" s="12"/>
      <c r="O125" s="103"/>
      <c r="P125" s="12"/>
    </row>
    <row r="126" spans="1:16" s="8" customFormat="1" ht="14.25" x14ac:dyDescent="0.2">
      <c r="A126" s="65" t="str">
        <f t="shared" si="1"/>
        <v/>
      </c>
      <c r="B126" s="12"/>
      <c r="C126" s="12"/>
      <c r="D126" s="54"/>
      <c r="E126" s="54"/>
      <c r="F126" s="95" t="str">
        <f>IFERROR(VLOOKUP(B126,tblPeople[],14,FALSE),"")</f>
        <v/>
      </c>
      <c r="G126" s="12"/>
      <c r="H126" s="103"/>
      <c r="I126" s="12"/>
      <c r="J126" s="12"/>
      <c r="K126" s="12"/>
      <c r="L126" s="12"/>
      <c r="M126" s="12"/>
      <c r="N126" s="12"/>
      <c r="O126" s="103"/>
      <c r="P126" s="12"/>
    </row>
    <row r="127" spans="1:16" s="8" customFormat="1" ht="14.25" x14ac:dyDescent="0.2">
      <c r="A127" s="65" t="str">
        <f t="shared" si="1"/>
        <v/>
      </c>
      <c r="B127" s="12"/>
      <c r="C127" s="12"/>
      <c r="D127" s="54"/>
      <c r="E127" s="54"/>
      <c r="F127" s="95" t="str">
        <f>IFERROR(VLOOKUP(B127,tblPeople[],14,FALSE),"")</f>
        <v/>
      </c>
      <c r="G127" s="12"/>
      <c r="H127" s="103"/>
      <c r="I127" s="12"/>
      <c r="J127" s="12"/>
      <c r="K127" s="12"/>
      <c r="L127" s="12"/>
      <c r="M127" s="12"/>
      <c r="N127" s="12"/>
      <c r="O127" s="103"/>
      <c r="P127" s="12"/>
    </row>
    <row r="128" spans="1:16" s="8" customFormat="1" ht="14.25" x14ac:dyDescent="0.2">
      <c r="A128" s="65" t="str">
        <f t="shared" si="1"/>
        <v/>
      </c>
      <c r="B128" s="12"/>
      <c r="C128" s="12"/>
      <c r="D128" s="54"/>
      <c r="E128" s="54"/>
      <c r="F128" s="95" t="str">
        <f>IFERROR(VLOOKUP(B128,tblPeople[],14,FALSE),"")</f>
        <v/>
      </c>
      <c r="G128" s="12"/>
      <c r="H128" s="103"/>
      <c r="I128" s="12"/>
      <c r="J128" s="12"/>
      <c r="K128" s="12"/>
      <c r="L128" s="12"/>
      <c r="M128" s="12"/>
      <c r="N128" s="12"/>
      <c r="O128" s="103"/>
      <c r="P128" s="12"/>
    </row>
    <row r="129" spans="1:16" s="8" customFormat="1" ht="14.25" x14ac:dyDescent="0.2">
      <c r="A129" s="65" t="str">
        <f t="shared" si="1"/>
        <v/>
      </c>
      <c r="B129" s="12"/>
      <c r="C129" s="12"/>
      <c r="D129" s="54"/>
      <c r="E129" s="54"/>
      <c r="F129" s="95" t="str">
        <f>IFERROR(VLOOKUP(B129,tblPeople[],14,FALSE),"")</f>
        <v/>
      </c>
      <c r="G129" s="12"/>
      <c r="H129" s="103"/>
      <c r="I129" s="12"/>
      <c r="J129" s="12"/>
      <c r="K129" s="12"/>
      <c r="L129" s="12"/>
      <c r="M129" s="12"/>
      <c r="N129" s="12"/>
      <c r="O129" s="103"/>
      <c r="P129" s="12"/>
    </row>
    <row r="130" spans="1:16" s="8" customFormat="1" ht="14.25" x14ac:dyDescent="0.2">
      <c r="A130" s="65" t="str">
        <f t="shared" si="1"/>
        <v/>
      </c>
      <c r="B130" s="12"/>
      <c r="C130" s="12"/>
      <c r="D130" s="54"/>
      <c r="E130" s="54"/>
      <c r="F130" s="95" t="str">
        <f>IFERROR(VLOOKUP(B130,tblPeople[],14,FALSE),"")</f>
        <v/>
      </c>
      <c r="G130" s="12"/>
      <c r="H130" s="103"/>
      <c r="I130" s="12"/>
      <c r="J130" s="12"/>
      <c r="K130" s="12"/>
      <c r="L130" s="12"/>
      <c r="M130" s="12"/>
      <c r="N130" s="12"/>
      <c r="O130" s="103"/>
      <c r="P130" s="12"/>
    </row>
    <row r="131" spans="1:16" s="8" customFormat="1" ht="14.25" x14ac:dyDescent="0.2">
      <c r="A131" s="65" t="str">
        <f t="shared" si="1"/>
        <v/>
      </c>
      <c r="B131" s="12"/>
      <c r="C131" s="12"/>
      <c r="D131" s="54"/>
      <c r="E131" s="54"/>
      <c r="F131" s="95" t="str">
        <f>IFERROR(VLOOKUP(B131,tblPeople[],14,FALSE),"")</f>
        <v/>
      </c>
      <c r="G131" s="12"/>
      <c r="H131" s="103"/>
      <c r="I131" s="12"/>
      <c r="J131" s="12"/>
      <c r="K131" s="12"/>
      <c r="L131" s="12"/>
      <c r="M131" s="12"/>
      <c r="N131" s="12"/>
      <c r="O131" s="103"/>
      <c r="P131" s="12"/>
    </row>
    <row r="132" spans="1:16" s="8" customFormat="1" ht="14.25" x14ac:dyDescent="0.2">
      <c r="A132" s="65" t="str">
        <f t="shared" si="1"/>
        <v/>
      </c>
      <c r="B132" s="12"/>
      <c r="C132" s="12"/>
      <c r="D132" s="54"/>
      <c r="E132" s="54"/>
      <c r="F132" s="95" t="str">
        <f>IFERROR(VLOOKUP(B132,tblPeople[],14,FALSE),"")</f>
        <v/>
      </c>
      <c r="G132" s="12"/>
      <c r="H132" s="103"/>
      <c r="I132" s="12"/>
      <c r="J132" s="12"/>
      <c r="K132" s="12"/>
      <c r="L132" s="12"/>
      <c r="M132" s="12"/>
      <c r="N132" s="12"/>
      <c r="O132" s="103"/>
      <c r="P132" s="12"/>
    </row>
    <row r="133" spans="1:16" s="8" customFormat="1" ht="14.25" x14ac:dyDescent="0.2">
      <c r="A133" s="65" t="str">
        <f t="shared" si="1"/>
        <v/>
      </c>
      <c r="B133" s="12"/>
      <c r="C133" s="12"/>
      <c r="D133" s="54"/>
      <c r="E133" s="54"/>
      <c r="F133" s="95" t="str">
        <f>IFERROR(VLOOKUP(B133,tblPeople[],14,FALSE),"")</f>
        <v/>
      </c>
      <c r="G133" s="12"/>
      <c r="H133" s="103"/>
      <c r="I133" s="12"/>
      <c r="J133" s="12"/>
      <c r="K133" s="12"/>
      <c r="L133" s="12"/>
      <c r="M133" s="12"/>
      <c r="N133" s="12"/>
      <c r="O133" s="103"/>
      <c r="P133" s="12"/>
    </row>
    <row r="134" spans="1:16" s="8" customFormat="1" ht="14.25" x14ac:dyDescent="0.2">
      <c r="A134" s="65" t="str">
        <f t="shared" si="1"/>
        <v/>
      </c>
      <c r="B134" s="12"/>
      <c r="C134" s="12"/>
      <c r="D134" s="54"/>
      <c r="E134" s="54"/>
      <c r="F134" s="95" t="str">
        <f>IFERROR(VLOOKUP(B134,tblPeople[],14,FALSE),"")</f>
        <v/>
      </c>
      <c r="G134" s="12"/>
      <c r="H134" s="103"/>
      <c r="I134" s="12"/>
      <c r="J134" s="12"/>
      <c r="K134" s="12"/>
      <c r="L134" s="12"/>
      <c r="M134" s="12"/>
      <c r="N134" s="12"/>
      <c r="O134" s="103"/>
      <c r="P134" s="12"/>
    </row>
    <row r="135" spans="1:16" s="8" customFormat="1" ht="14.25" x14ac:dyDescent="0.2">
      <c r="A135" s="65" t="str">
        <f t="shared" si="1"/>
        <v/>
      </c>
      <c r="B135" s="12"/>
      <c r="C135" s="12"/>
      <c r="D135" s="54"/>
      <c r="E135" s="54"/>
      <c r="F135" s="95" t="str">
        <f>IFERROR(VLOOKUP(B135,tblPeople[],14,FALSE),"")</f>
        <v/>
      </c>
      <c r="G135" s="12"/>
      <c r="H135" s="103"/>
      <c r="I135" s="12"/>
      <c r="J135" s="12"/>
      <c r="K135" s="12"/>
      <c r="L135" s="12"/>
      <c r="M135" s="12"/>
      <c r="N135" s="12"/>
      <c r="O135" s="103"/>
      <c r="P135" s="12"/>
    </row>
    <row r="136" spans="1:16" s="8" customFormat="1" ht="14.25" x14ac:dyDescent="0.2">
      <c r="A136" s="65" t="str">
        <f t="shared" si="1"/>
        <v/>
      </c>
      <c r="B136" s="12"/>
      <c r="C136" s="12"/>
      <c r="D136" s="54"/>
      <c r="E136" s="54"/>
      <c r="F136" s="95" t="str">
        <f>IFERROR(VLOOKUP(B136,tblPeople[],14,FALSE),"")</f>
        <v/>
      </c>
      <c r="G136" s="12"/>
      <c r="H136" s="103"/>
      <c r="I136" s="12"/>
      <c r="J136" s="12"/>
      <c r="K136" s="12"/>
      <c r="L136" s="12"/>
      <c r="M136" s="12"/>
      <c r="N136" s="12"/>
      <c r="O136" s="103"/>
      <c r="P136" s="12"/>
    </row>
    <row r="137" spans="1:16" s="8" customFormat="1" ht="14.25" x14ac:dyDescent="0.2">
      <c r="A137" s="65" t="str">
        <f t="shared" si="1"/>
        <v/>
      </c>
      <c r="B137" s="12"/>
      <c r="C137" s="12"/>
      <c r="D137" s="54"/>
      <c r="E137" s="54"/>
      <c r="F137" s="95" t="str">
        <f>IFERROR(VLOOKUP(B137,tblPeople[],14,FALSE),"")</f>
        <v/>
      </c>
      <c r="G137" s="12"/>
      <c r="H137" s="103"/>
      <c r="I137" s="12"/>
      <c r="J137" s="12"/>
      <c r="K137" s="12"/>
      <c r="L137" s="12"/>
      <c r="M137" s="12"/>
      <c r="N137" s="12"/>
      <c r="O137" s="103"/>
      <c r="P137" s="12"/>
    </row>
    <row r="138" spans="1:16" s="8" customFormat="1" ht="14.25" x14ac:dyDescent="0.2">
      <c r="A138" s="65" t="str">
        <f t="shared" si="1"/>
        <v/>
      </c>
      <c r="B138" s="12"/>
      <c r="C138" s="12"/>
      <c r="D138" s="54"/>
      <c r="E138" s="54"/>
      <c r="F138" s="95" t="str">
        <f>IFERROR(VLOOKUP(B138,tblPeople[],14,FALSE),"")</f>
        <v/>
      </c>
      <c r="G138" s="12"/>
      <c r="H138" s="103"/>
      <c r="I138" s="12"/>
      <c r="J138" s="12"/>
      <c r="K138" s="12"/>
      <c r="L138" s="12"/>
      <c r="M138" s="12"/>
      <c r="N138" s="12"/>
      <c r="O138" s="103"/>
      <c r="P138" s="12"/>
    </row>
    <row r="139" spans="1:16" s="8" customFormat="1" ht="14.25" x14ac:dyDescent="0.2">
      <c r="A139" s="65" t="str">
        <f t="shared" si="1"/>
        <v/>
      </c>
      <c r="B139" s="12"/>
      <c r="C139" s="12"/>
      <c r="D139" s="54"/>
      <c r="E139" s="54"/>
      <c r="F139" s="95" t="str">
        <f>IFERROR(VLOOKUP(B139,tblPeople[],14,FALSE),"")</f>
        <v/>
      </c>
      <c r="G139" s="12"/>
      <c r="H139" s="103"/>
      <c r="I139" s="12"/>
      <c r="J139" s="12"/>
      <c r="K139" s="12"/>
      <c r="L139" s="12"/>
      <c r="M139" s="12"/>
      <c r="N139" s="12"/>
      <c r="O139" s="103"/>
      <c r="P139" s="12"/>
    </row>
    <row r="140" spans="1:16" s="8" customFormat="1" ht="14.25" x14ac:dyDescent="0.2">
      <c r="A140" s="65" t="str">
        <f t="shared" si="1"/>
        <v/>
      </c>
      <c r="B140" s="12"/>
      <c r="C140" s="12"/>
      <c r="D140" s="54"/>
      <c r="E140" s="54"/>
      <c r="F140" s="95" t="str">
        <f>IFERROR(VLOOKUP(B140,tblPeople[],14,FALSE),"")</f>
        <v/>
      </c>
      <c r="G140" s="12"/>
      <c r="H140" s="103"/>
      <c r="I140" s="12"/>
      <c r="J140" s="12"/>
      <c r="K140" s="12"/>
      <c r="L140" s="12"/>
      <c r="M140" s="12"/>
      <c r="N140" s="12"/>
      <c r="O140" s="103"/>
      <c r="P140" s="12"/>
    </row>
    <row r="141" spans="1:16" s="8" customFormat="1" ht="14.25" x14ac:dyDescent="0.2">
      <c r="A141" s="65" t="str">
        <f t="shared" si="1"/>
        <v/>
      </c>
      <c r="B141" s="12"/>
      <c r="C141" s="12"/>
      <c r="D141" s="54"/>
      <c r="E141" s="54"/>
      <c r="F141" s="95" t="str">
        <f>IFERROR(VLOOKUP(B141,tblPeople[],14,FALSE),"")</f>
        <v/>
      </c>
      <c r="G141" s="12"/>
      <c r="H141" s="103"/>
      <c r="I141" s="12"/>
      <c r="J141" s="12"/>
      <c r="K141" s="12"/>
      <c r="L141" s="12"/>
      <c r="M141" s="12"/>
      <c r="N141" s="12"/>
      <c r="O141" s="103"/>
      <c r="P141" s="12"/>
    </row>
    <row r="142" spans="1:16" s="8" customFormat="1" ht="14.25" x14ac:dyDescent="0.2">
      <c r="A142" s="65" t="str">
        <f t="shared" si="1"/>
        <v/>
      </c>
      <c r="B142" s="12"/>
      <c r="C142" s="12"/>
      <c r="D142" s="54"/>
      <c r="E142" s="54"/>
      <c r="F142" s="95" t="str">
        <f>IFERROR(VLOOKUP(B142,tblPeople[],14,FALSE),"")</f>
        <v/>
      </c>
      <c r="G142" s="12"/>
      <c r="H142" s="103"/>
      <c r="I142" s="12"/>
      <c r="J142" s="12"/>
      <c r="K142" s="12"/>
      <c r="L142" s="12"/>
      <c r="M142" s="12"/>
      <c r="N142" s="12"/>
      <c r="O142" s="103"/>
      <c r="P142" s="12"/>
    </row>
    <row r="143" spans="1:16" s="8" customFormat="1" ht="14.25" x14ac:dyDescent="0.2">
      <c r="A143" s="65" t="str">
        <f t="shared" si="1"/>
        <v/>
      </c>
      <c r="B143" s="12"/>
      <c r="C143" s="12"/>
      <c r="D143" s="54"/>
      <c r="E143" s="54"/>
      <c r="F143" s="95" t="str">
        <f>IFERROR(VLOOKUP(B143,tblPeople[],14,FALSE),"")</f>
        <v/>
      </c>
      <c r="G143" s="12"/>
      <c r="H143" s="103"/>
      <c r="I143" s="12"/>
      <c r="J143" s="12"/>
      <c r="K143" s="12"/>
      <c r="L143" s="12"/>
      <c r="M143" s="12"/>
      <c r="N143" s="12"/>
      <c r="O143" s="103"/>
      <c r="P143" s="12"/>
    </row>
    <row r="144" spans="1:16" s="8" customFormat="1" ht="14.25" x14ac:dyDescent="0.2">
      <c r="A144" s="65" t="str">
        <f t="shared" si="1"/>
        <v/>
      </c>
      <c r="B144" s="12"/>
      <c r="C144" s="12"/>
      <c r="D144" s="54"/>
      <c r="E144" s="54"/>
      <c r="F144" s="95" t="str">
        <f>IFERROR(VLOOKUP(B144,tblPeople[],14,FALSE),"")</f>
        <v/>
      </c>
      <c r="G144" s="12"/>
      <c r="H144" s="103"/>
      <c r="I144" s="12"/>
      <c r="J144" s="12"/>
      <c r="K144" s="12"/>
      <c r="L144" s="12"/>
      <c r="M144" s="12"/>
      <c r="N144" s="12"/>
      <c r="O144" s="103"/>
      <c r="P144" s="12"/>
    </row>
    <row r="145" spans="1:16" s="8" customFormat="1" ht="14.25" x14ac:dyDescent="0.2">
      <c r="A145" s="65" t="str">
        <f t="shared" si="1"/>
        <v/>
      </c>
      <c r="B145" s="12"/>
      <c r="C145" s="12"/>
      <c r="D145" s="54"/>
      <c r="E145" s="54"/>
      <c r="F145" s="95" t="str">
        <f>IFERROR(VLOOKUP(B145,tblPeople[],14,FALSE),"")</f>
        <v/>
      </c>
      <c r="G145" s="12"/>
      <c r="H145" s="103"/>
      <c r="I145" s="12"/>
      <c r="J145" s="12"/>
      <c r="K145" s="12"/>
      <c r="L145" s="12"/>
      <c r="M145" s="12"/>
      <c r="N145" s="12"/>
      <c r="O145" s="103"/>
      <c r="P145" s="12"/>
    </row>
    <row r="146" spans="1:16" s="8" customFormat="1" ht="14.25" x14ac:dyDescent="0.2">
      <c r="A146" s="65" t="str">
        <f t="shared" ref="A146:A209" si="2">IF(B146=ISBLANK(""),"",A145+1)</f>
        <v/>
      </c>
      <c r="B146" s="12"/>
      <c r="C146" s="12"/>
      <c r="D146" s="54"/>
      <c r="E146" s="54"/>
      <c r="F146" s="95" t="str">
        <f>IFERROR(VLOOKUP(B146,tblPeople[],14,FALSE),"")</f>
        <v/>
      </c>
      <c r="G146" s="12"/>
      <c r="H146" s="103"/>
      <c r="I146" s="12"/>
      <c r="J146" s="12"/>
      <c r="K146" s="12"/>
      <c r="L146" s="12"/>
      <c r="M146" s="12"/>
      <c r="N146" s="12"/>
      <c r="O146" s="103"/>
      <c r="P146" s="12"/>
    </row>
    <row r="147" spans="1:16" s="8" customFormat="1" ht="14.25" x14ac:dyDescent="0.2">
      <c r="A147" s="65" t="str">
        <f t="shared" si="2"/>
        <v/>
      </c>
      <c r="B147" s="12"/>
      <c r="C147" s="12"/>
      <c r="D147" s="54"/>
      <c r="E147" s="54"/>
      <c r="F147" s="95" t="str">
        <f>IFERROR(VLOOKUP(B147,tblPeople[],14,FALSE),"")</f>
        <v/>
      </c>
      <c r="G147" s="12"/>
      <c r="H147" s="103"/>
      <c r="I147" s="12"/>
      <c r="J147" s="12"/>
      <c r="K147" s="12"/>
      <c r="L147" s="12"/>
      <c r="M147" s="12"/>
      <c r="N147" s="12"/>
      <c r="O147" s="103"/>
      <c r="P147" s="12"/>
    </row>
    <row r="148" spans="1:16" s="8" customFormat="1" ht="14.25" x14ac:dyDescent="0.2">
      <c r="A148" s="65" t="str">
        <f t="shared" si="2"/>
        <v/>
      </c>
      <c r="B148" s="12"/>
      <c r="C148" s="12"/>
      <c r="D148" s="54"/>
      <c r="E148" s="54"/>
      <c r="F148" s="95" t="str">
        <f>IFERROR(VLOOKUP(B148,tblPeople[],14,FALSE),"")</f>
        <v/>
      </c>
      <c r="G148" s="12"/>
      <c r="H148" s="103"/>
      <c r="I148" s="12"/>
      <c r="J148" s="12"/>
      <c r="K148" s="12"/>
      <c r="L148" s="12"/>
      <c r="M148" s="12"/>
      <c r="N148" s="12"/>
      <c r="O148" s="103"/>
      <c r="P148" s="12"/>
    </row>
    <row r="149" spans="1:16" s="8" customFormat="1" ht="14.25" x14ac:dyDescent="0.2">
      <c r="A149" s="65" t="str">
        <f t="shared" si="2"/>
        <v/>
      </c>
      <c r="B149" s="12"/>
      <c r="C149" s="12"/>
      <c r="D149" s="54"/>
      <c r="E149" s="54"/>
      <c r="F149" s="95" t="str">
        <f>IFERROR(VLOOKUP(B149,tblPeople[],14,FALSE),"")</f>
        <v/>
      </c>
      <c r="G149" s="12"/>
      <c r="H149" s="103"/>
      <c r="I149" s="12"/>
      <c r="J149" s="12"/>
      <c r="K149" s="12"/>
      <c r="L149" s="12"/>
      <c r="M149" s="12"/>
      <c r="N149" s="12"/>
      <c r="O149" s="103"/>
      <c r="P149" s="12"/>
    </row>
    <row r="150" spans="1:16" s="8" customFormat="1" ht="14.25" x14ac:dyDescent="0.2">
      <c r="A150" s="65" t="str">
        <f t="shared" si="2"/>
        <v/>
      </c>
      <c r="B150" s="12"/>
      <c r="C150" s="12"/>
      <c r="D150" s="54"/>
      <c r="E150" s="54"/>
      <c r="F150" s="95" t="str">
        <f>IFERROR(VLOOKUP(B150,tblPeople[],14,FALSE),"")</f>
        <v/>
      </c>
      <c r="G150" s="12"/>
      <c r="H150" s="103"/>
      <c r="I150" s="12"/>
      <c r="J150" s="12"/>
      <c r="K150" s="12"/>
      <c r="L150" s="12"/>
      <c r="M150" s="12"/>
      <c r="N150" s="12"/>
      <c r="O150" s="103"/>
      <c r="P150" s="12"/>
    </row>
    <row r="151" spans="1:16" s="8" customFormat="1" ht="14.25" x14ac:dyDescent="0.2">
      <c r="A151" s="65" t="str">
        <f t="shared" si="2"/>
        <v/>
      </c>
      <c r="B151" s="12"/>
      <c r="C151" s="12"/>
      <c r="D151" s="54"/>
      <c r="E151" s="54"/>
      <c r="F151" s="95" t="str">
        <f>IFERROR(VLOOKUP(B151,tblPeople[],14,FALSE),"")</f>
        <v/>
      </c>
      <c r="G151" s="12"/>
      <c r="H151" s="103"/>
      <c r="I151" s="12"/>
      <c r="J151" s="12"/>
      <c r="K151" s="12"/>
      <c r="L151" s="12"/>
      <c r="M151" s="12"/>
      <c r="N151" s="12"/>
      <c r="O151" s="103"/>
      <c r="P151" s="12"/>
    </row>
    <row r="152" spans="1:16" s="8" customFormat="1" ht="14.25" x14ac:dyDescent="0.2">
      <c r="A152" s="65" t="str">
        <f t="shared" si="2"/>
        <v/>
      </c>
      <c r="B152" s="12"/>
      <c r="C152" s="12"/>
      <c r="D152" s="54"/>
      <c r="E152" s="54"/>
      <c r="F152" s="95" t="str">
        <f>IFERROR(VLOOKUP(B152,tblPeople[],14,FALSE),"")</f>
        <v/>
      </c>
      <c r="G152" s="12"/>
      <c r="H152" s="103"/>
      <c r="I152" s="12"/>
      <c r="J152" s="12"/>
      <c r="K152" s="12"/>
      <c r="L152" s="12"/>
      <c r="M152" s="12"/>
      <c r="N152" s="12"/>
      <c r="O152" s="103"/>
      <c r="P152" s="12"/>
    </row>
    <row r="153" spans="1:16" s="8" customFormat="1" ht="14.25" x14ac:dyDescent="0.2">
      <c r="A153" s="65" t="str">
        <f t="shared" si="2"/>
        <v/>
      </c>
      <c r="B153" s="12"/>
      <c r="C153" s="12"/>
      <c r="D153" s="54"/>
      <c r="E153" s="54"/>
      <c r="F153" s="95" t="str">
        <f>IFERROR(VLOOKUP(B153,tblPeople[],14,FALSE),"")</f>
        <v/>
      </c>
      <c r="G153" s="12"/>
      <c r="H153" s="103"/>
      <c r="I153" s="12"/>
      <c r="J153" s="12"/>
      <c r="K153" s="12"/>
      <c r="L153" s="12"/>
      <c r="M153" s="12"/>
      <c r="N153" s="12"/>
      <c r="O153" s="103"/>
      <c r="P153" s="12"/>
    </row>
    <row r="154" spans="1:16" s="8" customFormat="1" ht="14.25" x14ac:dyDescent="0.2">
      <c r="A154" s="65" t="str">
        <f t="shared" si="2"/>
        <v/>
      </c>
      <c r="B154" s="12"/>
      <c r="C154" s="12"/>
      <c r="D154" s="54"/>
      <c r="E154" s="54"/>
      <c r="F154" s="95" t="str">
        <f>IFERROR(VLOOKUP(B154,tblPeople[],14,FALSE),"")</f>
        <v/>
      </c>
      <c r="G154" s="12"/>
      <c r="H154" s="103"/>
      <c r="I154" s="12"/>
      <c r="J154" s="12"/>
      <c r="K154" s="12"/>
      <c r="L154" s="12"/>
      <c r="M154" s="12"/>
      <c r="N154" s="12"/>
      <c r="O154" s="103"/>
      <c r="P154" s="12"/>
    </row>
    <row r="155" spans="1:16" s="8" customFormat="1" ht="14.25" x14ac:dyDescent="0.2">
      <c r="A155" s="65" t="str">
        <f t="shared" si="2"/>
        <v/>
      </c>
      <c r="B155" s="12"/>
      <c r="C155" s="12"/>
      <c r="D155" s="54"/>
      <c r="E155" s="54"/>
      <c r="F155" s="95" t="str">
        <f>IFERROR(VLOOKUP(B155,tblPeople[],14,FALSE),"")</f>
        <v/>
      </c>
      <c r="G155" s="12"/>
      <c r="H155" s="103"/>
      <c r="I155" s="12"/>
      <c r="J155" s="12"/>
      <c r="K155" s="12"/>
      <c r="L155" s="12"/>
      <c r="M155" s="12"/>
      <c r="N155" s="12"/>
      <c r="O155" s="103"/>
      <c r="P155" s="12"/>
    </row>
    <row r="156" spans="1:16" s="8" customFormat="1" ht="14.25" x14ac:dyDescent="0.2">
      <c r="A156" s="65" t="str">
        <f t="shared" si="2"/>
        <v/>
      </c>
      <c r="B156" s="12"/>
      <c r="C156" s="12"/>
      <c r="D156" s="54"/>
      <c r="E156" s="54"/>
      <c r="F156" s="95" t="str">
        <f>IFERROR(VLOOKUP(B156,tblPeople[],14,FALSE),"")</f>
        <v/>
      </c>
      <c r="G156" s="12"/>
      <c r="H156" s="103"/>
      <c r="I156" s="12"/>
      <c r="J156" s="12"/>
      <c r="K156" s="12"/>
      <c r="L156" s="12"/>
      <c r="M156" s="12"/>
      <c r="N156" s="12"/>
      <c r="O156" s="103"/>
      <c r="P156" s="12"/>
    </row>
    <row r="157" spans="1:16" s="8" customFormat="1" ht="14.25" x14ac:dyDescent="0.2">
      <c r="A157" s="65" t="str">
        <f t="shared" si="2"/>
        <v/>
      </c>
      <c r="B157" s="12"/>
      <c r="C157" s="12"/>
      <c r="D157" s="54"/>
      <c r="E157" s="54"/>
      <c r="F157" s="95" t="str">
        <f>IFERROR(VLOOKUP(B157,tblPeople[],14,FALSE),"")</f>
        <v/>
      </c>
      <c r="G157" s="12"/>
      <c r="H157" s="103"/>
      <c r="I157" s="12"/>
      <c r="J157" s="12"/>
      <c r="K157" s="12"/>
      <c r="L157" s="12"/>
      <c r="M157" s="12"/>
      <c r="N157" s="12"/>
      <c r="O157" s="103"/>
      <c r="P157" s="12"/>
    </row>
    <row r="158" spans="1:16" s="8" customFormat="1" ht="14.25" x14ac:dyDescent="0.2">
      <c r="A158" s="65" t="str">
        <f t="shared" si="2"/>
        <v/>
      </c>
      <c r="B158" s="12"/>
      <c r="C158" s="12"/>
      <c r="D158" s="54"/>
      <c r="E158" s="54"/>
      <c r="F158" s="95" t="str">
        <f>IFERROR(VLOOKUP(B158,tblPeople[],14,FALSE),"")</f>
        <v/>
      </c>
      <c r="G158" s="12"/>
      <c r="H158" s="103"/>
      <c r="I158" s="12"/>
      <c r="J158" s="12"/>
      <c r="K158" s="12"/>
      <c r="L158" s="12"/>
      <c r="M158" s="12"/>
      <c r="N158" s="12"/>
      <c r="O158" s="103"/>
      <c r="P158" s="12"/>
    </row>
    <row r="159" spans="1:16" s="8" customFormat="1" ht="14.25" x14ac:dyDescent="0.2">
      <c r="A159" s="65" t="str">
        <f t="shared" si="2"/>
        <v/>
      </c>
      <c r="B159" s="12"/>
      <c r="C159" s="12"/>
      <c r="D159" s="54"/>
      <c r="E159" s="54"/>
      <c r="F159" s="95" t="str">
        <f>IFERROR(VLOOKUP(B159,tblPeople[],14,FALSE),"")</f>
        <v/>
      </c>
      <c r="G159" s="12"/>
      <c r="H159" s="103"/>
      <c r="I159" s="12"/>
      <c r="J159" s="12"/>
      <c r="K159" s="12"/>
      <c r="L159" s="12"/>
      <c r="M159" s="12"/>
      <c r="N159" s="12"/>
      <c r="O159" s="103"/>
      <c r="P159" s="12"/>
    </row>
    <row r="160" spans="1:16" s="8" customFormat="1" ht="14.25" x14ac:dyDescent="0.2">
      <c r="A160" s="65" t="str">
        <f t="shared" si="2"/>
        <v/>
      </c>
      <c r="B160" s="12"/>
      <c r="C160" s="12"/>
      <c r="D160" s="54"/>
      <c r="E160" s="54"/>
      <c r="F160" s="95" t="str">
        <f>IFERROR(VLOOKUP(B160,tblPeople[],14,FALSE),"")</f>
        <v/>
      </c>
      <c r="G160" s="12"/>
      <c r="H160" s="103"/>
      <c r="I160" s="12"/>
      <c r="J160" s="12"/>
      <c r="K160" s="12"/>
      <c r="L160" s="12"/>
      <c r="M160" s="12"/>
      <c r="N160" s="12"/>
      <c r="O160" s="103"/>
      <c r="P160" s="12"/>
    </row>
    <row r="161" spans="1:16" s="8" customFormat="1" ht="14.25" x14ac:dyDescent="0.2">
      <c r="A161" s="65" t="str">
        <f t="shared" si="2"/>
        <v/>
      </c>
      <c r="B161" s="12"/>
      <c r="C161" s="12"/>
      <c r="D161" s="54"/>
      <c r="E161" s="54"/>
      <c r="F161" s="95" t="str">
        <f>IFERROR(VLOOKUP(B161,tblPeople[],14,FALSE),"")</f>
        <v/>
      </c>
      <c r="G161" s="12"/>
      <c r="H161" s="103"/>
      <c r="I161" s="12"/>
      <c r="J161" s="12"/>
      <c r="K161" s="12"/>
      <c r="L161" s="12"/>
      <c r="M161" s="12"/>
      <c r="N161" s="12"/>
      <c r="O161" s="103"/>
      <c r="P161" s="12"/>
    </row>
    <row r="162" spans="1:16" s="8" customFormat="1" ht="14.25" x14ac:dyDescent="0.2">
      <c r="A162" s="65" t="str">
        <f t="shared" si="2"/>
        <v/>
      </c>
      <c r="B162" s="12"/>
      <c r="C162" s="12"/>
      <c r="D162" s="54"/>
      <c r="E162" s="54"/>
      <c r="F162" s="95" t="str">
        <f>IFERROR(VLOOKUP(B162,tblPeople[],14,FALSE),"")</f>
        <v/>
      </c>
      <c r="G162" s="12"/>
      <c r="H162" s="103"/>
      <c r="I162" s="12"/>
      <c r="J162" s="12"/>
      <c r="K162" s="12"/>
      <c r="L162" s="12"/>
      <c r="M162" s="12"/>
      <c r="N162" s="12"/>
      <c r="O162" s="103"/>
      <c r="P162" s="12"/>
    </row>
    <row r="163" spans="1:16" s="8" customFormat="1" ht="14.25" x14ac:dyDescent="0.2">
      <c r="A163" s="65" t="str">
        <f t="shared" si="2"/>
        <v/>
      </c>
      <c r="B163" s="12"/>
      <c r="C163" s="12"/>
      <c r="D163" s="54"/>
      <c r="E163" s="54"/>
      <c r="F163" s="95" t="str">
        <f>IFERROR(VLOOKUP(B163,tblPeople[],14,FALSE),"")</f>
        <v/>
      </c>
      <c r="G163" s="12"/>
      <c r="H163" s="103"/>
      <c r="I163" s="12"/>
      <c r="J163" s="12"/>
      <c r="K163" s="12"/>
      <c r="L163" s="12"/>
      <c r="M163" s="12"/>
      <c r="N163" s="12"/>
      <c r="O163" s="103"/>
      <c r="P163" s="12"/>
    </row>
    <row r="164" spans="1:16" s="8" customFormat="1" ht="14.25" x14ac:dyDescent="0.2">
      <c r="A164" s="65" t="str">
        <f t="shared" si="2"/>
        <v/>
      </c>
      <c r="B164" s="12"/>
      <c r="C164" s="12"/>
      <c r="D164" s="54"/>
      <c r="E164" s="54"/>
      <c r="F164" s="95" t="str">
        <f>IFERROR(VLOOKUP(B164,tblPeople[],14,FALSE),"")</f>
        <v/>
      </c>
      <c r="G164" s="12"/>
      <c r="H164" s="103"/>
      <c r="I164" s="12"/>
      <c r="J164" s="12"/>
      <c r="K164" s="12"/>
      <c r="L164" s="12"/>
      <c r="M164" s="12"/>
      <c r="N164" s="12"/>
      <c r="O164" s="103"/>
      <c r="P164" s="12"/>
    </row>
    <row r="165" spans="1:16" x14ac:dyDescent="0.25">
      <c r="A165" s="65" t="str">
        <f t="shared" si="2"/>
        <v/>
      </c>
      <c r="F165" s="95" t="str">
        <f>IFERROR(VLOOKUP(B165,tblPeople[],14,FALSE),"")</f>
        <v/>
      </c>
      <c r="G165" s="11"/>
      <c r="H165" s="67"/>
      <c r="I165" s="11"/>
      <c r="J165" s="11"/>
      <c r="K165" s="11"/>
      <c r="L165" s="11"/>
      <c r="M165" s="11"/>
      <c r="N165" s="11"/>
      <c r="O165" s="67"/>
      <c r="P165" s="11"/>
    </row>
    <row r="166" spans="1:16" x14ac:dyDescent="0.25">
      <c r="A166" s="65" t="str">
        <f t="shared" si="2"/>
        <v/>
      </c>
      <c r="F166" s="95" t="str">
        <f>IFERROR(VLOOKUP(B166,tblPeople[],14,FALSE),"")</f>
        <v/>
      </c>
      <c r="G166" s="11"/>
      <c r="H166" s="67"/>
      <c r="I166" s="11"/>
      <c r="J166" s="11"/>
      <c r="K166" s="11"/>
      <c r="L166" s="11"/>
      <c r="M166" s="11"/>
      <c r="N166" s="11"/>
      <c r="O166" s="67"/>
      <c r="P166" s="11"/>
    </row>
    <row r="167" spans="1:16" x14ac:dyDescent="0.25">
      <c r="A167" s="65" t="str">
        <f t="shared" si="2"/>
        <v/>
      </c>
      <c r="F167" s="95" t="str">
        <f>IFERROR(VLOOKUP(B167,tblPeople[],14,FALSE),"")</f>
        <v/>
      </c>
      <c r="G167" s="11"/>
      <c r="H167" s="67"/>
      <c r="I167" s="11"/>
      <c r="J167" s="11"/>
      <c r="K167" s="11"/>
      <c r="L167" s="11"/>
      <c r="M167" s="11"/>
      <c r="N167" s="11"/>
      <c r="O167" s="67"/>
      <c r="P167" s="11"/>
    </row>
    <row r="168" spans="1:16" x14ac:dyDescent="0.25">
      <c r="A168" s="65" t="str">
        <f t="shared" si="2"/>
        <v/>
      </c>
      <c r="F168" s="95" t="str">
        <f>IFERROR(VLOOKUP(B168,tblPeople[],14,FALSE),"")</f>
        <v/>
      </c>
      <c r="G168" s="11"/>
      <c r="H168" s="67"/>
      <c r="I168" s="11"/>
      <c r="J168" s="11"/>
      <c r="K168" s="11"/>
      <c r="L168" s="11"/>
      <c r="M168" s="11"/>
      <c r="N168" s="11"/>
      <c r="O168" s="67"/>
      <c r="P168" s="11"/>
    </row>
    <row r="169" spans="1:16" x14ac:dyDescent="0.25">
      <c r="A169" s="65" t="str">
        <f t="shared" si="2"/>
        <v/>
      </c>
      <c r="F169" s="95" t="str">
        <f>IFERROR(VLOOKUP(B169,tblPeople[],14,FALSE),"")</f>
        <v/>
      </c>
      <c r="G169" s="11"/>
      <c r="H169" s="67"/>
      <c r="I169" s="11"/>
      <c r="J169" s="11"/>
      <c r="K169" s="11"/>
      <c r="L169" s="11"/>
      <c r="M169" s="11"/>
      <c r="N169" s="11"/>
      <c r="O169" s="67"/>
      <c r="P169" s="11"/>
    </row>
    <row r="170" spans="1:16" x14ac:dyDescent="0.25">
      <c r="A170" s="65" t="str">
        <f t="shared" si="2"/>
        <v/>
      </c>
      <c r="F170" s="95" t="str">
        <f>IFERROR(VLOOKUP(B170,tblPeople[],14,FALSE),"")</f>
        <v/>
      </c>
      <c r="G170" s="11"/>
      <c r="H170" s="67"/>
      <c r="I170" s="11"/>
      <c r="J170" s="11"/>
      <c r="K170" s="11"/>
      <c r="L170" s="11"/>
      <c r="M170" s="11"/>
      <c r="N170" s="11"/>
      <c r="O170" s="67"/>
      <c r="P170" s="11"/>
    </row>
    <row r="171" spans="1:16" x14ac:dyDescent="0.25">
      <c r="A171" s="65" t="str">
        <f t="shared" si="2"/>
        <v/>
      </c>
      <c r="F171" s="95" t="str">
        <f>IFERROR(VLOOKUP(B171,tblPeople[],14,FALSE),"")</f>
        <v/>
      </c>
      <c r="G171" s="11"/>
      <c r="H171" s="67"/>
      <c r="I171" s="11"/>
      <c r="J171" s="11"/>
      <c r="K171" s="11"/>
      <c r="L171" s="11"/>
      <c r="M171" s="11"/>
      <c r="N171" s="11"/>
      <c r="O171" s="67"/>
      <c r="P171" s="11"/>
    </row>
    <row r="172" spans="1:16" x14ac:dyDescent="0.25">
      <c r="A172" s="65" t="str">
        <f t="shared" si="2"/>
        <v/>
      </c>
      <c r="F172" s="95" t="str">
        <f>IFERROR(VLOOKUP(B172,tblPeople[],14,FALSE),"")</f>
        <v/>
      </c>
      <c r="G172" s="11"/>
      <c r="H172" s="67"/>
      <c r="I172" s="11"/>
      <c r="J172" s="11"/>
      <c r="K172" s="11"/>
      <c r="L172" s="11"/>
      <c r="M172" s="11"/>
      <c r="N172" s="11"/>
      <c r="O172" s="67"/>
      <c r="P172" s="11"/>
    </row>
    <row r="173" spans="1:16" x14ac:dyDescent="0.25">
      <c r="A173" s="65" t="str">
        <f t="shared" si="2"/>
        <v/>
      </c>
      <c r="F173" s="95" t="str">
        <f>IFERROR(VLOOKUP(B173,tblPeople[],14,FALSE),"")</f>
        <v/>
      </c>
      <c r="G173" s="11"/>
      <c r="H173" s="67"/>
      <c r="I173" s="11"/>
      <c r="J173" s="11"/>
      <c r="K173" s="11"/>
      <c r="L173" s="11"/>
      <c r="M173" s="11"/>
      <c r="N173" s="11"/>
      <c r="O173" s="67"/>
      <c r="P173" s="11"/>
    </row>
    <row r="174" spans="1:16" x14ac:dyDescent="0.25">
      <c r="A174" s="65" t="str">
        <f t="shared" si="2"/>
        <v/>
      </c>
      <c r="F174" s="95" t="str">
        <f>IFERROR(VLOOKUP(B174,tblPeople[],14,FALSE),"")</f>
        <v/>
      </c>
      <c r="G174" s="11"/>
      <c r="H174" s="67"/>
      <c r="I174" s="11"/>
      <c r="J174" s="11"/>
      <c r="K174" s="11"/>
      <c r="L174" s="11"/>
      <c r="M174" s="11"/>
      <c r="N174" s="11"/>
      <c r="O174" s="67"/>
      <c r="P174" s="11"/>
    </row>
    <row r="175" spans="1:16" x14ac:dyDescent="0.25">
      <c r="A175" s="65" t="str">
        <f t="shared" si="2"/>
        <v/>
      </c>
      <c r="F175" s="95" t="str">
        <f>IFERROR(VLOOKUP(B175,tblPeople[],14,FALSE),"")</f>
        <v/>
      </c>
      <c r="G175" s="11"/>
      <c r="H175" s="67"/>
      <c r="I175" s="11"/>
      <c r="J175" s="11"/>
      <c r="K175" s="11"/>
      <c r="L175" s="11"/>
      <c r="M175" s="11"/>
      <c r="N175" s="11"/>
      <c r="O175" s="67"/>
      <c r="P175" s="11"/>
    </row>
    <row r="176" spans="1:16" x14ac:dyDescent="0.25">
      <c r="A176" s="65" t="str">
        <f t="shared" si="2"/>
        <v/>
      </c>
      <c r="F176" s="95" t="str">
        <f>IFERROR(VLOOKUP(B176,tblPeople[],14,FALSE),"")</f>
        <v/>
      </c>
      <c r="G176" s="11"/>
      <c r="H176" s="67"/>
      <c r="I176" s="11"/>
      <c r="J176" s="11"/>
      <c r="K176" s="11"/>
      <c r="L176" s="11"/>
      <c r="M176" s="11"/>
      <c r="N176" s="11"/>
      <c r="O176" s="67"/>
      <c r="P176" s="11"/>
    </row>
    <row r="177" spans="1:16" x14ac:dyDescent="0.25">
      <c r="A177" s="65" t="str">
        <f t="shared" si="2"/>
        <v/>
      </c>
      <c r="F177" s="95" t="str">
        <f>IFERROR(VLOOKUP(B177,tblPeople[],14,FALSE),"")</f>
        <v/>
      </c>
      <c r="G177" s="11"/>
      <c r="H177" s="67"/>
      <c r="I177" s="11"/>
      <c r="J177" s="11"/>
      <c r="K177" s="11"/>
      <c r="L177" s="11"/>
      <c r="M177" s="11"/>
      <c r="N177" s="11"/>
      <c r="O177" s="67"/>
      <c r="P177" s="11"/>
    </row>
    <row r="178" spans="1:16" x14ac:dyDescent="0.25">
      <c r="A178" s="65" t="str">
        <f t="shared" si="2"/>
        <v/>
      </c>
      <c r="F178" s="95" t="str">
        <f>IFERROR(VLOOKUP(B178,tblPeople[],14,FALSE),"")</f>
        <v/>
      </c>
      <c r="G178" s="11"/>
      <c r="H178" s="67"/>
      <c r="I178" s="11"/>
      <c r="J178" s="11"/>
      <c r="K178" s="11"/>
      <c r="L178" s="11"/>
      <c r="M178" s="11"/>
      <c r="N178" s="11"/>
      <c r="O178" s="67"/>
      <c r="P178" s="11"/>
    </row>
    <row r="179" spans="1:16" x14ac:dyDescent="0.25">
      <c r="A179" s="65" t="str">
        <f t="shared" si="2"/>
        <v/>
      </c>
      <c r="F179" s="95" t="str">
        <f>IFERROR(VLOOKUP(B179,tblPeople[],14,FALSE),"")</f>
        <v/>
      </c>
      <c r="G179" s="11"/>
      <c r="H179" s="67"/>
      <c r="I179" s="11"/>
      <c r="J179" s="11"/>
      <c r="K179" s="11"/>
      <c r="L179" s="11"/>
      <c r="M179" s="11"/>
      <c r="N179" s="11"/>
      <c r="O179" s="67"/>
      <c r="P179" s="11"/>
    </row>
    <row r="180" spans="1:16" x14ac:dyDescent="0.25">
      <c r="A180" s="65" t="str">
        <f t="shared" si="2"/>
        <v/>
      </c>
      <c r="F180" s="95" t="str">
        <f>IFERROR(VLOOKUP(B180,tblPeople[],14,FALSE),"")</f>
        <v/>
      </c>
      <c r="G180" s="11"/>
      <c r="H180" s="67"/>
      <c r="I180" s="11"/>
      <c r="J180" s="11"/>
      <c r="K180" s="11"/>
      <c r="L180" s="11"/>
      <c r="M180" s="11"/>
      <c r="N180" s="11"/>
      <c r="O180" s="67"/>
      <c r="P180" s="11"/>
    </row>
    <row r="181" spans="1:16" x14ac:dyDescent="0.25">
      <c r="A181" s="65" t="str">
        <f t="shared" si="2"/>
        <v/>
      </c>
      <c r="F181" s="95" t="str">
        <f>IFERROR(VLOOKUP(B181,tblPeople[],14,FALSE),"")</f>
        <v/>
      </c>
      <c r="G181" s="11"/>
      <c r="H181" s="67"/>
      <c r="I181" s="11"/>
      <c r="J181" s="11"/>
      <c r="K181" s="11"/>
      <c r="L181" s="11"/>
      <c r="M181" s="11"/>
      <c r="N181" s="11"/>
      <c r="O181" s="67"/>
      <c r="P181" s="11"/>
    </row>
    <row r="182" spans="1:16" x14ac:dyDescent="0.25">
      <c r="A182" s="65" t="str">
        <f t="shared" si="2"/>
        <v/>
      </c>
      <c r="F182" s="95" t="str">
        <f>IFERROR(VLOOKUP(B182,tblPeople[],14,FALSE),"")</f>
        <v/>
      </c>
      <c r="G182" s="11"/>
      <c r="H182" s="67"/>
      <c r="I182" s="11"/>
      <c r="J182" s="11"/>
      <c r="K182" s="11"/>
      <c r="L182" s="11"/>
      <c r="M182" s="11"/>
      <c r="N182" s="11"/>
      <c r="O182" s="67"/>
      <c r="P182" s="11"/>
    </row>
    <row r="183" spans="1:16" x14ac:dyDescent="0.25">
      <c r="A183" s="65" t="str">
        <f t="shared" si="2"/>
        <v/>
      </c>
      <c r="F183" s="95" t="str">
        <f>IFERROR(VLOOKUP(B183,tblPeople[],14,FALSE),"")</f>
        <v/>
      </c>
      <c r="G183" s="11"/>
      <c r="H183" s="67"/>
      <c r="I183" s="11"/>
      <c r="J183" s="11"/>
      <c r="K183" s="11"/>
      <c r="L183" s="11"/>
      <c r="M183" s="11"/>
      <c r="N183" s="11"/>
      <c r="O183" s="67"/>
      <c r="P183" s="11"/>
    </row>
    <row r="184" spans="1:16" x14ac:dyDescent="0.25">
      <c r="A184" s="65" t="str">
        <f t="shared" si="2"/>
        <v/>
      </c>
      <c r="F184" s="95" t="str">
        <f>IFERROR(VLOOKUP(B184,tblPeople[],14,FALSE),"")</f>
        <v/>
      </c>
      <c r="G184" s="11"/>
      <c r="H184" s="67"/>
      <c r="I184" s="11"/>
      <c r="J184" s="11"/>
      <c r="K184" s="11"/>
      <c r="L184" s="11"/>
      <c r="M184" s="11"/>
      <c r="N184" s="11"/>
      <c r="O184" s="67"/>
      <c r="P184" s="11"/>
    </row>
    <row r="185" spans="1:16" x14ac:dyDescent="0.25">
      <c r="A185" s="65" t="str">
        <f t="shared" si="2"/>
        <v/>
      </c>
      <c r="F185" s="95" t="str">
        <f>IFERROR(VLOOKUP(B185,tblPeople[],14,FALSE),"")</f>
        <v/>
      </c>
      <c r="G185" s="11"/>
      <c r="H185" s="67"/>
      <c r="I185" s="11"/>
      <c r="J185" s="11"/>
      <c r="K185" s="11"/>
      <c r="L185" s="11"/>
      <c r="M185" s="11"/>
      <c r="N185" s="11"/>
      <c r="O185" s="67"/>
      <c r="P185" s="11"/>
    </row>
    <row r="186" spans="1:16" x14ac:dyDescent="0.25">
      <c r="A186" s="65" t="str">
        <f t="shared" si="2"/>
        <v/>
      </c>
      <c r="F186" s="95" t="str">
        <f>IFERROR(VLOOKUP(B186,tblPeople[],14,FALSE),"")</f>
        <v/>
      </c>
      <c r="G186" s="11"/>
      <c r="H186" s="67"/>
      <c r="I186" s="11"/>
      <c r="J186" s="11"/>
      <c r="K186" s="11"/>
      <c r="L186" s="11"/>
      <c r="M186" s="11"/>
      <c r="N186" s="11"/>
      <c r="O186" s="67"/>
      <c r="P186" s="11"/>
    </row>
    <row r="187" spans="1:16" x14ac:dyDescent="0.25">
      <c r="A187" s="65" t="str">
        <f t="shared" si="2"/>
        <v/>
      </c>
      <c r="F187" s="95" t="str">
        <f>IFERROR(VLOOKUP(B187,tblPeople[],14,FALSE),"")</f>
        <v/>
      </c>
      <c r="G187" s="11"/>
      <c r="H187" s="67"/>
      <c r="I187" s="11"/>
      <c r="J187" s="11"/>
      <c r="K187" s="11"/>
      <c r="L187" s="11"/>
      <c r="M187" s="11"/>
      <c r="N187" s="11"/>
      <c r="O187" s="67"/>
      <c r="P187" s="11"/>
    </row>
    <row r="188" spans="1:16" x14ac:dyDescent="0.25">
      <c r="A188" s="65" t="str">
        <f t="shared" si="2"/>
        <v/>
      </c>
      <c r="F188" s="95" t="str">
        <f>IFERROR(VLOOKUP(B188,tblPeople[],14,FALSE),"")</f>
        <v/>
      </c>
      <c r="G188" s="11"/>
      <c r="H188" s="67"/>
      <c r="I188" s="11"/>
      <c r="J188" s="11"/>
      <c r="K188" s="11"/>
      <c r="L188" s="11"/>
      <c r="M188" s="11"/>
      <c r="N188" s="11"/>
      <c r="O188" s="67"/>
      <c r="P188" s="11"/>
    </row>
    <row r="189" spans="1:16" x14ac:dyDescent="0.25">
      <c r="A189" s="65" t="str">
        <f t="shared" si="2"/>
        <v/>
      </c>
      <c r="F189" s="95" t="str">
        <f>IFERROR(VLOOKUP(B189,tblPeople[],14,FALSE),"")</f>
        <v/>
      </c>
      <c r="G189" s="11"/>
      <c r="H189" s="67"/>
      <c r="I189" s="11"/>
      <c r="J189" s="11"/>
      <c r="K189" s="11"/>
      <c r="L189" s="11"/>
      <c r="M189" s="11"/>
      <c r="N189" s="11"/>
      <c r="O189" s="67"/>
      <c r="P189" s="11"/>
    </row>
    <row r="190" spans="1:16" x14ac:dyDescent="0.25">
      <c r="A190" s="65" t="str">
        <f t="shared" si="2"/>
        <v/>
      </c>
      <c r="F190" s="95" t="str">
        <f>IFERROR(VLOOKUP(B190,tblPeople[],14,FALSE),"")</f>
        <v/>
      </c>
      <c r="G190" s="11"/>
      <c r="H190" s="67"/>
      <c r="I190" s="11"/>
      <c r="J190" s="11"/>
      <c r="K190" s="11"/>
      <c r="L190" s="11"/>
      <c r="M190" s="11"/>
      <c r="N190" s="11"/>
      <c r="O190" s="67"/>
      <c r="P190" s="11"/>
    </row>
    <row r="191" spans="1:16" x14ac:dyDescent="0.25">
      <c r="A191" s="65" t="str">
        <f t="shared" si="2"/>
        <v/>
      </c>
      <c r="F191" s="95" t="str">
        <f>IFERROR(VLOOKUP(B191,tblPeople[],14,FALSE),"")</f>
        <v/>
      </c>
      <c r="G191" s="11"/>
      <c r="H191" s="67"/>
      <c r="I191" s="11"/>
      <c r="J191" s="11"/>
      <c r="K191" s="11"/>
      <c r="L191" s="11"/>
      <c r="M191" s="11"/>
      <c r="N191" s="11"/>
      <c r="O191" s="67"/>
      <c r="P191" s="11"/>
    </row>
    <row r="192" spans="1:16" x14ac:dyDescent="0.25">
      <c r="A192" s="65" t="str">
        <f t="shared" si="2"/>
        <v/>
      </c>
      <c r="F192" s="95" t="str">
        <f>IFERROR(VLOOKUP(B192,tblPeople[],14,FALSE),"")</f>
        <v/>
      </c>
      <c r="G192" s="11"/>
      <c r="H192" s="67"/>
      <c r="I192" s="11"/>
      <c r="J192" s="11"/>
      <c r="K192" s="11"/>
      <c r="L192" s="11"/>
      <c r="M192" s="11"/>
      <c r="N192" s="11"/>
      <c r="O192" s="67"/>
      <c r="P192" s="11"/>
    </row>
    <row r="193" spans="1:16" x14ac:dyDescent="0.25">
      <c r="A193" s="65" t="str">
        <f t="shared" si="2"/>
        <v/>
      </c>
      <c r="F193" s="95" t="str">
        <f>IFERROR(VLOOKUP(B193,tblPeople[],14,FALSE),"")</f>
        <v/>
      </c>
      <c r="G193" s="11"/>
      <c r="H193" s="67"/>
      <c r="I193" s="11"/>
      <c r="J193" s="11"/>
      <c r="K193" s="11"/>
      <c r="L193" s="11"/>
      <c r="M193" s="11"/>
      <c r="N193" s="11"/>
      <c r="O193" s="67"/>
      <c r="P193" s="11"/>
    </row>
    <row r="194" spans="1:16" x14ac:dyDescent="0.25">
      <c r="A194" s="65" t="str">
        <f t="shared" si="2"/>
        <v/>
      </c>
      <c r="F194" s="95" t="str">
        <f>IFERROR(VLOOKUP(B194,tblPeople[],14,FALSE),"")</f>
        <v/>
      </c>
      <c r="G194" s="11"/>
      <c r="H194" s="67"/>
      <c r="I194" s="11"/>
      <c r="J194" s="11"/>
      <c r="K194" s="11"/>
      <c r="L194" s="11"/>
      <c r="M194" s="11"/>
      <c r="N194" s="11"/>
      <c r="O194" s="67"/>
      <c r="P194" s="11"/>
    </row>
    <row r="195" spans="1:16" x14ac:dyDescent="0.25">
      <c r="A195" s="65" t="str">
        <f t="shared" si="2"/>
        <v/>
      </c>
      <c r="F195" s="95" t="str">
        <f>IFERROR(VLOOKUP(B195,tblPeople[],14,FALSE),"")</f>
        <v/>
      </c>
      <c r="G195" s="11"/>
      <c r="H195" s="67"/>
      <c r="I195" s="11"/>
      <c r="J195" s="11"/>
      <c r="K195" s="11"/>
      <c r="L195" s="11"/>
      <c r="M195" s="11"/>
      <c r="N195" s="11"/>
      <c r="O195" s="67"/>
      <c r="P195" s="11"/>
    </row>
    <row r="196" spans="1:16" x14ac:dyDescent="0.25">
      <c r="A196" s="65" t="str">
        <f t="shared" si="2"/>
        <v/>
      </c>
      <c r="F196" s="95" t="str">
        <f>IFERROR(VLOOKUP(B196,tblPeople[],14,FALSE),"")</f>
        <v/>
      </c>
      <c r="G196" s="11"/>
      <c r="H196" s="67"/>
      <c r="I196" s="11"/>
      <c r="J196" s="11"/>
      <c r="K196" s="11"/>
      <c r="L196" s="11"/>
      <c r="M196" s="11"/>
      <c r="N196" s="11"/>
      <c r="O196" s="67"/>
      <c r="P196" s="11"/>
    </row>
    <row r="197" spans="1:16" x14ac:dyDescent="0.25">
      <c r="A197" s="65" t="str">
        <f t="shared" si="2"/>
        <v/>
      </c>
      <c r="F197" s="95" t="str">
        <f>IFERROR(VLOOKUP(B197,tblPeople[],14,FALSE),"")</f>
        <v/>
      </c>
      <c r="G197" s="11"/>
      <c r="H197" s="67"/>
      <c r="I197" s="11"/>
      <c r="J197" s="11"/>
      <c r="K197" s="11"/>
      <c r="L197" s="11"/>
      <c r="M197" s="11"/>
      <c r="N197" s="11"/>
      <c r="O197" s="67"/>
      <c r="P197" s="11"/>
    </row>
    <row r="198" spans="1:16" x14ac:dyDescent="0.25">
      <c r="A198" s="65" t="str">
        <f t="shared" si="2"/>
        <v/>
      </c>
      <c r="F198" s="95" t="str">
        <f>IFERROR(VLOOKUP(B198,tblPeople[],14,FALSE),"")</f>
        <v/>
      </c>
      <c r="G198" s="11"/>
      <c r="H198" s="67"/>
      <c r="I198" s="11"/>
      <c r="J198" s="11"/>
      <c r="K198" s="11"/>
      <c r="L198" s="11"/>
      <c r="M198" s="11"/>
      <c r="N198" s="11"/>
      <c r="O198" s="67"/>
      <c r="P198" s="11"/>
    </row>
    <row r="199" spans="1:16" x14ac:dyDescent="0.25">
      <c r="A199" s="65" t="str">
        <f t="shared" si="2"/>
        <v/>
      </c>
      <c r="F199" s="95" t="str">
        <f>IFERROR(VLOOKUP(B199,tblPeople[],14,FALSE),"")</f>
        <v/>
      </c>
      <c r="G199" s="11"/>
      <c r="H199" s="67"/>
      <c r="I199" s="11"/>
      <c r="J199" s="11"/>
      <c r="K199" s="11"/>
      <c r="L199" s="11"/>
      <c r="M199" s="11"/>
      <c r="N199" s="11"/>
      <c r="O199" s="67"/>
      <c r="P199" s="11"/>
    </row>
    <row r="200" spans="1:16" x14ac:dyDescent="0.25">
      <c r="A200" s="65" t="str">
        <f t="shared" si="2"/>
        <v/>
      </c>
      <c r="F200" s="95" t="str">
        <f>IFERROR(VLOOKUP(B200,tblPeople[],14,FALSE),"")</f>
        <v/>
      </c>
      <c r="G200" s="11"/>
      <c r="H200" s="67"/>
      <c r="I200" s="11"/>
      <c r="J200" s="11"/>
      <c r="K200" s="11"/>
      <c r="L200" s="11"/>
      <c r="M200" s="11"/>
      <c r="N200" s="11"/>
      <c r="O200" s="67"/>
      <c r="P200" s="11"/>
    </row>
    <row r="201" spans="1:16" x14ac:dyDescent="0.25">
      <c r="A201" s="65" t="str">
        <f t="shared" si="2"/>
        <v/>
      </c>
      <c r="F201" s="95" t="str">
        <f>IFERROR(VLOOKUP(B201,tblPeople[],14,FALSE),"")</f>
        <v/>
      </c>
      <c r="G201" s="11"/>
      <c r="H201" s="67"/>
      <c r="I201" s="11"/>
      <c r="J201" s="11"/>
      <c r="K201" s="11"/>
      <c r="L201" s="11"/>
      <c r="M201" s="11"/>
      <c r="N201" s="11"/>
      <c r="O201" s="67"/>
      <c r="P201" s="11"/>
    </row>
    <row r="202" spans="1:16" x14ac:dyDescent="0.25">
      <c r="A202" s="65" t="str">
        <f t="shared" si="2"/>
        <v/>
      </c>
      <c r="F202" s="95" t="str">
        <f>IFERROR(VLOOKUP(B202,tblPeople[],14,FALSE),"")</f>
        <v/>
      </c>
      <c r="G202" s="11"/>
      <c r="H202" s="67"/>
      <c r="I202" s="11"/>
      <c r="J202" s="11"/>
      <c r="K202" s="11"/>
      <c r="L202" s="11"/>
      <c r="M202" s="11"/>
      <c r="N202" s="11"/>
      <c r="O202" s="67"/>
      <c r="P202" s="11"/>
    </row>
    <row r="203" spans="1:16" x14ac:dyDescent="0.25">
      <c r="A203" s="65" t="str">
        <f t="shared" si="2"/>
        <v/>
      </c>
      <c r="F203" s="95" t="str">
        <f>IFERROR(VLOOKUP(B203,tblPeople[],14,FALSE),"")</f>
        <v/>
      </c>
      <c r="G203" s="11"/>
      <c r="H203" s="67"/>
      <c r="I203" s="11"/>
      <c r="J203" s="11"/>
      <c r="K203" s="11"/>
      <c r="L203" s="11"/>
      <c r="M203" s="11"/>
      <c r="N203" s="11"/>
      <c r="O203" s="67"/>
      <c r="P203" s="11"/>
    </row>
    <row r="204" spans="1:16" x14ac:dyDescent="0.25">
      <c r="A204" s="65" t="str">
        <f t="shared" si="2"/>
        <v/>
      </c>
      <c r="F204" s="95" t="str">
        <f>IFERROR(VLOOKUP(B204,tblPeople[],14,FALSE),"")</f>
        <v/>
      </c>
      <c r="G204" s="11"/>
      <c r="H204" s="67"/>
      <c r="I204" s="11"/>
      <c r="J204" s="11"/>
      <c r="K204" s="11"/>
      <c r="L204" s="11"/>
      <c r="M204" s="11"/>
      <c r="N204" s="11"/>
      <c r="O204" s="67"/>
      <c r="P204" s="11"/>
    </row>
    <row r="205" spans="1:16" x14ac:dyDescent="0.25">
      <c r="A205" s="65" t="str">
        <f t="shared" si="2"/>
        <v/>
      </c>
      <c r="F205" s="95" t="str">
        <f>IFERROR(VLOOKUP(B205,tblPeople[],14,FALSE),"")</f>
        <v/>
      </c>
      <c r="G205" s="11"/>
      <c r="H205" s="67"/>
      <c r="I205" s="11"/>
      <c r="J205" s="11"/>
      <c r="K205" s="11"/>
      <c r="L205" s="11"/>
      <c r="M205" s="11"/>
      <c r="N205" s="11"/>
      <c r="O205" s="67"/>
      <c r="P205" s="11"/>
    </row>
    <row r="206" spans="1:16" x14ac:dyDescent="0.25">
      <c r="A206" s="65" t="str">
        <f t="shared" si="2"/>
        <v/>
      </c>
      <c r="F206" s="95" t="str">
        <f>IFERROR(VLOOKUP(B206,tblPeople[],14,FALSE),"")</f>
        <v/>
      </c>
      <c r="G206" s="11"/>
      <c r="H206" s="67"/>
      <c r="I206" s="11"/>
      <c r="J206" s="11"/>
      <c r="K206" s="11"/>
      <c r="L206" s="11"/>
      <c r="M206" s="11"/>
      <c r="N206" s="11"/>
      <c r="O206" s="67"/>
      <c r="P206" s="11"/>
    </row>
    <row r="207" spans="1:16" x14ac:dyDescent="0.25">
      <c r="A207" s="65" t="str">
        <f t="shared" si="2"/>
        <v/>
      </c>
      <c r="F207" s="95" t="str">
        <f>IFERROR(VLOOKUP(B207,tblPeople[],14,FALSE),"")</f>
        <v/>
      </c>
      <c r="G207" s="11"/>
      <c r="H207" s="67"/>
      <c r="I207" s="11"/>
      <c r="J207" s="11"/>
      <c r="K207" s="11"/>
      <c r="L207" s="11"/>
      <c r="M207" s="11"/>
      <c r="N207" s="11"/>
      <c r="O207" s="67"/>
      <c r="P207" s="11"/>
    </row>
    <row r="208" spans="1:16" x14ac:dyDescent="0.25">
      <c r="A208" s="65" t="str">
        <f t="shared" si="2"/>
        <v/>
      </c>
      <c r="F208" s="95" t="str">
        <f>IFERROR(VLOOKUP(B208,tblPeople[],14,FALSE),"")</f>
        <v/>
      </c>
      <c r="G208" s="11"/>
      <c r="H208" s="67"/>
      <c r="I208" s="11"/>
      <c r="J208" s="11"/>
      <c r="K208" s="11"/>
      <c r="L208" s="11"/>
      <c r="M208" s="11"/>
      <c r="N208" s="11"/>
      <c r="O208" s="67"/>
      <c r="P208" s="11"/>
    </row>
    <row r="209" spans="1:16" x14ac:dyDescent="0.25">
      <c r="A209" s="65" t="str">
        <f t="shared" si="2"/>
        <v/>
      </c>
      <c r="F209" s="95" t="str">
        <f>IFERROR(VLOOKUP(B209,tblPeople[],14,FALSE),"")</f>
        <v/>
      </c>
      <c r="G209" s="11"/>
      <c r="H209" s="67"/>
      <c r="I209" s="11"/>
      <c r="J209" s="11"/>
      <c r="K209" s="11"/>
      <c r="L209" s="11"/>
      <c r="M209" s="11"/>
      <c r="N209" s="11"/>
      <c r="O209" s="67"/>
      <c r="P209" s="11"/>
    </row>
    <row r="210" spans="1:16" x14ac:dyDescent="0.25">
      <c r="A210" s="65" t="str">
        <f t="shared" ref="A210:A273" si="3">IF(B210=ISBLANK(""),"",A209+1)</f>
        <v/>
      </c>
      <c r="F210" s="95" t="str">
        <f>IFERROR(VLOOKUP(B210,tblPeople[],14,FALSE),"")</f>
        <v/>
      </c>
      <c r="G210" s="11"/>
      <c r="H210" s="67"/>
      <c r="I210" s="11"/>
      <c r="J210" s="11"/>
      <c r="K210" s="11"/>
      <c r="L210" s="11"/>
      <c r="M210" s="11"/>
      <c r="N210" s="11"/>
      <c r="O210" s="67"/>
      <c r="P210" s="11"/>
    </row>
    <row r="211" spans="1:16" x14ac:dyDescent="0.25">
      <c r="A211" s="65" t="str">
        <f t="shared" si="3"/>
        <v/>
      </c>
      <c r="F211" s="95" t="str">
        <f>IFERROR(VLOOKUP(B211,tblPeople[],14,FALSE),"")</f>
        <v/>
      </c>
      <c r="G211" s="11"/>
      <c r="H211" s="67"/>
      <c r="I211" s="11"/>
      <c r="J211" s="11"/>
      <c r="K211" s="11"/>
      <c r="L211" s="11"/>
      <c r="M211" s="11"/>
      <c r="N211" s="11"/>
      <c r="O211" s="67"/>
      <c r="P211" s="11"/>
    </row>
    <row r="212" spans="1:16" x14ac:dyDescent="0.25">
      <c r="A212" s="65" t="str">
        <f t="shared" si="3"/>
        <v/>
      </c>
      <c r="F212" s="95" t="str">
        <f>IFERROR(VLOOKUP(B212,tblPeople[],14,FALSE),"")</f>
        <v/>
      </c>
      <c r="G212" s="11"/>
      <c r="H212" s="67"/>
      <c r="I212" s="11"/>
      <c r="J212" s="11"/>
      <c r="K212" s="11"/>
      <c r="L212" s="11"/>
      <c r="M212" s="11"/>
      <c r="N212" s="11"/>
      <c r="O212" s="67"/>
      <c r="P212" s="11"/>
    </row>
    <row r="213" spans="1:16" x14ac:dyDescent="0.25">
      <c r="A213" s="65" t="str">
        <f t="shared" si="3"/>
        <v/>
      </c>
      <c r="F213" s="95" t="str">
        <f>IFERROR(VLOOKUP(B213,tblPeople[],14,FALSE),"")</f>
        <v/>
      </c>
      <c r="G213" s="11"/>
      <c r="H213" s="67"/>
      <c r="I213" s="11"/>
      <c r="J213" s="11"/>
      <c r="K213" s="11"/>
      <c r="L213" s="11"/>
      <c r="M213" s="11"/>
      <c r="N213" s="11"/>
      <c r="O213" s="67"/>
      <c r="P213" s="11"/>
    </row>
    <row r="214" spans="1:16" x14ac:dyDescent="0.25">
      <c r="A214" s="65" t="str">
        <f t="shared" si="3"/>
        <v/>
      </c>
      <c r="F214" s="95" t="str">
        <f>IFERROR(VLOOKUP(B214,tblPeople[],14,FALSE),"")</f>
        <v/>
      </c>
      <c r="G214" s="11"/>
      <c r="H214" s="67"/>
      <c r="I214" s="11"/>
      <c r="J214" s="11"/>
      <c r="K214" s="11"/>
      <c r="L214" s="11"/>
      <c r="M214" s="11"/>
      <c r="N214" s="11"/>
      <c r="O214" s="67"/>
      <c r="P214" s="11"/>
    </row>
    <row r="215" spans="1:16" x14ac:dyDescent="0.25">
      <c r="A215" s="65" t="str">
        <f t="shared" si="3"/>
        <v/>
      </c>
      <c r="F215" s="95" t="str">
        <f>IFERROR(VLOOKUP(B215,tblPeople[],14,FALSE),"")</f>
        <v/>
      </c>
      <c r="G215" s="11"/>
      <c r="H215" s="67"/>
      <c r="I215" s="11"/>
      <c r="J215" s="11"/>
      <c r="K215" s="11"/>
      <c r="L215" s="11"/>
      <c r="M215" s="11"/>
      <c r="N215" s="11"/>
      <c r="O215" s="67"/>
      <c r="P215" s="11"/>
    </row>
    <row r="216" spans="1:16" x14ac:dyDescent="0.25">
      <c r="A216" s="65" t="str">
        <f t="shared" si="3"/>
        <v/>
      </c>
      <c r="F216" s="95" t="str">
        <f>IFERROR(VLOOKUP(B216,tblPeople[],14,FALSE),"")</f>
        <v/>
      </c>
      <c r="G216" s="11"/>
      <c r="H216" s="67"/>
      <c r="I216" s="11"/>
      <c r="J216" s="11"/>
      <c r="K216" s="11"/>
      <c r="L216" s="11"/>
      <c r="M216" s="11"/>
      <c r="N216" s="11"/>
      <c r="O216" s="67"/>
      <c r="P216" s="11"/>
    </row>
    <row r="217" spans="1:16" x14ac:dyDescent="0.25">
      <c r="A217" s="65" t="str">
        <f t="shared" si="3"/>
        <v/>
      </c>
      <c r="F217" s="95" t="str">
        <f>IFERROR(VLOOKUP(B217,tblPeople[],14,FALSE),"")</f>
        <v/>
      </c>
      <c r="G217" s="11"/>
      <c r="H217" s="67"/>
      <c r="I217" s="11"/>
      <c r="J217" s="11"/>
      <c r="K217" s="11"/>
      <c r="L217" s="11"/>
      <c r="M217" s="11"/>
      <c r="N217" s="11"/>
      <c r="O217" s="67"/>
      <c r="P217" s="11"/>
    </row>
    <row r="218" spans="1:16" x14ac:dyDescent="0.25">
      <c r="A218" s="65" t="str">
        <f t="shared" si="3"/>
        <v/>
      </c>
      <c r="F218" s="95" t="str">
        <f>IFERROR(VLOOKUP(B218,tblPeople[],14,FALSE),"")</f>
        <v/>
      </c>
      <c r="G218" s="11"/>
      <c r="H218" s="67"/>
      <c r="I218" s="11"/>
      <c r="J218" s="11"/>
      <c r="K218" s="11"/>
      <c r="L218" s="11"/>
      <c r="M218" s="11"/>
      <c r="N218" s="11"/>
      <c r="O218" s="67"/>
      <c r="P218" s="11"/>
    </row>
    <row r="219" spans="1:16" x14ac:dyDescent="0.25">
      <c r="A219" s="65" t="str">
        <f t="shared" si="3"/>
        <v/>
      </c>
      <c r="F219" s="95" t="str">
        <f>IFERROR(VLOOKUP(B219,tblPeople[],14,FALSE),"")</f>
        <v/>
      </c>
      <c r="G219" s="11"/>
      <c r="H219" s="67"/>
      <c r="I219" s="11"/>
      <c r="J219" s="11"/>
      <c r="K219" s="11"/>
      <c r="L219" s="11"/>
      <c r="M219" s="11"/>
      <c r="N219" s="11"/>
      <c r="O219" s="67"/>
      <c r="P219" s="11"/>
    </row>
    <row r="220" spans="1:16" x14ac:dyDescent="0.25">
      <c r="A220" s="65" t="str">
        <f t="shared" si="3"/>
        <v/>
      </c>
      <c r="F220" s="95" t="str">
        <f>IFERROR(VLOOKUP(B220,tblPeople[],14,FALSE),"")</f>
        <v/>
      </c>
      <c r="G220" s="11"/>
      <c r="H220" s="67"/>
      <c r="I220" s="11"/>
      <c r="J220" s="11"/>
      <c r="K220" s="11"/>
      <c r="L220" s="11"/>
      <c r="M220" s="11"/>
      <c r="N220" s="11"/>
      <c r="O220" s="67"/>
      <c r="P220" s="11"/>
    </row>
    <row r="221" spans="1:16" x14ac:dyDescent="0.25">
      <c r="A221" s="65" t="str">
        <f t="shared" si="3"/>
        <v/>
      </c>
      <c r="F221" s="95" t="str">
        <f>IFERROR(VLOOKUP(B221,tblPeople[],14,FALSE),"")</f>
        <v/>
      </c>
      <c r="G221" s="11"/>
      <c r="H221" s="67"/>
      <c r="I221" s="11"/>
      <c r="J221" s="11"/>
      <c r="K221" s="11"/>
      <c r="L221" s="11"/>
      <c r="M221" s="11"/>
      <c r="N221" s="11"/>
      <c r="O221" s="67"/>
      <c r="P221" s="11"/>
    </row>
    <row r="222" spans="1:16" x14ac:dyDescent="0.25">
      <c r="A222" s="65" t="str">
        <f t="shared" si="3"/>
        <v/>
      </c>
      <c r="F222" s="95" t="str">
        <f>IFERROR(VLOOKUP(B222,tblPeople[],14,FALSE),"")</f>
        <v/>
      </c>
      <c r="G222" s="11"/>
      <c r="H222" s="67"/>
      <c r="I222" s="11"/>
      <c r="J222" s="11"/>
      <c r="K222" s="11"/>
      <c r="L222" s="11"/>
      <c r="M222" s="11"/>
      <c r="N222" s="11"/>
      <c r="O222" s="67"/>
      <c r="P222" s="11"/>
    </row>
    <row r="223" spans="1:16" x14ac:dyDescent="0.25">
      <c r="A223" s="65" t="str">
        <f t="shared" si="3"/>
        <v/>
      </c>
      <c r="F223" s="95" t="str">
        <f>IFERROR(VLOOKUP(B223,tblPeople[],14,FALSE),"")</f>
        <v/>
      </c>
      <c r="G223" s="11"/>
      <c r="H223" s="67"/>
      <c r="I223" s="11"/>
      <c r="J223" s="11"/>
      <c r="K223" s="11"/>
      <c r="L223" s="11"/>
      <c r="M223" s="11"/>
      <c r="N223" s="11"/>
      <c r="O223" s="67"/>
      <c r="P223" s="11"/>
    </row>
    <row r="224" spans="1:16" x14ac:dyDescent="0.25">
      <c r="A224" s="65" t="str">
        <f t="shared" si="3"/>
        <v/>
      </c>
      <c r="F224" s="95" t="str">
        <f>IFERROR(VLOOKUP(B224,tblPeople[],14,FALSE),"")</f>
        <v/>
      </c>
      <c r="G224" s="11"/>
      <c r="H224" s="67"/>
      <c r="I224" s="11"/>
      <c r="J224" s="11"/>
      <c r="K224" s="11"/>
      <c r="L224" s="11"/>
      <c r="M224" s="11"/>
      <c r="N224" s="11"/>
      <c r="O224" s="67"/>
      <c r="P224" s="11"/>
    </row>
    <row r="225" spans="1:16" x14ac:dyDescent="0.25">
      <c r="A225" s="65" t="str">
        <f t="shared" si="3"/>
        <v/>
      </c>
      <c r="F225" s="95" t="str">
        <f>IFERROR(VLOOKUP(B225,tblPeople[],14,FALSE),"")</f>
        <v/>
      </c>
      <c r="G225" s="11"/>
      <c r="H225" s="67"/>
      <c r="I225" s="11"/>
      <c r="J225" s="11"/>
      <c r="K225" s="11"/>
      <c r="L225" s="11"/>
      <c r="M225" s="11"/>
      <c r="N225" s="11"/>
      <c r="O225" s="67"/>
      <c r="P225" s="11"/>
    </row>
    <row r="226" spans="1:16" x14ac:dyDescent="0.25">
      <c r="A226" s="65" t="str">
        <f t="shared" si="3"/>
        <v/>
      </c>
      <c r="F226" s="95" t="str">
        <f>IFERROR(VLOOKUP(B226,tblPeople[],14,FALSE),"")</f>
        <v/>
      </c>
      <c r="G226" s="11"/>
      <c r="H226" s="67"/>
      <c r="I226" s="11"/>
      <c r="J226" s="11"/>
      <c r="K226" s="11"/>
      <c r="L226" s="11"/>
      <c r="M226" s="11"/>
      <c r="N226" s="11"/>
      <c r="O226" s="67"/>
      <c r="P226" s="11"/>
    </row>
    <row r="227" spans="1:16" x14ac:dyDescent="0.25">
      <c r="A227" s="65" t="str">
        <f t="shared" si="3"/>
        <v/>
      </c>
      <c r="F227" s="95" t="str">
        <f>IFERROR(VLOOKUP(B227,tblPeople[],14,FALSE),"")</f>
        <v/>
      </c>
      <c r="G227" s="11"/>
      <c r="H227" s="67"/>
      <c r="I227" s="11"/>
      <c r="J227" s="11"/>
      <c r="K227" s="11"/>
      <c r="L227" s="11"/>
      <c r="M227" s="11"/>
      <c r="N227" s="11"/>
      <c r="O227" s="67"/>
      <c r="P227" s="11"/>
    </row>
    <row r="228" spans="1:16" x14ac:dyDescent="0.25">
      <c r="A228" s="65" t="str">
        <f t="shared" si="3"/>
        <v/>
      </c>
      <c r="F228" s="95" t="str">
        <f>IFERROR(VLOOKUP(B228,tblPeople[],14,FALSE),"")</f>
        <v/>
      </c>
      <c r="G228" s="11"/>
      <c r="H228" s="67"/>
      <c r="I228" s="11"/>
      <c r="J228" s="11"/>
      <c r="K228" s="11"/>
      <c r="L228" s="11"/>
      <c r="M228" s="11"/>
      <c r="N228" s="11"/>
      <c r="O228" s="67"/>
      <c r="P228" s="11"/>
    </row>
    <row r="229" spans="1:16" x14ac:dyDescent="0.25">
      <c r="A229" s="65" t="str">
        <f t="shared" si="3"/>
        <v/>
      </c>
      <c r="F229" s="95" t="str">
        <f>IFERROR(VLOOKUP(B229,tblPeople[],14,FALSE),"")</f>
        <v/>
      </c>
      <c r="G229" s="11"/>
      <c r="H229" s="67"/>
      <c r="I229" s="11"/>
      <c r="J229" s="11"/>
      <c r="K229" s="11"/>
      <c r="L229" s="11"/>
      <c r="M229" s="11"/>
      <c r="N229" s="11"/>
      <c r="O229" s="67"/>
      <c r="P229" s="11"/>
    </row>
    <row r="230" spans="1:16" x14ac:dyDescent="0.25">
      <c r="A230" s="65" t="str">
        <f t="shared" si="3"/>
        <v/>
      </c>
      <c r="F230" s="95" t="str">
        <f>IFERROR(VLOOKUP(B230,tblPeople[],14,FALSE),"")</f>
        <v/>
      </c>
      <c r="G230" s="11"/>
      <c r="H230" s="67"/>
      <c r="I230" s="11"/>
      <c r="J230" s="11"/>
      <c r="K230" s="11"/>
      <c r="L230" s="11"/>
      <c r="M230" s="11"/>
      <c r="N230" s="11"/>
      <c r="O230" s="67"/>
      <c r="P230" s="11"/>
    </row>
    <row r="231" spans="1:16" x14ac:dyDescent="0.25">
      <c r="A231" s="65" t="str">
        <f t="shared" si="3"/>
        <v/>
      </c>
      <c r="F231" s="95" t="str">
        <f>IFERROR(VLOOKUP(B231,tblPeople[],14,FALSE),"")</f>
        <v/>
      </c>
      <c r="G231" s="11"/>
      <c r="H231" s="67"/>
      <c r="I231" s="11"/>
      <c r="J231" s="11"/>
      <c r="K231" s="11"/>
      <c r="L231" s="11"/>
      <c r="M231" s="11"/>
      <c r="N231" s="11"/>
      <c r="O231" s="67"/>
      <c r="P231" s="11"/>
    </row>
    <row r="232" spans="1:16" x14ac:dyDescent="0.25">
      <c r="A232" s="65" t="str">
        <f t="shared" si="3"/>
        <v/>
      </c>
      <c r="F232" s="95" t="str">
        <f>IFERROR(VLOOKUP(B232,tblPeople[],14,FALSE),"")</f>
        <v/>
      </c>
      <c r="G232" s="11"/>
      <c r="H232" s="67"/>
      <c r="I232" s="11"/>
      <c r="J232" s="11"/>
      <c r="K232" s="11"/>
      <c r="L232" s="11"/>
      <c r="M232" s="11"/>
      <c r="N232" s="11"/>
      <c r="O232" s="67"/>
      <c r="P232" s="11"/>
    </row>
    <row r="233" spans="1:16" x14ac:dyDescent="0.25">
      <c r="A233" s="65" t="str">
        <f t="shared" si="3"/>
        <v/>
      </c>
      <c r="F233" s="95" t="str">
        <f>IFERROR(VLOOKUP(B233,tblPeople[],14,FALSE),"")</f>
        <v/>
      </c>
      <c r="G233" s="11"/>
      <c r="H233" s="67"/>
      <c r="I233" s="11"/>
      <c r="J233" s="11"/>
      <c r="K233" s="11"/>
      <c r="L233" s="11"/>
      <c r="M233" s="11"/>
      <c r="N233" s="11"/>
      <c r="O233" s="67"/>
      <c r="P233" s="11"/>
    </row>
    <row r="234" spans="1:16" x14ac:dyDescent="0.25">
      <c r="A234" s="65" t="str">
        <f t="shared" si="3"/>
        <v/>
      </c>
      <c r="F234" s="95" t="str">
        <f>IFERROR(VLOOKUP(B234,tblPeople[],14,FALSE),"")</f>
        <v/>
      </c>
      <c r="G234" s="11"/>
      <c r="H234" s="67"/>
      <c r="I234" s="11"/>
      <c r="J234" s="11"/>
      <c r="K234" s="11"/>
      <c r="L234" s="11"/>
      <c r="M234" s="11"/>
      <c r="N234" s="11"/>
      <c r="O234" s="67"/>
      <c r="P234" s="11"/>
    </row>
    <row r="235" spans="1:16" x14ac:dyDescent="0.25">
      <c r="A235" s="65" t="str">
        <f t="shared" si="3"/>
        <v/>
      </c>
      <c r="F235" s="95" t="str">
        <f>IFERROR(VLOOKUP(B235,tblPeople[],14,FALSE),"")</f>
        <v/>
      </c>
      <c r="G235" s="11"/>
      <c r="H235" s="67"/>
      <c r="I235" s="11"/>
      <c r="J235" s="11"/>
      <c r="K235" s="11"/>
      <c r="L235" s="11"/>
      <c r="M235" s="11"/>
      <c r="N235" s="11"/>
      <c r="O235" s="67"/>
      <c r="P235" s="11"/>
    </row>
    <row r="236" spans="1:16" x14ac:dyDescent="0.25">
      <c r="A236" s="65" t="str">
        <f t="shared" si="3"/>
        <v/>
      </c>
      <c r="F236" s="95" t="str">
        <f>IFERROR(VLOOKUP(B236,tblPeople[],14,FALSE),"")</f>
        <v/>
      </c>
      <c r="G236" s="11"/>
      <c r="H236" s="67"/>
      <c r="I236" s="11"/>
      <c r="J236" s="11"/>
      <c r="K236" s="11"/>
      <c r="L236" s="11"/>
      <c r="M236" s="11"/>
      <c r="N236" s="11"/>
      <c r="O236" s="67"/>
      <c r="P236" s="11"/>
    </row>
    <row r="237" spans="1:16" x14ac:dyDescent="0.25">
      <c r="A237" s="65" t="str">
        <f t="shared" si="3"/>
        <v/>
      </c>
      <c r="F237" s="95" t="str">
        <f>IFERROR(VLOOKUP(B237,tblPeople[],14,FALSE),"")</f>
        <v/>
      </c>
      <c r="G237" s="11"/>
      <c r="H237" s="67"/>
      <c r="I237" s="11"/>
      <c r="J237" s="11"/>
      <c r="K237" s="11"/>
      <c r="L237" s="11"/>
      <c r="M237" s="11"/>
      <c r="N237" s="11"/>
      <c r="O237" s="67"/>
      <c r="P237" s="11"/>
    </row>
    <row r="238" spans="1:16" x14ac:dyDescent="0.25">
      <c r="A238" s="65" t="str">
        <f t="shared" si="3"/>
        <v/>
      </c>
      <c r="F238" s="95" t="str">
        <f>IFERROR(VLOOKUP(B238,tblPeople[],14,FALSE),"")</f>
        <v/>
      </c>
      <c r="G238" s="11"/>
      <c r="H238" s="67"/>
      <c r="I238" s="11"/>
      <c r="J238" s="11"/>
      <c r="K238" s="11"/>
      <c r="L238" s="11"/>
      <c r="M238" s="11"/>
      <c r="N238" s="11"/>
      <c r="O238" s="67"/>
      <c r="P238" s="11"/>
    </row>
    <row r="239" spans="1:16" x14ac:dyDescent="0.25">
      <c r="A239" s="65" t="str">
        <f t="shared" si="3"/>
        <v/>
      </c>
      <c r="F239" s="95" t="str">
        <f>IFERROR(VLOOKUP(B239,tblPeople[],14,FALSE),"")</f>
        <v/>
      </c>
      <c r="G239" s="11"/>
      <c r="H239" s="67"/>
      <c r="I239" s="11"/>
      <c r="J239" s="11"/>
      <c r="K239" s="11"/>
      <c r="L239" s="11"/>
      <c r="M239" s="11"/>
      <c r="N239" s="11"/>
      <c r="O239" s="67"/>
      <c r="P239" s="11"/>
    </row>
    <row r="240" spans="1:16" x14ac:dyDescent="0.25">
      <c r="A240" s="65" t="str">
        <f t="shared" si="3"/>
        <v/>
      </c>
      <c r="F240" s="95" t="str">
        <f>IFERROR(VLOOKUP(B240,tblPeople[],14,FALSE),"")</f>
        <v/>
      </c>
      <c r="G240" s="11"/>
      <c r="H240" s="67"/>
      <c r="I240" s="11"/>
      <c r="J240" s="11"/>
      <c r="K240" s="11"/>
      <c r="L240" s="11"/>
      <c r="M240" s="11"/>
      <c r="N240" s="11"/>
      <c r="O240" s="67"/>
      <c r="P240" s="11"/>
    </row>
    <row r="241" spans="1:16" x14ac:dyDescent="0.25">
      <c r="A241" s="65" t="str">
        <f t="shared" si="3"/>
        <v/>
      </c>
      <c r="F241" s="95" t="str">
        <f>IFERROR(VLOOKUP(B241,tblPeople[],14,FALSE),"")</f>
        <v/>
      </c>
      <c r="G241" s="11"/>
      <c r="H241" s="67"/>
      <c r="I241" s="11"/>
      <c r="J241" s="11"/>
      <c r="K241" s="11"/>
      <c r="L241" s="11"/>
      <c r="M241" s="11"/>
      <c r="N241" s="11"/>
      <c r="O241" s="67"/>
      <c r="P241" s="11"/>
    </row>
    <row r="242" spans="1:16" x14ac:dyDescent="0.25">
      <c r="A242" s="65" t="str">
        <f t="shared" si="3"/>
        <v/>
      </c>
      <c r="F242" s="95" t="str">
        <f>IFERROR(VLOOKUP(B242,tblPeople[],14,FALSE),"")</f>
        <v/>
      </c>
      <c r="G242" s="11"/>
      <c r="H242" s="67"/>
      <c r="I242" s="11"/>
      <c r="J242" s="11"/>
      <c r="K242" s="11"/>
      <c r="L242" s="11"/>
      <c r="M242" s="11"/>
      <c r="N242" s="11"/>
      <c r="O242" s="67"/>
      <c r="P242" s="11"/>
    </row>
    <row r="243" spans="1:16" x14ac:dyDescent="0.25">
      <c r="A243" s="65" t="str">
        <f t="shared" si="3"/>
        <v/>
      </c>
      <c r="F243" s="95" t="str">
        <f>IFERROR(VLOOKUP(B243,tblPeople[],14,FALSE),"")</f>
        <v/>
      </c>
      <c r="G243" s="11"/>
      <c r="H243" s="67"/>
      <c r="I243" s="11"/>
      <c r="J243" s="11"/>
      <c r="K243" s="11"/>
      <c r="L243" s="11"/>
      <c r="M243" s="11"/>
      <c r="N243" s="11"/>
      <c r="O243" s="67"/>
      <c r="P243" s="11"/>
    </row>
    <row r="244" spans="1:16" x14ac:dyDescent="0.25">
      <c r="A244" s="65" t="str">
        <f t="shared" si="3"/>
        <v/>
      </c>
      <c r="F244" s="95" t="str">
        <f>IFERROR(VLOOKUP(B244,tblPeople[],14,FALSE),"")</f>
        <v/>
      </c>
      <c r="G244" s="11"/>
      <c r="H244" s="67"/>
      <c r="I244" s="11"/>
      <c r="J244" s="11"/>
      <c r="K244" s="11"/>
      <c r="L244" s="11"/>
      <c r="M244" s="11"/>
      <c r="N244" s="11"/>
      <c r="O244" s="67"/>
      <c r="P244" s="11"/>
    </row>
    <row r="245" spans="1:16" x14ac:dyDescent="0.25">
      <c r="A245" s="65" t="str">
        <f t="shared" si="3"/>
        <v/>
      </c>
      <c r="F245" s="95" t="str">
        <f>IFERROR(VLOOKUP(B245,tblPeople[],14,FALSE),"")</f>
        <v/>
      </c>
      <c r="G245" s="11"/>
      <c r="H245" s="67"/>
      <c r="I245" s="11"/>
      <c r="J245" s="11"/>
      <c r="K245" s="11"/>
      <c r="L245" s="11"/>
      <c r="M245" s="11"/>
      <c r="N245" s="11"/>
      <c r="O245" s="67"/>
      <c r="P245" s="11"/>
    </row>
    <row r="246" spans="1:16" x14ac:dyDescent="0.25">
      <c r="A246" s="65" t="str">
        <f t="shared" si="3"/>
        <v/>
      </c>
      <c r="F246" s="95" t="str">
        <f>IFERROR(VLOOKUP(B246,tblPeople[],14,FALSE),"")</f>
        <v/>
      </c>
      <c r="G246" s="11"/>
      <c r="H246" s="67"/>
      <c r="I246" s="11"/>
      <c r="J246" s="11"/>
      <c r="K246" s="11"/>
      <c r="L246" s="11"/>
      <c r="M246" s="11"/>
      <c r="N246" s="11"/>
      <c r="O246" s="67"/>
      <c r="P246" s="11"/>
    </row>
    <row r="247" spans="1:16" x14ac:dyDescent="0.25">
      <c r="A247" s="65" t="str">
        <f t="shared" si="3"/>
        <v/>
      </c>
      <c r="F247" s="95" t="str">
        <f>IFERROR(VLOOKUP(B247,tblPeople[],14,FALSE),"")</f>
        <v/>
      </c>
      <c r="G247" s="11"/>
      <c r="H247" s="67"/>
      <c r="I247" s="11"/>
      <c r="J247" s="11"/>
      <c r="K247" s="11"/>
      <c r="L247" s="11"/>
      <c r="M247" s="11"/>
      <c r="N247" s="11"/>
      <c r="O247" s="67"/>
      <c r="P247" s="11"/>
    </row>
    <row r="248" spans="1:16" x14ac:dyDescent="0.25">
      <c r="A248" s="65" t="str">
        <f t="shared" si="3"/>
        <v/>
      </c>
      <c r="F248" s="95" t="str">
        <f>IFERROR(VLOOKUP(B248,tblPeople[],14,FALSE),"")</f>
        <v/>
      </c>
      <c r="G248" s="11"/>
      <c r="H248" s="67"/>
      <c r="I248" s="11"/>
      <c r="J248" s="11"/>
      <c r="K248" s="11"/>
      <c r="L248" s="11"/>
      <c r="M248" s="11"/>
      <c r="N248" s="11"/>
      <c r="O248" s="67"/>
      <c r="P248" s="11"/>
    </row>
    <row r="249" spans="1:16" x14ac:dyDescent="0.25">
      <c r="A249" s="65" t="str">
        <f t="shared" si="3"/>
        <v/>
      </c>
      <c r="F249" s="95" t="str">
        <f>IFERROR(VLOOKUP(B249,tblPeople[],14,FALSE),"")</f>
        <v/>
      </c>
      <c r="G249" s="11"/>
      <c r="H249" s="67"/>
      <c r="I249" s="11"/>
      <c r="J249" s="11"/>
      <c r="K249" s="11"/>
      <c r="L249" s="11"/>
      <c r="M249" s="11"/>
      <c r="N249" s="11"/>
      <c r="O249" s="67"/>
      <c r="P249" s="11"/>
    </row>
    <row r="250" spans="1:16" x14ac:dyDescent="0.25">
      <c r="A250" s="65" t="str">
        <f t="shared" si="3"/>
        <v/>
      </c>
      <c r="F250" s="95" t="str">
        <f>IFERROR(VLOOKUP(B250,tblPeople[],14,FALSE),"")</f>
        <v/>
      </c>
      <c r="G250" s="11"/>
      <c r="H250" s="67"/>
      <c r="I250" s="11"/>
      <c r="J250" s="11"/>
      <c r="K250" s="11"/>
      <c r="L250" s="11"/>
      <c r="M250" s="11"/>
      <c r="N250" s="11"/>
      <c r="O250" s="67"/>
      <c r="P250" s="11"/>
    </row>
    <row r="251" spans="1:16" x14ac:dyDescent="0.25">
      <c r="A251" s="65" t="str">
        <f t="shared" si="3"/>
        <v/>
      </c>
      <c r="F251" s="95" t="str">
        <f>IFERROR(VLOOKUP(B251,tblPeople[],14,FALSE),"")</f>
        <v/>
      </c>
      <c r="G251" s="11"/>
      <c r="H251" s="67"/>
      <c r="I251" s="11"/>
      <c r="J251" s="11"/>
      <c r="K251" s="11"/>
      <c r="L251" s="11"/>
      <c r="M251" s="11"/>
      <c r="N251" s="11"/>
      <c r="O251" s="67"/>
      <c r="P251" s="11"/>
    </row>
    <row r="252" spans="1:16" x14ac:dyDescent="0.25">
      <c r="A252" s="65" t="str">
        <f t="shared" si="3"/>
        <v/>
      </c>
      <c r="F252" s="95" t="str">
        <f>IFERROR(VLOOKUP(B252,tblPeople[],14,FALSE),"")</f>
        <v/>
      </c>
      <c r="G252" s="11"/>
      <c r="H252" s="67"/>
      <c r="I252" s="11"/>
      <c r="J252" s="11"/>
      <c r="K252" s="11"/>
      <c r="L252" s="11"/>
      <c r="M252" s="11"/>
      <c r="N252" s="11"/>
      <c r="O252" s="67"/>
      <c r="P252" s="11"/>
    </row>
    <row r="253" spans="1:16" x14ac:dyDescent="0.25">
      <c r="A253" s="65" t="str">
        <f t="shared" si="3"/>
        <v/>
      </c>
      <c r="F253" s="95" t="str">
        <f>IFERROR(VLOOKUP(B253,tblPeople[],14,FALSE),"")</f>
        <v/>
      </c>
      <c r="G253" s="11"/>
      <c r="H253" s="67"/>
      <c r="I253" s="11"/>
      <c r="J253" s="11"/>
      <c r="K253" s="11"/>
      <c r="L253" s="11"/>
      <c r="M253" s="11"/>
      <c r="N253" s="11"/>
      <c r="O253" s="67"/>
      <c r="P253" s="11"/>
    </row>
    <row r="254" spans="1:16" x14ac:dyDescent="0.25">
      <c r="A254" s="65" t="str">
        <f t="shared" si="3"/>
        <v/>
      </c>
      <c r="F254" s="95" t="str">
        <f>IFERROR(VLOOKUP(B254,tblPeople[],14,FALSE),"")</f>
        <v/>
      </c>
      <c r="G254" s="11"/>
      <c r="H254" s="67"/>
      <c r="I254" s="11"/>
      <c r="J254" s="11"/>
      <c r="K254" s="11"/>
      <c r="L254" s="11"/>
      <c r="M254" s="11"/>
      <c r="N254" s="11"/>
      <c r="O254" s="67"/>
      <c r="P254" s="11"/>
    </row>
    <row r="255" spans="1:16" x14ac:dyDescent="0.25">
      <c r="A255" s="65" t="str">
        <f t="shared" si="3"/>
        <v/>
      </c>
      <c r="F255" s="95" t="str">
        <f>IFERROR(VLOOKUP(B255,tblPeople[],14,FALSE),"")</f>
        <v/>
      </c>
      <c r="G255" s="11"/>
      <c r="H255" s="67"/>
      <c r="I255" s="11"/>
      <c r="J255" s="11"/>
      <c r="K255" s="11"/>
      <c r="L255" s="11"/>
      <c r="M255" s="11"/>
      <c r="N255" s="11"/>
      <c r="O255" s="67"/>
      <c r="P255" s="11"/>
    </row>
    <row r="256" spans="1:16" x14ac:dyDescent="0.25">
      <c r="A256" s="65" t="str">
        <f t="shared" si="3"/>
        <v/>
      </c>
      <c r="F256" s="95" t="str">
        <f>IFERROR(VLOOKUP(B256,tblPeople[],14,FALSE),"")</f>
        <v/>
      </c>
      <c r="G256" s="11"/>
      <c r="H256" s="67"/>
      <c r="I256" s="11"/>
      <c r="J256" s="11"/>
      <c r="K256" s="11"/>
      <c r="L256" s="11"/>
      <c r="M256" s="11"/>
      <c r="N256" s="11"/>
      <c r="O256" s="67"/>
      <c r="P256" s="11"/>
    </row>
    <row r="257" spans="1:16" x14ac:dyDescent="0.25">
      <c r="A257" s="65" t="str">
        <f t="shared" si="3"/>
        <v/>
      </c>
      <c r="F257" s="95" t="str">
        <f>IFERROR(VLOOKUP(B257,tblPeople[],14,FALSE),"")</f>
        <v/>
      </c>
      <c r="G257" s="11"/>
      <c r="H257" s="67"/>
      <c r="I257" s="11"/>
      <c r="J257" s="11"/>
      <c r="K257" s="11"/>
      <c r="L257" s="11"/>
      <c r="M257" s="11"/>
      <c r="N257" s="11"/>
      <c r="O257" s="67"/>
      <c r="P257" s="11"/>
    </row>
    <row r="258" spans="1:16" x14ac:dyDescent="0.25">
      <c r="A258" s="65" t="str">
        <f t="shared" si="3"/>
        <v/>
      </c>
      <c r="F258" s="95" t="str">
        <f>IFERROR(VLOOKUP(B258,tblPeople[],14,FALSE),"")</f>
        <v/>
      </c>
      <c r="G258" s="11"/>
      <c r="H258" s="67"/>
      <c r="I258" s="11"/>
      <c r="J258" s="11"/>
      <c r="K258" s="11"/>
      <c r="L258" s="11"/>
      <c r="M258" s="11"/>
      <c r="N258" s="11"/>
      <c r="O258" s="67"/>
      <c r="P258" s="11"/>
    </row>
    <row r="259" spans="1:16" x14ac:dyDescent="0.25">
      <c r="A259" s="65" t="str">
        <f t="shared" si="3"/>
        <v/>
      </c>
      <c r="F259" s="95" t="str">
        <f>IFERROR(VLOOKUP(B259,tblPeople[],14,FALSE),"")</f>
        <v/>
      </c>
      <c r="G259" s="11"/>
      <c r="H259" s="67"/>
      <c r="I259" s="11"/>
      <c r="J259" s="11"/>
      <c r="K259" s="11"/>
      <c r="L259" s="11"/>
      <c r="M259" s="11"/>
      <c r="N259" s="11"/>
      <c r="O259" s="67"/>
      <c r="P259" s="11"/>
    </row>
    <row r="260" spans="1:16" x14ac:dyDescent="0.25">
      <c r="A260" s="65" t="str">
        <f t="shared" si="3"/>
        <v/>
      </c>
      <c r="F260" s="95" t="str">
        <f>IFERROR(VLOOKUP(B260,tblPeople[],14,FALSE),"")</f>
        <v/>
      </c>
      <c r="G260" s="11"/>
      <c r="H260" s="67"/>
      <c r="I260" s="11"/>
      <c r="J260" s="11"/>
      <c r="K260" s="11"/>
      <c r="L260" s="11"/>
      <c r="M260" s="11"/>
      <c r="N260" s="11"/>
      <c r="O260" s="67"/>
      <c r="P260" s="11"/>
    </row>
    <row r="261" spans="1:16" x14ac:dyDescent="0.25">
      <c r="A261" s="65" t="str">
        <f t="shared" si="3"/>
        <v/>
      </c>
      <c r="F261" s="95" t="str">
        <f>IFERROR(VLOOKUP(B261,tblPeople[],14,FALSE),"")</f>
        <v/>
      </c>
      <c r="G261" s="11"/>
      <c r="H261" s="67"/>
      <c r="I261" s="11"/>
      <c r="J261" s="11"/>
      <c r="K261" s="11"/>
      <c r="L261" s="11"/>
      <c r="M261" s="11"/>
      <c r="N261" s="11"/>
      <c r="O261" s="67"/>
      <c r="P261" s="11"/>
    </row>
    <row r="262" spans="1:16" x14ac:dyDescent="0.25">
      <c r="A262" s="65" t="str">
        <f t="shared" si="3"/>
        <v/>
      </c>
      <c r="F262" s="95" t="str">
        <f>IFERROR(VLOOKUP(B262,tblPeople[],14,FALSE),"")</f>
        <v/>
      </c>
      <c r="G262" s="11"/>
      <c r="H262" s="67"/>
      <c r="I262" s="11"/>
      <c r="J262" s="11"/>
      <c r="K262" s="11"/>
      <c r="L262" s="11"/>
      <c r="M262" s="11"/>
      <c r="N262" s="11"/>
      <c r="O262" s="67"/>
      <c r="P262" s="11"/>
    </row>
    <row r="263" spans="1:16" x14ac:dyDescent="0.25">
      <c r="A263" s="65" t="str">
        <f t="shared" si="3"/>
        <v/>
      </c>
      <c r="F263" s="95" t="str">
        <f>IFERROR(VLOOKUP(B263,tblPeople[],14,FALSE),"")</f>
        <v/>
      </c>
      <c r="G263" s="11"/>
      <c r="H263" s="67"/>
      <c r="I263" s="11"/>
      <c r="J263" s="11"/>
      <c r="K263" s="11"/>
      <c r="L263" s="11"/>
      <c r="M263" s="11"/>
      <c r="N263" s="11"/>
      <c r="O263" s="67"/>
      <c r="P263" s="11"/>
    </row>
    <row r="264" spans="1:16" x14ac:dyDescent="0.25">
      <c r="A264" s="65" t="str">
        <f t="shared" si="3"/>
        <v/>
      </c>
      <c r="F264" s="95" t="str">
        <f>IFERROR(VLOOKUP(B264,tblPeople[],14,FALSE),"")</f>
        <v/>
      </c>
      <c r="G264" s="11"/>
      <c r="H264" s="67"/>
      <c r="I264" s="11"/>
      <c r="J264" s="11"/>
      <c r="K264" s="11"/>
      <c r="L264" s="11"/>
      <c r="M264" s="11"/>
      <c r="N264" s="11"/>
      <c r="O264" s="67"/>
      <c r="P264" s="11"/>
    </row>
    <row r="265" spans="1:16" x14ac:dyDescent="0.25">
      <c r="A265" s="65" t="str">
        <f t="shared" si="3"/>
        <v/>
      </c>
      <c r="F265" s="95" t="str">
        <f>IFERROR(VLOOKUP(B265,tblPeople[],14,FALSE),"")</f>
        <v/>
      </c>
      <c r="G265" s="11"/>
      <c r="H265" s="67"/>
      <c r="I265" s="11"/>
      <c r="J265" s="11"/>
      <c r="K265" s="11"/>
      <c r="L265" s="11"/>
      <c r="M265" s="11"/>
      <c r="N265" s="11"/>
      <c r="O265" s="67"/>
      <c r="P265" s="11"/>
    </row>
    <row r="266" spans="1:16" x14ac:dyDescent="0.25">
      <c r="A266" s="65" t="str">
        <f t="shared" si="3"/>
        <v/>
      </c>
      <c r="F266" s="95" t="str">
        <f>IFERROR(VLOOKUP(B266,tblPeople[],14,FALSE),"")</f>
        <v/>
      </c>
      <c r="G266" s="11"/>
      <c r="H266" s="67"/>
      <c r="I266" s="11"/>
      <c r="J266" s="11"/>
      <c r="K266" s="11"/>
      <c r="L266" s="11"/>
      <c r="M266" s="11"/>
      <c r="N266" s="11"/>
      <c r="O266" s="67"/>
      <c r="P266" s="11"/>
    </row>
    <row r="267" spans="1:16" x14ac:dyDescent="0.25">
      <c r="A267" s="65" t="str">
        <f t="shared" si="3"/>
        <v/>
      </c>
      <c r="F267" s="95" t="str">
        <f>IFERROR(VLOOKUP(B267,tblPeople[],14,FALSE),"")</f>
        <v/>
      </c>
      <c r="G267" s="11"/>
      <c r="H267" s="67"/>
      <c r="I267" s="11"/>
      <c r="J267" s="11"/>
      <c r="K267" s="11"/>
      <c r="L267" s="11"/>
      <c r="M267" s="11"/>
      <c r="N267" s="11"/>
      <c r="O267" s="67"/>
      <c r="P267" s="11"/>
    </row>
    <row r="268" spans="1:16" x14ac:dyDescent="0.25">
      <c r="A268" s="65" t="str">
        <f t="shared" si="3"/>
        <v/>
      </c>
      <c r="F268" s="95" t="str">
        <f>IFERROR(VLOOKUP(B268,tblPeople[],14,FALSE),"")</f>
        <v/>
      </c>
      <c r="G268" s="11"/>
      <c r="H268" s="67"/>
      <c r="I268" s="11"/>
      <c r="J268" s="11"/>
      <c r="K268" s="11"/>
      <c r="L268" s="11"/>
      <c r="M268" s="11"/>
      <c r="N268" s="11"/>
      <c r="O268" s="67"/>
      <c r="P268" s="11"/>
    </row>
    <row r="269" spans="1:16" x14ac:dyDescent="0.25">
      <c r="A269" s="65" t="str">
        <f t="shared" si="3"/>
        <v/>
      </c>
      <c r="F269" s="95" t="str">
        <f>IFERROR(VLOOKUP(B269,tblPeople[],14,FALSE),"")</f>
        <v/>
      </c>
      <c r="G269" s="11"/>
      <c r="H269" s="67"/>
      <c r="I269" s="11"/>
      <c r="J269" s="11"/>
      <c r="K269" s="11"/>
      <c r="L269" s="11"/>
      <c r="M269" s="11"/>
      <c r="N269" s="11"/>
      <c r="O269" s="67"/>
      <c r="P269" s="11"/>
    </row>
    <row r="270" spans="1:16" x14ac:dyDescent="0.25">
      <c r="A270" s="65" t="str">
        <f t="shared" si="3"/>
        <v/>
      </c>
      <c r="F270" s="95" t="str">
        <f>IFERROR(VLOOKUP(B270,tblPeople[],14,FALSE),"")</f>
        <v/>
      </c>
      <c r="G270" s="11"/>
      <c r="H270" s="67"/>
      <c r="I270" s="11"/>
      <c r="J270" s="11"/>
      <c r="K270" s="11"/>
      <c r="L270" s="11"/>
      <c r="M270" s="11"/>
      <c r="N270" s="11"/>
      <c r="O270" s="67"/>
      <c r="P270" s="11"/>
    </row>
    <row r="271" spans="1:16" x14ac:dyDescent="0.25">
      <c r="A271" s="65" t="str">
        <f t="shared" si="3"/>
        <v/>
      </c>
      <c r="F271" s="95" t="str">
        <f>IFERROR(VLOOKUP(B271,tblPeople[],14,FALSE),"")</f>
        <v/>
      </c>
      <c r="G271" s="11"/>
      <c r="H271" s="67"/>
      <c r="I271" s="11"/>
      <c r="J271" s="11"/>
      <c r="K271" s="11"/>
      <c r="L271" s="11"/>
      <c r="M271" s="11"/>
      <c r="N271" s="11"/>
      <c r="O271" s="67"/>
      <c r="P271" s="11"/>
    </row>
    <row r="272" spans="1:16" x14ac:dyDescent="0.25">
      <c r="A272" s="65" t="str">
        <f t="shared" si="3"/>
        <v/>
      </c>
      <c r="F272" s="95" t="str">
        <f>IFERROR(VLOOKUP(B272,tblPeople[],14,FALSE),"")</f>
        <v/>
      </c>
      <c r="G272" s="11"/>
      <c r="H272" s="67"/>
      <c r="I272" s="11"/>
      <c r="J272" s="11"/>
      <c r="K272" s="11"/>
      <c r="L272" s="11"/>
      <c r="M272" s="11"/>
      <c r="N272" s="11"/>
      <c r="O272" s="67"/>
      <c r="P272" s="11"/>
    </row>
    <row r="273" spans="1:16" x14ac:dyDescent="0.25">
      <c r="A273" s="65" t="str">
        <f t="shared" si="3"/>
        <v/>
      </c>
      <c r="F273" s="95" t="str">
        <f>IFERROR(VLOOKUP(B273,tblPeople[],14,FALSE),"")</f>
        <v/>
      </c>
      <c r="G273" s="11"/>
      <c r="H273" s="67"/>
      <c r="I273" s="11"/>
      <c r="J273" s="11"/>
      <c r="K273" s="11"/>
      <c r="L273" s="11"/>
      <c r="M273" s="11"/>
      <c r="N273" s="11"/>
      <c r="O273" s="67"/>
      <c r="P273" s="11"/>
    </row>
    <row r="274" spans="1:16" x14ac:dyDescent="0.25">
      <c r="A274" s="65" t="str">
        <f t="shared" ref="A274:A337" si="4">IF(B274=ISBLANK(""),"",A273+1)</f>
        <v/>
      </c>
      <c r="F274" s="95" t="str">
        <f>IFERROR(VLOOKUP(B274,tblPeople[],14,FALSE),"")</f>
        <v/>
      </c>
      <c r="G274" s="11"/>
      <c r="H274" s="67"/>
      <c r="I274" s="11"/>
      <c r="J274" s="11"/>
      <c r="K274" s="11"/>
      <c r="L274" s="11"/>
      <c r="M274" s="11"/>
      <c r="N274" s="11"/>
      <c r="O274" s="67"/>
      <c r="P274" s="11"/>
    </row>
    <row r="275" spans="1:16" x14ac:dyDescent="0.25">
      <c r="A275" s="65" t="str">
        <f t="shared" si="4"/>
        <v/>
      </c>
      <c r="F275" s="95" t="str">
        <f>IFERROR(VLOOKUP(B275,tblPeople[],14,FALSE),"")</f>
        <v/>
      </c>
      <c r="G275" s="11"/>
      <c r="H275" s="67"/>
      <c r="I275" s="11"/>
      <c r="J275" s="11"/>
      <c r="K275" s="11"/>
      <c r="L275" s="11"/>
      <c r="M275" s="11"/>
      <c r="N275" s="11"/>
      <c r="O275" s="67"/>
      <c r="P275" s="11"/>
    </row>
    <row r="276" spans="1:16" x14ac:dyDescent="0.25">
      <c r="A276" s="65" t="str">
        <f t="shared" si="4"/>
        <v/>
      </c>
      <c r="F276" s="95" t="str">
        <f>IFERROR(VLOOKUP(B276,tblPeople[],14,FALSE),"")</f>
        <v/>
      </c>
      <c r="G276" s="11"/>
      <c r="H276" s="67"/>
      <c r="I276" s="11"/>
      <c r="J276" s="11"/>
      <c r="K276" s="11"/>
      <c r="L276" s="11"/>
      <c r="M276" s="11"/>
      <c r="N276" s="11"/>
      <c r="O276" s="67"/>
      <c r="P276" s="11"/>
    </row>
    <row r="277" spans="1:16" x14ac:dyDescent="0.25">
      <c r="A277" s="65" t="str">
        <f t="shared" si="4"/>
        <v/>
      </c>
      <c r="F277" s="95" t="str">
        <f>IFERROR(VLOOKUP(B277,tblPeople[],14,FALSE),"")</f>
        <v/>
      </c>
      <c r="G277" s="11"/>
      <c r="H277" s="67"/>
      <c r="I277" s="11"/>
      <c r="J277" s="11"/>
      <c r="K277" s="11"/>
      <c r="L277" s="11"/>
      <c r="M277" s="11"/>
      <c r="N277" s="11"/>
      <c r="O277" s="67"/>
      <c r="P277" s="11"/>
    </row>
    <row r="278" spans="1:16" x14ac:dyDescent="0.25">
      <c r="A278" s="65" t="str">
        <f t="shared" si="4"/>
        <v/>
      </c>
      <c r="F278" s="95" t="str">
        <f>IFERROR(VLOOKUP(B278,tblPeople[],14,FALSE),"")</f>
        <v/>
      </c>
      <c r="G278" s="11"/>
      <c r="H278" s="67"/>
      <c r="I278" s="11"/>
      <c r="J278" s="11"/>
      <c r="K278" s="11"/>
      <c r="L278" s="11"/>
      <c r="M278" s="11"/>
      <c r="N278" s="11"/>
      <c r="O278" s="67"/>
      <c r="P278" s="11"/>
    </row>
    <row r="279" spans="1:16" x14ac:dyDescent="0.25">
      <c r="A279" s="65" t="str">
        <f t="shared" si="4"/>
        <v/>
      </c>
      <c r="F279" s="95" t="str">
        <f>IFERROR(VLOOKUP(B279,tblPeople[],14,FALSE),"")</f>
        <v/>
      </c>
      <c r="G279" s="11"/>
      <c r="H279" s="67"/>
      <c r="I279" s="11"/>
      <c r="J279" s="11"/>
      <c r="K279" s="11"/>
      <c r="L279" s="11"/>
      <c r="M279" s="11"/>
      <c r="N279" s="11"/>
      <c r="O279" s="67"/>
      <c r="P279" s="11"/>
    </row>
    <row r="280" spans="1:16" x14ac:dyDescent="0.25">
      <c r="A280" s="65" t="str">
        <f t="shared" si="4"/>
        <v/>
      </c>
      <c r="F280" s="95" t="str">
        <f>IFERROR(VLOOKUP(B280,tblPeople[],14,FALSE),"")</f>
        <v/>
      </c>
      <c r="G280" s="11"/>
      <c r="H280" s="67"/>
      <c r="I280" s="11"/>
      <c r="J280" s="11"/>
      <c r="K280" s="11"/>
      <c r="L280" s="11"/>
      <c r="M280" s="11"/>
      <c r="N280" s="11"/>
      <c r="O280" s="67"/>
      <c r="P280" s="11"/>
    </row>
    <row r="281" spans="1:16" x14ac:dyDescent="0.25">
      <c r="A281" s="65" t="str">
        <f t="shared" si="4"/>
        <v/>
      </c>
      <c r="F281" s="95" t="str">
        <f>IFERROR(VLOOKUP(B281,tblPeople[],14,FALSE),"")</f>
        <v/>
      </c>
      <c r="G281" s="11"/>
      <c r="H281" s="67"/>
      <c r="I281" s="11"/>
      <c r="J281" s="11"/>
      <c r="K281" s="11"/>
      <c r="L281" s="11"/>
      <c r="M281" s="11"/>
      <c r="N281" s="11"/>
      <c r="O281" s="67"/>
      <c r="P281" s="11"/>
    </row>
    <row r="282" spans="1:16" x14ac:dyDescent="0.25">
      <c r="A282" s="65" t="str">
        <f t="shared" si="4"/>
        <v/>
      </c>
      <c r="F282" s="95" t="str">
        <f>IFERROR(VLOOKUP(B282,tblPeople[],14,FALSE),"")</f>
        <v/>
      </c>
      <c r="G282" s="11"/>
      <c r="H282" s="67"/>
      <c r="I282" s="11"/>
      <c r="J282" s="11"/>
      <c r="K282" s="11"/>
      <c r="L282" s="11"/>
      <c r="M282" s="11"/>
      <c r="N282" s="11"/>
      <c r="O282" s="67"/>
      <c r="P282" s="11"/>
    </row>
    <row r="283" spans="1:16" x14ac:dyDescent="0.25">
      <c r="A283" s="65" t="str">
        <f t="shared" si="4"/>
        <v/>
      </c>
      <c r="F283" s="95" t="str">
        <f>IFERROR(VLOOKUP(B283,tblPeople[],14,FALSE),"")</f>
        <v/>
      </c>
      <c r="G283" s="11"/>
      <c r="H283" s="67"/>
      <c r="I283" s="11"/>
      <c r="J283" s="11"/>
      <c r="K283" s="11"/>
      <c r="L283" s="11"/>
      <c r="M283" s="11"/>
      <c r="N283" s="11"/>
      <c r="O283" s="67"/>
      <c r="P283" s="11"/>
    </row>
    <row r="284" spans="1:16" x14ac:dyDescent="0.25">
      <c r="A284" s="65" t="str">
        <f t="shared" si="4"/>
        <v/>
      </c>
      <c r="F284" s="95" t="str">
        <f>IFERROR(VLOOKUP(B284,tblPeople[],14,FALSE),"")</f>
        <v/>
      </c>
      <c r="G284" s="11"/>
      <c r="H284" s="67"/>
      <c r="I284" s="11"/>
      <c r="J284" s="11"/>
      <c r="K284" s="11"/>
      <c r="L284" s="11"/>
      <c r="M284" s="11"/>
      <c r="N284" s="11"/>
      <c r="O284" s="67"/>
      <c r="P284" s="11"/>
    </row>
    <row r="285" spans="1:16" x14ac:dyDescent="0.25">
      <c r="A285" s="65" t="str">
        <f t="shared" si="4"/>
        <v/>
      </c>
      <c r="F285" s="95" t="str">
        <f>IFERROR(VLOOKUP(B285,tblPeople[],14,FALSE),"")</f>
        <v/>
      </c>
      <c r="G285" s="11"/>
      <c r="H285" s="67"/>
      <c r="I285" s="11"/>
      <c r="J285" s="11"/>
      <c r="K285" s="11"/>
      <c r="L285" s="11"/>
      <c r="M285" s="11"/>
      <c r="N285" s="11"/>
      <c r="O285" s="67"/>
      <c r="P285" s="11"/>
    </row>
    <row r="286" spans="1:16" x14ac:dyDescent="0.25">
      <c r="A286" s="65" t="str">
        <f t="shared" si="4"/>
        <v/>
      </c>
      <c r="F286" s="95" t="str">
        <f>IFERROR(VLOOKUP(B286,tblPeople[],14,FALSE),"")</f>
        <v/>
      </c>
      <c r="G286" s="11"/>
      <c r="H286" s="67"/>
      <c r="I286" s="11"/>
      <c r="J286" s="11"/>
      <c r="K286" s="11"/>
      <c r="L286" s="11"/>
      <c r="M286" s="11"/>
      <c r="N286" s="11"/>
      <c r="O286" s="67"/>
      <c r="P286" s="11"/>
    </row>
    <row r="287" spans="1:16" x14ac:dyDescent="0.25">
      <c r="A287" s="65" t="str">
        <f t="shared" si="4"/>
        <v/>
      </c>
      <c r="F287" s="95" t="str">
        <f>IFERROR(VLOOKUP(B287,tblPeople[],14,FALSE),"")</f>
        <v/>
      </c>
      <c r="G287" s="11"/>
      <c r="H287" s="67"/>
      <c r="I287" s="11"/>
      <c r="J287" s="11"/>
      <c r="K287" s="11"/>
      <c r="L287" s="11"/>
      <c r="M287" s="11"/>
      <c r="N287" s="11"/>
      <c r="O287" s="67"/>
      <c r="P287" s="11"/>
    </row>
    <row r="288" spans="1:16" x14ac:dyDescent="0.25">
      <c r="A288" s="65" t="str">
        <f t="shared" si="4"/>
        <v/>
      </c>
      <c r="F288" s="95" t="str">
        <f>IFERROR(VLOOKUP(B288,tblPeople[],14,FALSE),"")</f>
        <v/>
      </c>
      <c r="G288" s="11"/>
      <c r="H288" s="67"/>
      <c r="I288" s="11"/>
      <c r="J288" s="11"/>
      <c r="K288" s="11"/>
      <c r="L288" s="11"/>
      <c r="M288" s="11"/>
      <c r="N288" s="11"/>
      <c r="O288" s="67"/>
      <c r="P288" s="11"/>
    </row>
    <row r="289" spans="1:16" x14ac:dyDescent="0.25">
      <c r="A289" s="65" t="str">
        <f t="shared" si="4"/>
        <v/>
      </c>
      <c r="F289" s="95" t="str">
        <f>IFERROR(VLOOKUP(B289,tblPeople[],14,FALSE),"")</f>
        <v/>
      </c>
      <c r="G289" s="11"/>
      <c r="H289" s="67"/>
      <c r="I289" s="11"/>
      <c r="J289" s="11"/>
      <c r="K289" s="11"/>
      <c r="L289" s="11"/>
      <c r="M289" s="11"/>
      <c r="N289" s="11"/>
      <c r="O289" s="67"/>
      <c r="P289" s="11"/>
    </row>
    <row r="290" spans="1:16" x14ac:dyDescent="0.25">
      <c r="A290" s="65" t="str">
        <f t="shared" si="4"/>
        <v/>
      </c>
      <c r="F290" s="95" t="str">
        <f>IFERROR(VLOOKUP(B290,tblPeople[],14,FALSE),"")</f>
        <v/>
      </c>
      <c r="G290" s="11"/>
      <c r="H290" s="67"/>
      <c r="I290" s="11"/>
      <c r="J290" s="11"/>
      <c r="K290" s="11"/>
      <c r="L290" s="11"/>
      <c r="M290" s="11"/>
      <c r="N290" s="11"/>
      <c r="O290" s="67"/>
      <c r="P290" s="11"/>
    </row>
    <row r="291" spans="1:16" x14ac:dyDescent="0.25">
      <c r="A291" s="65" t="str">
        <f t="shared" si="4"/>
        <v/>
      </c>
      <c r="F291" s="95" t="str">
        <f>IFERROR(VLOOKUP(B291,tblPeople[],14,FALSE),"")</f>
        <v/>
      </c>
      <c r="G291" s="11"/>
      <c r="H291" s="67"/>
      <c r="I291" s="11"/>
      <c r="J291" s="11"/>
      <c r="K291" s="11"/>
      <c r="L291" s="11"/>
      <c r="M291" s="11"/>
      <c r="N291" s="11"/>
      <c r="O291" s="67"/>
      <c r="P291" s="11"/>
    </row>
    <row r="292" spans="1:16" x14ac:dyDescent="0.25">
      <c r="A292" s="65" t="str">
        <f t="shared" si="4"/>
        <v/>
      </c>
      <c r="F292" s="95" t="str">
        <f>IFERROR(VLOOKUP(B292,tblPeople[],14,FALSE),"")</f>
        <v/>
      </c>
      <c r="G292" s="11"/>
      <c r="H292" s="67"/>
      <c r="I292" s="11"/>
      <c r="J292" s="11"/>
      <c r="K292" s="11"/>
      <c r="L292" s="11"/>
      <c r="M292" s="11"/>
      <c r="N292" s="11"/>
      <c r="O292" s="67"/>
      <c r="P292" s="11"/>
    </row>
    <row r="293" spans="1:16" x14ac:dyDescent="0.25">
      <c r="A293" s="65" t="str">
        <f t="shared" si="4"/>
        <v/>
      </c>
      <c r="F293" s="95" t="str">
        <f>IFERROR(VLOOKUP(B293,tblPeople[],14,FALSE),"")</f>
        <v/>
      </c>
      <c r="G293" s="11"/>
      <c r="H293" s="67"/>
      <c r="I293" s="11"/>
      <c r="J293" s="11"/>
      <c r="K293" s="11"/>
      <c r="L293" s="11"/>
      <c r="M293" s="11"/>
      <c r="N293" s="11"/>
      <c r="O293" s="67"/>
      <c r="P293" s="11"/>
    </row>
    <row r="294" spans="1:16" x14ac:dyDescent="0.25">
      <c r="A294" s="65" t="str">
        <f t="shared" si="4"/>
        <v/>
      </c>
      <c r="F294" s="95" t="str">
        <f>IFERROR(VLOOKUP(B294,tblPeople[],14,FALSE),"")</f>
        <v/>
      </c>
      <c r="G294" s="11"/>
      <c r="H294" s="67"/>
      <c r="I294" s="11"/>
      <c r="J294" s="11"/>
      <c r="K294" s="11"/>
      <c r="L294" s="11"/>
      <c r="M294" s="11"/>
      <c r="N294" s="11"/>
      <c r="O294" s="67"/>
      <c r="P294" s="11"/>
    </row>
    <row r="295" spans="1:16" x14ac:dyDescent="0.25">
      <c r="A295" s="65" t="str">
        <f t="shared" si="4"/>
        <v/>
      </c>
      <c r="F295" s="95" t="str">
        <f>IFERROR(VLOOKUP(B295,tblPeople[],14,FALSE),"")</f>
        <v/>
      </c>
      <c r="G295" s="11"/>
      <c r="H295" s="67"/>
      <c r="I295" s="11"/>
      <c r="J295" s="11"/>
      <c r="K295" s="11"/>
      <c r="L295" s="11"/>
      <c r="M295" s="11"/>
      <c r="N295" s="11"/>
      <c r="O295" s="67"/>
      <c r="P295" s="11"/>
    </row>
    <row r="296" spans="1:16" x14ac:dyDescent="0.25">
      <c r="A296" s="65" t="str">
        <f t="shared" si="4"/>
        <v/>
      </c>
      <c r="F296" s="95" t="str">
        <f>IFERROR(VLOOKUP(B296,tblPeople[],14,FALSE),"")</f>
        <v/>
      </c>
      <c r="G296" s="11"/>
      <c r="H296" s="67"/>
      <c r="I296" s="11"/>
      <c r="J296" s="11"/>
      <c r="K296" s="11"/>
      <c r="L296" s="11"/>
      <c r="M296" s="11"/>
      <c r="N296" s="11"/>
      <c r="O296" s="67"/>
      <c r="P296" s="11"/>
    </row>
    <row r="297" spans="1:16" x14ac:dyDescent="0.25">
      <c r="A297" s="65" t="str">
        <f t="shared" si="4"/>
        <v/>
      </c>
      <c r="F297" s="95" t="str">
        <f>IFERROR(VLOOKUP(B297,tblPeople[],14,FALSE),"")</f>
        <v/>
      </c>
      <c r="G297" s="11"/>
      <c r="H297" s="67"/>
      <c r="I297" s="11"/>
      <c r="J297" s="11"/>
      <c r="K297" s="11"/>
      <c r="L297" s="11"/>
      <c r="M297" s="11"/>
      <c r="N297" s="11"/>
      <c r="O297" s="67"/>
      <c r="P297" s="11"/>
    </row>
    <row r="298" spans="1:16" x14ac:dyDescent="0.25">
      <c r="A298" s="65" t="str">
        <f t="shared" si="4"/>
        <v/>
      </c>
      <c r="F298" s="95" t="str">
        <f>IFERROR(VLOOKUP(B298,tblPeople[],14,FALSE),"")</f>
        <v/>
      </c>
      <c r="G298" s="11"/>
      <c r="H298" s="67"/>
      <c r="I298" s="11"/>
      <c r="J298" s="11"/>
      <c r="K298" s="11"/>
      <c r="L298" s="11"/>
      <c r="M298" s="11"/>
      <c r="N298" s="11"/>
      <c r="O298" s="67"/>
      <c r="P298" s="11"/>
    </row>
    <row r="299" spans="1:16" x14ac:dyDescent="0.25">
      <c r="A299" s="65" t="str">
        <f t="shared" si="4"/>
        <v/>
      </c>
      <c r="F299" s="95" t="str">
        <f>IFERROR(VLOOKUP(B299,tblPeople[],14,FALSE),"")</f>
        <v/>
      </c>
      <c r="G299" s="11"/>
      <c r="H299" s="67"/>
      <c r="I299" s="11"/>
      <c r="J299" s="11"/>
      <c r="K299" s="11"/>
      <c r="L299" s="11"/>
      <c r="M299" s="11"/>
      <c r="N299" s="11"/>
      <c r="O299" s="67"/>
      <c r="P299" s="11"/>
    </row>
    <row r="300" spans="1:16" x14ac:dyDescent="0.25">
      <c r="A300" s="65" t="str">
        <f t="shared" si="4"/>
        <v/>
      </c>
      <c r="F300" s="95" t="str">
        <f>IFERROR(VLOOKUP(B300,tblPeople[],14,FALSE),"")</f>
        <v/>
      </c>
      <c r="G300" s="11"/>
      <c r="H300" s="67"/>
      <c r="I300" s="11"/>
      <c r="J300" s="11"/>
      <c r="K300" s="11"/>
      <c r="L300" s="11"/>
      <c r="M300" s="11"/>
      <c r="N300" s="11"/>
      <c r="O300" s="67"/>
      <c r="P300" s="11"/>
    </row>
    <row r="301" spans="1:16" x14ac:dyDescent="0.25">
      <c r="A301" s="65" t="str">
        <f t="shared" si="4"/>
        <v/>
      </c>
      <c r="F301" s="95" t="str">
        <f>IFERROR(VLOOKUP(B301,tblPeople[],14,FALSE),"")</f>
        <v/>
      </c>
      <c r="G301" s="11"/>
      <c r="H301" s="67"/>
      <c r="I301" s="11"/>
      <c r="J301" s="11"/>
      <c r="K301" s="11"/>
      <c r="L301" s="11"/>
      <c r="M301" s="11"/>
      <c r="N301" s="11"/>
      <c r="O301" s="67"/>
      <c r="P301" s="11"/>
    </row>
    <row r="302" spans="1:16" x14ac:dyDescent="0.25">
      <c r="A302" s="65" t="str">
        <f t="shared" si="4"/>
        <v/>
      </c>
      <c r="F302" s="95" t="str">
        <f>IFERROR(VLOOKUP(B302,tblPeople[],14,FALSE),"")</f>
        <v/>
      </c>
      <c r="G302" s="11"/>
      <c r="H302" s="67"/>
      <c r="I302" s="11"/>
      <c r="J302" s="11"/>
      <c r="K302" s="11"/>
      <c r="L302" s="11"/>
      <c r="M302" s="11"/>
      <c r="N302" s="11"/>
      <c r="O302" s="67"/>
      <c r="P302" s="11"/>
    </row>
    <row r="303" spans="1:16" x14ac:dyDescent="0.25">
      <c r="A303" s="65" t="str">
        <f t="shared" si="4"/>
        <v/>
      </c>
      <c r="F303" s="95" t="str">
        <f>IFERROR(VLOOKUP(B303,tblPeople[],14,FALSE),"")</f>
        <v/>
      </c>
      <c r="G303" s="11"/>
      <c r="H303" s="67"/>
      <c r="I303" s="11"/>
      <c r="J303" s="11"/>
      <c r="K303" s="11"/>
      <c r="L303" s="11"/>
      <c r="M303" s="11"/>
      <c r="N303" s="11"/>
      <c r="O303" s="67"/>
      <c r="P303" s="11"/>
    </row>
    <row r="304" spans="1:16" x14ac:dyDescent="0.25">
      <c r="A304" s="65" t="str">
        <f t="shared" si="4"/>
        <v/>
      </c>
      <c r="F304" s="95" t="str">
        <f>IFERROR(VLOOKUP(B304,tblPeople[],14,FALSE),"")</f>
        <v/>
      </c>
      <c r="G304" s="11"/>
      <c r="H304" s="67"/>
      <c r="I304" s="11"/>
      <c r="J304" s="11"/>
      <c r="K304" s="11"/>
      <c r="L304" s="11"/>
      <c r="M304" s="11"/>
      <c r="N304" s="11"/>
      <c r="O304" s="67"/>
      <c r="P304" s="11"/>
    </row>
    <row r="305" spans="1:16" x14ac:dyDescent="0.25">
      <c r="A305" s="65" t="str">
        <f t="shared" si="4"/>
        <v/>
      </c>
      <c r="F305" s="95" t="str">
        <f>IFERROR(VLOOKUP(B305,tblPeople[],14,FALSE),"")</f>
        <v/>
      </c>
      <c r="G305" s="11"/>
      <c r="H305" s="67"/>
      <c r="I305" s="11"/>
      <c r="J305" s="11"/>
      <c r="K305" s="11"/>
      <c r="L305" s="11"/>
      <c r="M305" s="11"/>
      <c r="N305" s="11"/>
      <c r="O305" s="67"/>
      <c r="P305" s="11"/>
    </row>
    <row r="306" spans="1:16" x14ac:dyDescent="0.25">
      <c r="A306" s="65" t="str">
        <f t="shared" si="4"/>
        <v/>
      </c>
      <c r="F306" s="95" t="str">
        <f>IFERROR(VLOOKUP(B306,tblPeople[],14,FALSE),"")</f>
        <v/>
      </c>
      <c r="G306" s="11"/>
      <c r="H306" s="67"/>
      <c r="I306" s="11"/>
      <c r="J306" s="11"/>
      <c r="K306" s="11"/>
      <c r="L306" s="11"/>
      <c r="M306" s="11"/>
      <c r="N306" s="11"/>
      <c r="O306" s="67"/>
      <c r="P306" s="11"/>
    </row>
    <row r="307" spans="1:16" x14ac:dyDescent="0.25">
      <c r="A307" s="65" t="str">
        <f t="shared" si="4"/>
        <v/>
      </c>
      <c r="F307" s="95" t="str">
        <f>IFERROR(VLOOKUP(B307,tblPeople[],14,FALSE),"")</f>
        <v/>
      </c>
      <c r="G307" s="11"/>
      <c r="H307" s="67"/>
      <c r="I307" s="11"/>
      <c r="J307" s="11"/>
      <c r="K307" s="11"/>
      <c r="L307" s="11"/>
      <c r="M307" s="11"/>
      <c r="N307" s="11"/>
      <c r="O307" s="67"/>
      <c r="P307" s="11"/>
    </row>
    <row r="308" spans="1:16" x14ac:dyDescent="0.25">
      <c r="A308" s="65" t="str">
        <f t="shared" si="4"/>
        <v/>
      </c>
      <c r="F308" s="95" t="str">
        <f>IFERROR(VLOOKUP(B308,tblPeople[],14,FALSE),"")</f>
        <v/>
      </c>
      <c r="G308" s="11"/>
      <c r="H308" s="67"/>
      <c r="I308" s="11"/>
      <c r="J308" s="11"/>
      <c r="K308" s="11"/>
      <c r="L308" s="11"/>
      <c r="M308" s="11"/>
      <c r="N308" s="11"/>
      <c r="O308" s="67"/>
      <c r="P308" s="11"/>
    </row>
    <row r="309" spans="1:16" x14ac:dyDescent="0.25">
      <c r="A309" s="65" t="str">
        <f t="shared" si="4"/>
        <v/>
      </c>
      <c r="F309" s="95" t="str">
        <f>IFERROR(VLOOKUP(B309,tblPeople[],14,FALSE),"")</f>
        <v/>
      </c>
      <c r="G309" s="11"/>
      <c r="H309" s="67"/>
      <c r="I309" s="11"/>
      <c r="J309" s="11"/>
      <c r="K309" s="11"/>
      <c r="L309" s="11"/>
      <c r="M309" s="11"/>
      <c r="N309" s="11"/>
      <c r="O309" s="67"/>
      <c r="P309" s="11"/>
    </row>
    <row r="310" spans="1:16" x14ac:dyDescent="0.25">
      <c r="A310" s="65" t="str">
        <f t="shared" si="4"/>
        <v/>
      </c>
      <c r="F310" s="95" t="str">
        <f>IFERROR(VLOOKUP(B310,tblPeople[],14,FALSE),"")</f>
        <v/>
      </c>
      <c r="G310" s="11"/>
      <c r="H310" s="67"/>
      <c r="I310" s="11"/>
      <c r="J310" s="11"/>
      <c r="K310" s="11"/>
      <c r="L310" s="11"/>
      <c r="M310" s="11"/>
      <c r="N310" s="11"/>
      <c r="O310" s="67"/>
      <c r="P310" s="11"/>
    </row>
    <row r="311" spans="1:16" x14ac:dyDescent="0.25">
      <c r="A311" s="65" t="str">
        <f t="shared" si="4"/>
        <v/>
      </c>
      <c r="F311" s="95" t="str">
        <f>IFERROR(VLOOKUP(B311,tblPeople[],14,FALSE),"")</f>
        <v/>
      </c>
      <c r="G311" s="11"/>
      <c r="H311" s="67"/>
      <c r="I311" s="11"/>
      <c r="J311" s="11"/>
      <c r="K311" s="11"/>
      <c r="L311" s="11"/>
      <c r="M311" s="11"/>
      <c r="N311" s="11"/>
      <c r="O311" s="67"/>
      <c r="P311" s="11"/>
    </row>
    <row r="312" spans="1:16" x14ac:dyDescent="0.25">
      <c r="A312" s="65" t="str">
        <f t="shared" si="4"/>
        <v/>
      </c>
      <c r="F312" s="95" t="str">
        <f>IFERROR(VLOOKUP(B312,tblPeople[],14,FALSE),"")</f>
        <v/>
      </c>
      <c r="G312" s="11"/>
      <c r="H312" s="67"/>
      <c r="I312" s="11"/>
      <c r="J312" s="11"/>
      <c r="K312" s="11"/>
      <c r="L312" s="11"/>
      <c r="M312" s="11"/>
      <c r="N312" s="11"/>
      <c r="O312" s="67"/>
      <c r="P312" s="11"/>
    </row>
    <row r="313" spans="1:16" x14ac:dyDescent="0.25">
      <c r="A313" s="65" t="str">
        <f t="shared" si="4"/>
        <v/>
      </c>
      <c r="F313" s="95" t="str">
        <f>IFERROR(VLOOKUP(B313,tblPeople[],14,FALSE),"")</f>
        <v/>
      </c>
      <c r="G313" s="11"/>
      <c r="H313" s="67"/>
      <c r="I313" s="11"/>
      <c r="J313" s="11"/>
      <c r="K313" s="11"/>
      <c r="L313" s="11"/>
      <c r="M313" s="11"/>
      <c r="N313" s="11"/>
      <c r="O313" s="67"/>
      <c r="P313" s="11"/>
    </row>
    <row r="314" spans="1:16" x14ac:dyDescent="0.25">
      <c r="A314" s="65" t="str">
        <f t="shared" si="4"/>
        <v/>
      </c>
      <c r="F314" s="95" t="str">
        <f>IFERROR(VLOOKUP(B314,tblPeople[],14,FALSE),"")</f>
        <v/>
      </c>
      <c r="G314" s="11"/>
      <c r="H314" s="67"/>
      <c r="I314" s="11"/>
      <c r="J314" s="11"/>
      <c r="K314" s="11"/>
      <c r="L314" s="11"/>
      <c r="M314" s="11"/>
      <c r="N314" s="11"/>
      <c r="O314" s="67"/>
      <c r="P314" s="11"/>
    </row>
    <row r="315" spans="1:16" x14ac:dyDescent="0.25">
      <c r="A315" s="65" t="str">
        <f t="shared" si="4"/>
        <v/>
      </c>
      <c r="F315" s="95" t="str">
        <f>IFERROR(VLOOKUP(B315,tblPeople[],14,FALSE),"")</f>
        <v/>
      </c>
      <c r="G315" s="11"/>
      <c r="H315" s="67"/>
      <c r="I315" s="11"/>
      <c r="J315" s="11"/>
      <c r="K315" s="11"/>
      <c r="L315" s="11"/>
      <c r="M315" s="11"/>
      <c r="N315" s="11"/>
      <c r="O315" s="67"/>
      <c r="P315" s="11"/>
    </row>
    <row r="316" spans="1:16" x14ac:dyDescent="0.25">
      <c r="A316" s="65" t="str">
        <f t="shared" si="4"/>
        <v/>
      </c>
      <c r="F316" s="95" t="str">
        <f>IFERROR(VLOOKUP(B316,tblPeople[],14,FALSE),"")</f>
        <v/>
      </c>
      <c r="G316" s="11"/>
      <c r="H316" s="67"/>
      <c r="I316" s="11"/>
      <c r="J316" s="11"/>
      <c r="K316" s="11"/>
      <c r="L316" s="11"/>
      <c r="M316" s="11"/>
      <c r="N316" s="11"/>
      <c r="O316" s="67"/>
      <c r="P316" s="11"/>
    </row>
    <row r="317" spans="1:16" x14ac:dyDescent="0.25">
      <c r="A317" s="65" t="str">
        <f t="shared" si="4"/>
        <v/>
      </c>
      <c r="F317" s="95" t="str">
        <f>IFERROR(VLOOKUP(B317,tblPeople[],14,FALSE),"")</f>
        <v/>
      </c>
      <c r="G317" s="11"/>
      <c r="H317" s="67"/>
      <c r="I317" s="11"/>
      <c r="J317" s="11"/>
      <c r="K317" s="11"/>
      <c r="L317" s="11"/>
      <c r="M317" s="11"/>
      <c r="N317" s="11"/>
      <c r="O317" s="67"/>
      <c r="P317" s="11"/>
    </row>
    <row r="318" spans="1:16" x14ac:dyDescent="0.25">
      <c r="A318" s="65" t="str">
        <f t="shared" si="4"/>
        <v/>
      </c>
      <c r="F318" s="95" t="str">
        <f>IFERROR(VLOOKUP(B318,tblPeople[],14,FALSE),"")</f>
        <v/>
      </c>
      <c r="G318" s="11"/>
      <c r="H318" s="67"/>
      <c r="I318" s="11"/>
      <c r="J318" s="11"/>
      <c r="K318" s="11"/>
      <c r="L318" s="11"/>
      <c r="M318" s="11"/>
      <c r="N318" s="11"/>
      <c r="O318" s="67"/>
      <c r="P318" s="11"/>
    </row>
    <row r="319" spans="1:16" x14ac:dyDescent="0.25">
      <c r="A319" s="65" t="str">
        <f t="shared" si="4"/>
        <v/>
      </c>
      <c r="F319" s="95" t="str">
        <f>IFERROR(VLOOKUP(B319,tblPeople[],14,FALSE),"")</f>
        <v/>
      </c>
      <c r="G319" s="11"/>
      <c r="H319" s="67"/>
      <c r="I319" s="11"/>
      <c r="J319" s="11"/>
      <c r="K319" s="11"/>
      <c r="L319" s="11"/>
      <c r="M319" s="11"/>
      <c r="N319" s="11"/>
      <c r="O319" s="67"/>
      <c r="P319" s="11"/>
    </row>
    <row r="320" spans="1:16" x14ac:dyDescent="0.25">
      <c r="A320" s="65" t="str">
        <f t="shared" si="4"/>
        <v/>
      </c>
      <c r="F320" s="95" t="str">
        <f>IFERROR(VLOOKUP(B320,tblPeople[],14,FALSE),"")</f>
        <v/>
      </c>
      <c r="G320" s="11"/>
      <c r="H320" s="67"/>
      <c r="I320" s="11"/>
      <c r="J320" s="11"/>
      <c r="K320" s="11"/>
      <c r="L320" s="11"/>
      <c r="M320" s="11"/>
      <c r="N320" s="11"/>
      <c r="O320" s="67"/>
      <c r="P320" s="11"/>
    </row>
    <row r="321" spans="1:16" x14ac:dyDescent="0.25">
      <c r="A321" s="65" t="str">
        <f t="shared" si="4"/>
        <v/>
      </c>
      <c r="F321" s="95" t="str">
        <f>IFERROR(VLOOKUP(B321,tblPeople[],14,FALSE),"")</f>
        <v/>
      </c>
      <c r="G321" s="11"/>
      <c r="H321" s="67"/>
      <c r="I321" s="11"/>
      <c r="J321" s="11"/>
      <c r="K321" s="11"/>
      <c r="L321" s="11"/>
      <c r="M321" s="11"/>
      <c r="N321" s="11"/>
      <c r="O321" s="67"/>
      <c r="P321" s="11"/>
    </row>
    <row r="322" spans="1:16" x14ac:dyDescent="0.25">
      <c r="A322" s="65" t="str">
        <f t="shared" si="4"/>
        <v/>
      </c>
      <c r="F322" s="95" t="str">
        <f>IFERROR(VLOOKUP(B322,tblPeople[],14,FALSE),"")</f>
        <v/>
      </c>
      <c r="G322" s="11"/>
      <c r="H322" s="67"/>
      <c r="I322" s="11"/>
      <c r="J322" s="11"/>
      <c r="K322" s="11"/>
      <c r="L322" s="11"/>
      <c r="M322" s="11"/>
      <c r="N322" s="11"/>
      <c r="O322" s="67"/>
      <c r="P322" s="11"/>
    </row>
    <row r="323" spans="1:16" x14ac:dyDescent="0.25">
      <c r="A323" s="65" t="str">
        <f t="shared" si="4"/>
        <v/>
      </c>
      <c r="F323" s="95" t="str">
        <f>IFERROR(VLOOKUP(B323,tblPeople[],14,FALSE),"")</f>
        <v/>
      </c>
      <c r="G323" s="11"/>
      <c r="H323" s="67"/>
      <c r="I323" s="11"/>
      <c r="J323" s="11"/>
      <c r="K323" s="11"/>
      <c r="L323" s="11"/>
      <c r="M323" s="11"/>
      <c r="N323" s="11"/>
      <c r="O323" s="67"/>
      <c r="P323" s="11"/>
    </row>
    <row r="324" spans="1:16" x14ac:dyDescent="0.25">
      <c r="A324" s="65" t="str">
        <f t="shared" si="4"/>
        <v/>
      </c>
      <c r="F324" s="95" t="str">
        <f>IFERROR(VLOOKUP(B324,tblPeople[],14,FALSE),"")</f>
        <v/>
      </c>
      <c r="G324" s="11"/>
      <c r="H324" s="67"/>
      <c r="I324" s="11"/>
      <c r="J324" s="11"/>
      <c r="K324" s="11"/>
      <c r="L324" s="11"/>
      <c r="M324" s="11"/>
      <c r="N324" s="11"/>
      <c r="O324" s="67"/>
      <c r="P324" s="11"/>
    </row>
    <row r="325" spans="1:16" x14ac:dyDescent="0.25">
      <c r="A325" s="65" t="str">
        <f t="shared" si="4"/>
        <v/>
      </c>
      <c r="F325" s="95" t="str">
        <f>IFERROR(VLOOKUP(B325,tblPeople[],14,FALSE),"")</f>
        <v/>
      </c>
      <c r="G325" s="11"/>
      <c r="H325" s="67"/>
      <c r="I325" s="11"/>
      <c r="J325" s="11"/>
      <c r="K325" s="11"/>
      <c r="L325" s="11"/>
      <c r="M325" s="11"/>
      <c r="N325" s="11"/>
      <c r="O325" s="67"/>
      <c r="P325" s="11"/>
    </row>
    <row r="326" spans="1:16" x14ac:dyDescent="0.25">
      <c r="A326" s="65" t="str">
        <f t="shared" si="4"/>
        <v/>
      </c>
      <c r="F326" s="95" t="str">
        <f>IFERROR(VLOOKUP(B326,tblPeople[],14,FALSE),"")</f>
        <v/>
      </c>
      <c r="G326" s="11"/>
      <c r="H326" s="67"/>
      <c r="I326" s="11"/>
      <c r="J326" s="11"/>
      <c r="K326" s="11"/>
      <c r="L326" s="11"/>
      <c r="M326" s="11"/>
      <c r="N326" s="11"/>
      <c r="O326" s="67"/>
      <c r="P326" s="11"/>
    </row>
    <row r="327" spans="1:16" x14ac:dyDescent="0.25">
      <c r="A327" s="65" t="str">
        <f t="shared" si="4"/>
        <v/>
      </c>
      <c r="F327" s="95" t="str">
        <f>IFERROR(VLOOKUP(B327,tblPeople[],14,FALSE),"")</f>
        <v/>
      </c>
      <c r="G327" s="11"/>
      <c r="H327" s="67"/>
      <c r="I327" s="11"/>
      <c r="J327" s="11"/>
      <c r="K327" s="11"/>
      <c r="L327" s="11"/>
      <c r="M327" s="11"/>
      <c r="N327" s="11"/>
      <c r="O327" s="67"/>
      <c r="P327" s="11"/>
    </row>
    <row r="328" spans="1:16" x14ac:dyDescent="0.25">
      <c r="A328" s="65" t="str">
        <f t="shared" si="4"/>
        <v/>
      </c>
      <c r="F328" s="95" t="str">
        <f>IFERROR(VLOOKUP(B328,tblPeople[],14,FALSE),"")</f>
        <v/>
      </c>
      <c r="G328" s="11"/>
      <c r="H328" s="67"/>
      <c r="I328" s="11"/>
      <c r="J328" s="11"/>
      <c r="K328" s="11"/>
      <c r="L328" s="11"/>
      <c r="M328" s="11"/>
      <c r="N328" s="11"/>
      <c r="O328" s="67"/>
      <c r="P328" s="11"/>
    </row>
    <row r="329" spans="1:16" x14ac:dyDescent="0.25">
      <c r="A329" s="65" t="str">
        <f t="shared" si="4"/>
        <v/>
      </c>
      <c r="F329" s="95" t="str">
        <f>IFERROR(VLOOKUP(B329,tblPeople[],14,FALSE),"")</f>
        <v/>
      </c>
      <c r="G329" s="11"/>
      <c r="H329" s="67"/>
      <c r="I329" s="11"/>
      <c r="J329" s="11"/>
      <c r="K329" s="11"/>
      <c r="L329" s="11"/>
      <c r="M329" s="11"/>
      <c r="N329" s="11"/>
      <c r="O329" s="67"/>
      <c r="P329" s="11"/>
    </row>
    <row r="330" spans="1:16" x14ac:dyDescent="0.25">
      <c r="A330" s="65" t="str">
        <f t="shared" si="4"/>
        <v/>
      </c>
      <c r="F330" s="95" t="str">
        <f>IFERROR(VLOOKUP(B330,tblPeople[],14,FALSE),"")</f>
        <v/>
      </c>
      <c r="G330" s="11"/>
      <c r="H330" s="67"/>
      <c r="I330" s="11"/>
      <c r="J330" s="11"/>
      <c r="K330" s="11"/>
      <c r="L330" s="11"/>
      <c r="M330" s="11"/>
      <c r="N330" s="11"/>
      <c r="O330" s="67"/>
      <c r="P330" s="11"/>
    </row>
    <row r="331" spans="1:16" x14ac:dyDescent="0.25">
      <c r="A331" s="65" t="str">
        <f t="shared" si="4"/>
        <v/>
      </c>
      <c r="F331" s="95" t="str">
        <f>IFERROR(VLOOKUP(B331,tblPeople[],14,FALSE),"")</f>
        <v/>
      </c>
      <c r="G331" s="11"/>
      <c r="H331" s="67"/>
      <c r="I331" s="11"/>
      <c r="J331" s="11"/>
      <c r="K331" s="11"/>
      <c r="L331" s="11"/>
      <c r="M331" s="11"/>
      <c r="N331" s="11"/>
      <c r="O331" s="67"/>
      <c r="P331" s="11"/>
    </row>
    <row r="332" spans="1:16" x14ac:dyDescent="0.25">
      <c r="A332" s="65" t="str">
        <f t="shared" si="4"/>
        <v/>
      </c>
      <c r="F332" s="95" t="str">
        <f>IFERROR(VLOOKUP(B332,tblPeople[],14,FALSE),"")</f>
        <v/>
      </c>
      <c r="G332" s="11"/>
      <c r="H332" s="67"/>
      <c r="I332" s="11"/>
      <c r="J332" s="11"/>
      <c r="K332" s="11"/>
      <c r="L332" s="11"/>
      <c r="M332" s="11"/>
      <c r="N332" s="11"/>
      <c r="O332" s="67"/>
      <c r="P332" s="11"/>
    </row>
    <row r="333" spans="1:16" x14ac:dyDescent="0.25">
      <c r="A333" s="65" t="str">
        <f t="shared" si="4"/>
        <v/>
      </c>
      <c r="F333" s="95" t="str">
        <f>IFERROR(VLOOKUP(B333,tblPeople[],14,FALSE),"")</f>
        <v/>
      </c>
      <c r="G333" s="11"/>
      <c r="H333" s="67"/>
      <c r="I333" s="11"/>
      <c r="J333" s="11"/>
      <c r="K333" s="11"/>
      <c r="L333" s="11"/>
      <c r="M333" s="11"/>
      <c r="N333" s="11"/>
      <c r="O333" s="67"/>
      <c r="P333" s="11"/>
    </row>
    <row r="334" spans="1:16" x14ac:dyDescent="0.25">
      <c r="A334" s="65" t="str">
        <f t="shared" si="4"/>
        <v/>
      </c>
      <c r="F334" s="95" t="str">
        <f>IFERROR(VLOOKUP(B334,tblPeople[],14,FALSE),"")</f>
        <v/>
      </c>
      <c r="G334" s="11"/>
      <c r="H334" s="67"/>
      <c r="I334" s="11"/>
      <c r="J334" s="11"/>
      <c r="K334" s="11"/>
      <c r="L334" s="11"/>
      <c r="M334" s="11"/>
      <c r="N334" s="11"/>
      <c r="O334" s="67"/>
      <c r="P334" s="11"/>
    </row>
    <row r="335" spans="1:16" x14ac:dyDescent="0.25">
      <c r="A335" s="65" t="str">
        <f t="shared" si="4"/>
        <v/>
      </c>
      <c r="F335" s="95" t="str">
        <f>IFERROR(VLOOKUP(B335,tblPeople[],14,FALSE),"")</f>
        <v/>
      </c>
      <c r="G335" s="11"/>
      <c r="H335" s="67"/>
      <c r="I335" s="11"/>
      <c r="J335" s="11"/>
      <c r="K335" s="11"/>
      <c r="L335" s="11"/>
      <c r="M335" s="11"/>
      <c r="N335" s="11"/>
      <c r="O335" s="67"/>
      <c r="P335" s="11"/>
    </row>
    <row r="336" spans="1:16" x14ac:dyDescent="0.25">
      <c r="A336" s="65" t="str">
        <f t="shared" si="4"/>
        <v/>
      </c>
      <c r="F336" s="95" t="str">
        <f>IFERROR(VLOOKUP(B336,tblPeople[],14,FALSE),"")</f>
        <v/>
      </c>
      <c r="G336" s="11"/>
      <c r="H336" s="67"/>
      <c r="I336" s="11"/>
      <c r="J336" s="11"/>
      <c r="K336" s="11"/>
      <c r="L336" s="11"/>
      <c r="M336" s="11"/>
      <c r="N336" s="11"/>
      <c r="O336" s="67"/>
      <c r="P336" s="11"/>
    </row>
    <row r="337" spans="1:16" x14ac:dyDescent="0.25">
      <c r="A337" s="65" t="str">
        <f t="shared" si="4"/>
        <v/>
      </c>
      <c r="F337" s="95" t="str">
        <f>IFERROR(VLOOKUP(B337,tblPeople[],14,FALSE),"")</f>
        <v/>
      </c>
      <c r="G337" s="11"/>
      <c r="H337" s="67"/>
      <c r="I337" s="11"/>
      <c r="J337" s="11"/>
      <c r="K337" s="11"/>
      <c r="L337" s="11"/>
      <c r="M337" s="11"/>
      <c r="N337" s="11"/>
      <c r="O337" s="67"/>
      <c r="P337" s="11"/>
    </row>
    <row r="338" spans="1:16" x14ac:dyDescent="0.25">
      <c r="A338" s="65" t="str">
        <f t="shared" ref="A338:A401" si="5">IF(B338=ISBLANK(""),"",A337+1)</f>
        <v/>
      </c>
      <c r="F338" s="95" t="str">
        <f>IFERROR(VLOOKUP(B338,tblPeople[],14,FALSE),"")</f>
        <v/>
      </c>
      <c r="G338" s="11"/>
      <c r="H338" s="67"/>
      <c r="I338" s="11"/>
      <c r="J338" s="11"/>
      <c r="K338" s="11"/>
      <c r="L338" s="11"/>
      <c r="M338" s="11"/>
      <c r="N338" s="11"/>
      <c r="O338" s="67"/>
      <c r="P338" s="11"/>
    </row>
    <row r="339" spans="1:16" x14ac:dyDescent="0.25">
      <c r="A339" s="65" t="str">
        <f t="shared" si="5"/>
        <v/>
      </c>
      <c r="F339" s="95" t="str">
        <f>IFERROR(VLOOKUP(B339,tblPeople[],14,FALSE),"")</f>
        <v/>
      </c>
      <c r="G339" s="11"/>
      <c r="H339" s="67"/>
      <c r="I339" s="11"/>
      <c r="J339" s="11"/>
      <c r="K339" s="11"/>
      <c r="L339" s="11"/>
      <c r="M339" s="11"/>
      <c r="N339" s="11"/>
      <c r="O339" s="67"/>
      <c r="P339" s="11"/>
    </row>
    <row r="340" spans="1:16" x14ac:dyDescent="0.25">
      <c r="A340" s="65" t="str">
        <f t="shared" si="5"/>
        <v/>
      </c>
      <c r="F340" s="95" t="str">
        <f>IFERROR(VLOOKUP(B340,tblPeople[],14,FALSE),"")</f>
        <v/>
      </c>
      <c r="G340" s="11"/>
      <c r="H340" s="67"/>
      <c r="I340" s="11"/>
      <c r="J340" s="11"/>
      <c r="K340" s="11"/>
      <c r="L340" s="11"/>
      <c r="M340" s="11"/>
      <c r="N340" s="11"/>
      <c r="O340" s="67"/>
      <c r="P340" s="11"/>
    </row>
    <row r="341" spans="1:16" x14ac:dyDescent="0.25">
      <c r="A341" s="65" t="str">
        <f t="shared" si="5"/>
        <v/>
      </c>
      <c r="F341" s="95" t="str">
        <f>IFERROR(VLOOKUP(B341,tblPeople[],14,FALSE),"")</f>
        <v/>
      </c>
      <c r="G341" s="11"/>
      <c r="H341" s="67"/>
      <c r="I341" s="11"/>
      <c r="J341" s="11"/>
      <c r="K341" s="11"/>
      <c r="L341" s="11"/>
      <c r="M341" s="11"/>
      <c r="N341" s="11"/>
      <c r="O341" s="67"/>
      <c r="P341" s="11"/>
    </row>
    <row r="342" spans="1:16" x14ac:dyDescent="0.25">
      <c r="A342" s="65" t="str">
        <f t="shared" si="5"/>
        <v/>
      </c>
      <c r="F342" s="95" t="str">
        <f>IFERROR(VLOOKUP(B342,tblPeople[],14,FALSE),"")</f>
        <v/>
      </c>
      <c r="G342" s="11"/>
      <c r="H342" s="67"/>
      <c r="I342" s="11"/>
      <c r="J342" s="11"/>
      <c r="K342" s="11"/>
      <c r="L342" s="11"/>
      <c r="M342" s="11"/>
      <c r="N342" s="11"/>
      <c r="O342" s="67"/>
      <c r="P342" s="11"/>
    </row>
    <row r="343" spans="1:16" x14ac:dyDescent="0.25">
      <c r="A343" s="65" t="str">
        <f t="shared" si="5"/>
        <v/>
      </c>
      <c r="F343" s="95" t="str">
        <f>IFERROR(VLOOKUP(B343,tblPeople[],14,FALSE),"")</f>
        <v/>
      </c>
      <c r="G343" s="11"/>
      <c r="H343" s="67"/>
      <c r="I343" s="11"/>
      <c r="J343" s="11"/>
      <c r="K343" s="11"/>
      <c r="L343" s="11"/>
      <c r="M343" s="11"/>
      <c r="N343" s="11"/>
      <c r="O343" s="67"/>
      <c r="P343" s="11"/>
    </row>
    <row r="344" spans="1:16" x14ac:dyDescent="0.25">
      <c r="A344" s="65" t="str">
        <f t="shared" si="5"/>
        <v/>
      </c>
      <c r="F344" s="95" t="str">
        <f>IFERROR(VLOOKUP(B344,tblPeople[],14,FALSE),"")</f>
        <v/>
      </c>
      <c r="G344" s="11"/>
      <c r="H344" s="67"/>
      <c r="I344" s="11"/>
      <c r="J344" s="11"/>
      <c r="K344" s="11"/>
      <c r="L344" s="11"/>
      <c r="M344" s="11"/>
      <c r="N344" s="11"/>
      <c r="O344" s="67"/>
      <c r="P344" s="11"/>
    </row>
    <row r="345" spans="1:16" x14ac:dyDescent="0.25">
      <c r="A345" s="65" t="str">
        <f t="shared" si="5"/>
        <v/>
      </c>
      <c r="F345" s="95" t="str">
        <f>IFERROR(VLOOKUP(B345,tblPeople[],14,FALSE),"")</f>
        <v/>
      </c>
      <c r="G345" s="11"/>
      <c r="H345" s="67"/>
      <c r="I345" s="11"/>
      <c r="J345" s="11"/>
      <c r="K345" s="11"/>
      <c r="L345" s="11"/>
      <c r="M345" s="11"/>
      <c r="N345" s="11"/>
      <c r="O345" s="67"/>
      <c r="P345" s="11"/>
    </row>
    <row r="346" spans="1:16" x14ac:dyDescent="0.25">
      <c r="A346" s="65" t="str">
        <f t="shared" si="5"/>
        <v/>
      </c>
      <c r="F346" s="95" t="str">
        <f>IFERROR(VLOOKUP(B346,tblPeople[],14,FALSE),"")</f>
        <v/>
      </c>
      <c r="G346" s="11"/>
      <c r="H346" s="67"/>
      <c r="I346" s="11"/>
      <c r="J346" s="11"/>
      <c r="K346" s="11"/>
      <c r="L346" s="11"/>
      <c r="M346" s="11"/>
      <c r="N346" s="11"/>
      <c r="O346" s="67"/>
      <c r="P346" s="11"/>
    </row>
    <row r="347" spans="1:16" x14ac:dyDescent="0.25">
      <c r="A347" s="65" t="str">
        <f t="shared" si="5"/>
        <v/>
      </c>
      <c r="F347" s="95" t="str">
        <f>IFERROR(VLOOKUP(B347,tblPeople[],14,FALSE),"")</f>
        <v/>
      </c>
      <c r="G347" s="11"/>
      <c r="H347" s="67"/>
      <c r="I347" s="11"/>
      <c r="J347" s="11"/>
      <c r="K347" s="11"/>
      <c r="L347" s="11"/>
      <c r="M347" s="11"/>
      <c r="N347" s="11"/>
      <c r="O347" s="67"/>
      <c r="P347" s="11"/>
    </row>
    <row r="348" spans="1:16" x14ac:dyDescent="0.25">
      <c r="A348" s="65" t="str">
        <f t="shared" si="5"/>
        <v/>
      </c>
      <c r="F348" s="95" t="str">
        <f>IFERROR(VLOOKUP(B348,tblPeople[],14,FALSE),"")</f>
        <v/>
      </c>
      <c r="G348" s="11"/>
      <c r="H348" s="67"/>
      <c r="I348" s="11"/>
      <c r="J348" s="11"/>
      <c r="K348" s="11"/>
      <c r="L348" s="11"/>
      <c r="M348" s="11"/>
      <c r="N348" s="11"/>
      <c r="O348" s="67"/>
      <c r="P348" s="11"/>
    </row>
    <row r="349" spans="1:16" x14ac:dyDescent="0.25">
      <c r="A349" s="65" t="str">
        <f t="shared" si="5"/>
        <v/>
      </c>
      <c r="F349" s="95" t="str">
        <f>IFERROR(VLOOKUP(B349,tblPeople[],14,FALSE),"")</f>
        <v/>
      </c>
      <c r="G349" s="11"/>
      <c r="H349" s="67"/>
      <c r="I349" s="11"/>
      <c r="J349" s="11"/>
      <c r="K349" s="11"/>
      <c r="L349" s="11"/>
      <c r="M349" s="11"/>
      <c r="N349" s="11"/>
      <c r="O349" s="67"/>
      <c r="P349" s="11"/>
    </row>
    <row r="350" spans="1:16" x14ac:dyDescent="0.25">
      <c r="A350" s="65" t="str">
        <f t="shared" si="5"/>
        <v/>
      </c>
      <c r="F350" s="95" t="str">
        <f>IFERROR(VLOOKUP(B350,tblPeople[],14,FALSE),"")</f>
        <v/>
      </c>
      <c r="G350" s="11"/>
      <c r="H350" s="67"/>
      <c r="I350" s="11"/>
      <c r="J350" s="11"/>
      <c r="K350" s="11"/>
      <c r="L350" s="11"/>
      <c r="M350" s="11"/>
      <c r="N350" s="11"/>
      <c r="O350" s="67"/>
      <c r="P350" s="11"/>
    </row>
    <row r="351" spans="1:16" x14ac:dyDescent="0.25">
      <c r="A351" s="65" t="str">
        <f t="shared" si="5"/>
        <v/>
      </c>
      <c r="F351" s="95" t="str">
        <f>IFERROR(VLOOKUP(B351,tblPeople[],14,FALSE),"")</f>
        <v/>
      </c>
      <c r="G351" s="11"/>
      <c r="H351" s="67"/>
      <c r="I351" s="11"/>
      <c r="J351" s="11"/>
      <c r="K351" s="11"/>
      <c r="L351" s="11"/>
      <c r="M351" s="11"/>
      <c r="N351" s="11"/>
      <c r="O351" s="67"/>
      <c r="P351" s="11"/>
    </row>
    <row r="352" spans="1:16" x14ac:dyDescent="0.25">
      <c r="A352" s="65" t="str">
        <f t="shared" si="5"/>
        <v/>
      </c>
      <c r="F352" s="95" t="str">
        <f>IFERROR(VLOOKUP(B352,tblPeople[],14,FALSE),"")</f>
        <v/>
      </c>
      <c r="G352" s="11"/>
      <c r="H352" s="67"/>
      <c r="I352" s="11"/>
      <c r="J352" s="11"/>
      <c r="K352" s="11"/>
      <c r="L352" s="11"/>
      <c r="M352" s="11"/>
      <c r="N352" s="11"/>
      <c r="O352" s="67"/>
      <c r="P352" s="11"/>
    </row>
    <row r="353" spans="1:16" x14ac:dyDescent="0.25">
      <c r="A353" s="65" t="str">
        <f t="shared" si="5"/>
        <v/>
      </c>
      <c r="F353" s="95" t="str">
        <f>IFERROR(VLOOKUP(B353,tblPeople[],14,FALSE),"")</f>
        <v/>
      </c>
      <c r="G353" s="11"/>
      <c r="H353" s="67"/>
      <c r="I353" s="11"/>
      <c r="J353" s="11"/>
      <c r="K353" s="11"/>
      <c r="L353" s="11"/>
      <c r="M353" s="11"/>
      <c r="N353" s="11"/>
      <c r="O353" s="67"/>
      <c r="P353" s="11"/>
    </row>
    <row r="354" spans="1:16" x14ac:dyDescent="0.25">
      <c r="A354" s="65" t="str">
        <f t="shared" si="5"/>
        <v/>
      </c>
      <c r="F354" s="95" t="str">
        <f>IFERROR(VLOOKUP(B354,tblPeople[],14,FALSE),"")</f>
        <v/>
      </c>
      <c r="G354" s="11"/>
      <c r="H354" s="67"/>
      <c r="I354" s="11"/>
      <c r="J354" s="11"/>
      <c r="K354" s="11"/>
      <c r="L354" s="11"/>
      <c r="M354" s="11"/>
      <c r="N354" s="11"/>
      <c r="O354" s="67"/>
      <c r="P354" s="11"/>
    </row>
    <row r="355" spans="1:16" x14ac:dyDescent="0.25">
      <c r="A355" s="65" t="str">
        <f t="shared" si="5"/>
        <v/>
      </c>
      <c r="F355" s="95" t="str">
        <f>IFERROR(VLOOKUP(B355,tblPeople[],14,FALSE),"")</f>
        <v/>
      </c>
      <c r="G355" s="11"/>
      <c r="H355" s="67"/>
      <c r="I355" s="11"/>
      <c r="J355" s="11"/>
      <c r="K355" s="11"/>
      <c r="L355" s="11"/>
      <c r="M355" s="11"/>
      <c r="N355" s="11"/>
      <c r="O355" s="67"/>
      <c r="P355" s="11"/>
    </row>
    <row r="356" spans="1:16" x14ac:dyDescent="0.25">
      <c r="A356" s="65" t="str">
        <f t="shared" si="5"/>
        <v/>
      </c>
      <c r="F356" s="95" t="str">
        <f>IFERROR(VLOOKUP(B356,tblPeople[],14,FALSE),"")</f>
        <v/>
      </c>
      <c r="G356" s="11"/>
      <c r="H356" s="67"/>
      <c r="I356" s="11"/>
      <c r="J356" s="11"/>
      <c r="K356" s="11"/>
      <c r="L356" s="11"/>
      <c r="M356" s="11"/>
      <c r="N356" s="11"/>
      <c r="O356" s="67"/>
      <c r="P356" s="11"/>
    </row>
    <row r="357" spans="1:16" x14ac:dyDescent="0.25">
      <c r="A357" s="65" t="str">
        <f t="shared" si="5"/>
        <v/>
      </c>
      <c r="F357" s="95" t="str">
        <f>IFERROR(VLOOKUP(B357,tblPeople[],14,FALSE),"")</f>
        <v/>
      </c>
      <c r="G357" s="11"/>
      <c r="H357" s="67"/>
      <c r="I357" s="11"/>
      <c r="J357" s="11"/>
      <c r="K357" s="11"/>
      <c r="L357" s="11"/>
      <c r="M357" s="11"/>
      <c r="N357" s="11"/>
      <c r="O357" s="67"/>
      <c r="P357" s="11"/>
    </row>
    <row r="358" spans="1:16" x14ac:dyDescent="0.25">
      <c r="A358" s="65" t="str">
        <f t="shared" si="5"/>
        <v/>
      </c>
      <c r="F358" s="95" t="str">
        <f>IFERROR(VLOOKUP(B358,tblPeople[],14,FALSE),"")</f>
        <v/>
      </c>
      <c r="G358" s="11"/>
      <c r="H358" s="67"/>
      <c r="I358" s="11"/>
      <c r="J358" s="11"/>
      <c r="K358" s="11"/>
      <c r="L358" s="11"/>
      <c r="M358" s="11"/>
      <c r="N358" s="11"/>
      <c r="O358" s="67"/>
      <c r="P358" s="11"/>
    </row>
    <row r="359" spans="1:16" x14ac:dyDescent="0.25">
      <c r="A359" s="65" t="str">
        <f t="shared" si="5"/>
        <v/>
      </c>
      <c r="F359" s="95" t="str">
        <f>IFERROR(VLOOKUP(B359,tblPeople[],14,FALSE),"")</f>
        <v/>
      </c>
      <c r="G359" s="11"/>
      <c r="H359" s="67"/>
      <c r="I359" s="11"/>
      <c r="J359" s="11"/>
      <c r="K359" s="11"/>
      <c r="L359" s="11"/>
      <c r="M359" s="11"/>
      <c r="N359" s="11"/>
      <c r="O359" s="67"/>
      <c r="P359" s="11"/>
    </row>
    <row r="360" spans="1:16" x14ac:dyDescent="0.25">
      <c r="A360" s="65" t="str">
        <f t="shared" si="5"/>
        <v/>
      </c>
      <c r="F360" s="95" t="str">
        <f>IFERROR(VLOOKUP(B360,tblPeople[],14,FALSE),"")</f>
        <v/>
      </c>
      <c r="G360" s="11"/>
      <c r="H360" s="67"/>
      <c r="I360" s="11"/>
      <c r="J360" s="11"/>
      <c r="K360" s="11"/>
      <c r="L360" s="11"/>
      <c r="M360" s="11"/>
      <c r="N360" s="11"/>
      <c r="O360" s="67"/>
      <c r="P360" s="11"/>
    </row>
    <row r="361" spans="1:16" x14ac:dyDescent="0.25">
      <c r="A361" s="65" t="str">
        <f t="shared" si="5"/>
        <v/>
      </c>
      <c r="F361" s="95" t="str">
        <f>IFERROR(VLOOKUP(B361,tblPeople[],14,FALSE),"")</f>
        <v/>
      </c>
      <c r="G361" s="11"/>
      <c r="H361" s="67"/>
      <c r="I361" s="11"/>
      <c r="J361" s="11"/>
      <c r="K361" s="11"/>
      <c r="L361" s="11"/>
      <c r="M361" s="11"/>
      <c r="N361" s="11"/>
      <c r="O361" s="67"/>
      <c r="P361" s="11"/>
    </row>
    <row r="362" spans="1:16" x14ac:dyDescent="0.25">
      <c r="A362" s="65" t="str">
        <f t="shared" si="5"/>
        <v/>
      </c>
      <c r="F362" s="95" t="str">
        <f>IFERROR(VLOOKUP(B362,tblPeople[],14,FALSE),"")</f>
        <v/>
      </c>
      <c r="G362" s="11"/>
      <c r="H362" s="67"/>
      <c r="I362" s="11"/>
      <c r="J362" s="11"/>
      <c r="K362" s="11"/>
      <c r="L362" s="11"/>
      <c r="M362" s="11"/>
      <c r="N362" s="11"/>
      <c r="O362" s="67"/>
      <c r="P362" s="11"/>
    </row>
    <row r="363" spans="1:16" x14ac:dyDescent="0.25">
      <c r="A363" s="65" t="str">
        <f t="shared" si="5"/>
        <v/>
      </c>
      <c r="F363" s="95" t="str">
        <f>IFERROR(VLOOKUP(B363,tblPeople[],14,FALSE),"")</f>
        <v/>
      </c>
      <c r="G363" s="11"/>
      <c r="H363" s="67"/>
      <c r="I363" s="11"/>
      <c r="J363" s="11"/>
      <c r="K363" s="11"/>
      <c r="L363" s="11"/>
      <c r="M363" s="11"/>
      <c r="N363" s="11"/>
      <c r="O363" s="67"/>
      <c r="P363" s="11"/>
    </row>
    <row r="364" spans="1:16" x14ac:dyDescent="0.25">
      <c r="A364" s="65" t="str">
        <f t="shared" si="5"/>
        <v/>
      </c>
      <c r="F364" s="95" t="str">
        <f>IFERROR(VLOOKUP(B364,tblPeople[],14,FALSE),"")</f>
        <v/>
      </c>
      <c r="G364" s="11"/>
      <c r="H364" s="67"/>
      <c r="I364" s="11"/>
      <c r="J364" s="11"/>
      <c r="K364" s="11"/>
      <c r="L364" s="11"/>
      <c r="M364" s="11"/>
      <c r="N364" s="11"/>
      <c r="O364" s="67"/>
      <c r="P364" s="11"/>
    </row>
    <row r="365" spans="1:16" x14ac:dyDescent="0.25">
      <c r="A365" s="65" t="str">
        <f t="shared" si="5"/>
        <v/>
      </c>
      <c r="F365" s="95" t="str">
        <f>IFERROR(VLOOKUP(B365,tblPeople[],14,FALSE),"")</f>
        <v/>
      </c>
      <c r="G365" s="11"/>
      <c r="H365" s="67"/>
      <c r="I365" s="11"/>
      <c r="J365" s="11"/>
      <c r="K365" s="11"/>
      <c r="L365" s="11"/>
      <c r="M365" s="11"/>
      <c r="N365" s="11"/>
      <c r="O365" s="67"/>
      <c r="P365" s="11"/>
    </row>
    <row r="366" spans="1:16" x14ac:dyDescent="0.25">
      <c r="A366" s="65" t="str">
        <f t="shared" si="5"/>
        <v/>
      </c>
      <c r="F366" s="95" t="str">
        <f>IFERROR(VLOOKUP(B366,tblPeople[],14,FALSE),"")</f>
        <v/>
      </c>
      <c r="G366" s="11"/>
      <c r="H366" s="67"/>
      <c r="I366" s="11"/>
      <c r="J366" s="11"/>
      <c r="K366" s="11"/>
      <c r="L366" s="11"/>
      <c r="M366" s="11"/>
      <c r="N366" s="11"/>
      <c r="O366" s="67"/>
      <c r="P366" s="11"/>
    </row>
    <row r="367" spans="1:16" x14ac:dyDescent="0.25">
      <c r="A367" s="65" t="str">
        <f t="shared" si="5"/>
        <v/>
      </c>
      <c r="F367" s="95" t="str">
        <f>IFERROR(VLOOKUP(B367,tblPeople[],14,FALSE),"")</f>
        <v/>
      </c>
      <c r="G367" s="11"/>
      <c r="H367" s="67"/>
      <c r="I367" s="11"/>
      <c r="J367" s="11"/>
      <c r="K367" s="11"/>
      <c r="L367" s="11"/>
      <c r="M367" s="11"/>
      <c r="N367" s="11"/>
      <c r="O367" s="67"/>
      <c r="P367" s="11"/>
    </row>
    <row r="368" spans="1:16" x14ac:dyDescent="0.25">
      <c r="A368" s="65" t="str">
        <f t="shared" si="5"/>
        <v/>
      </c>
      <c r="F368" s="95" t="str">
        <f>IFERROR(VLOOKUP(B368,tblPeople[],14,FALSE),"")</f>
        <v/>
      </c>
      <c r="G368" s="11"/>
      <c r="H368" s="67"/>
      <c r="I368" s="11"/>
      <c r="J368" s="11"/>
      <c r="K368" s="11"/>
      <c r="L368" s="11"/>
      <c r="M368" s="11"/>
      <c r="N368" s="11"/>
      <c r="O368" s="67"/>
      <c r="P368" s="11"/>
    </row>
    <row r="369" spans="1:16" x14ac:dyDescent="0.25">
      <c r="A369" s="65" t="str">
        <f t="shared" si="5"/>
        <v/>
      </c>
      <c r="F369" s="95" t="str">
        <f>IFERROR(VLOOKUP(B369,tblPeople[],14,FALSE),"")</f>
        <v/>
      </c>
      <c r="G369" s="11"/>
      <c r="H369" s="67"/>
      <c r="I369" s="11"/>
      <c r="J369" s="11"/>
      <c r="K369" s="11"/>
      <c r="L369" s="11"/>
      <c r="M369" s="11"/>
      <c r="N369" s="11"/>
      <c r="O369" s="67"/>
      <c r="P369" s="11"/>
    </row>
    <row r="370" spans="1:16" x14ac:dyDescent="0.25">
      <c r="A370" s="65" t="str">
        <f t="shared" si="5"/>
        <v/>
      </c>
      <c r="F370" s="95" t="str">
        <f>IFERROR(VLOOKUP(B370,tblPeople[],14,FALSE),"")</f>
        <v/>
      </c>
      <c r="G370" s="11"/>
      <c r="H370" s="67"/>
      <c r="I370" s="11"/>
      <c r="J370" s="11"/>
      <c r="K370" s="11"/>
      <c r="L370" s="11"/>
      <c r="M370" s="11"/>
      <c r="N370" s="11"/>
      <c r="O370" s="67"/>
      <c r="P370" s="11"/>
    </row>
    <row r="371" spans="1:16" x14ac:dyDescent="0.25">
      <c r="A371" s="65" t="str">
        <f t="shared" si="5"/>
        <v/>
      </c>
      <c r="F371" s="95" t="str">
        <f>IFERROR(VLOOKUP(B371,tblPeople[],14,FALSE),"")</f>
        <v/>
      </c>
      <c r="G371" s="11"/>
      <c r="H371" s="67"/>
      <c r="I371" s="11"/>
      <c r="J371" s="11"/>
      <c r="K371" s="11"/>
      <c r="L371" s="11"/>
      <c r="M371" s="11"/>
      <c r="N371" s="11"/>
      <c r="O371" s="67"/>
      <c r="P371" s="11"/>
    </row>
    <row r="372" spans="1:16" x14ac:dyDescent="0.25">
      <c r="A372" s="65" t="str">
        <f t="shared" si="5"/>
        <v/>
      </c>
      <c r="F372" s="95" t="str">
        <f>IFERROR(VLOOKUP(B372,tblPeople[],14,FALSE),"")</f>
        <v/>
      </c>
      <c r="G372" s="11"/>
      <c r="H372" s="67"/>
      <c r="I372" s="11"/>
      <c r="J372" s="11"/>
      <c r="K372" s="11"/>
      <c r="L372" s="11"/>
      <c r="M372" s="11"/>
      <c r="N372" s="11"/>
      <c r="O372" s="67"/>
      <c r="P372" s="11"/>
    </row>
    <row r="373" spans="1:16" x14ac:dyDescent="0.25">
      <c r="A373" s="65" t="str">
        <f t="shared" si="5"/>
        <v/>
      </c>
      <c r="F373" s="95" t="str">
        <f>IFERROR(VLOOKUP(B373,tblPeople[],14,FALSE),"")</f>
        <v/>
      </c>
      <c r="G373" s="11"/>
      <c r="H373" s="67"/>
      <c r="I373" s="11"/>
      <c r="J373" s="11"/>
      <c r="K373" s="11"/>
      <c r="L373" s="11"/>
      <c r="M373" s="11"/>
      <c r="N373" s="11"/>
      <c r="O373" s="67"/>
      <c r="P373" s="11"/>
    </row>
    <row r="374" spans="1:16" x14ac:dyDescent="0.25">
      <c r="A374" s="65" t="str">
        <f t="shared" si="5"/>
        <v/>
      </c>
      <c r="F374" s="95" t="str">
        <f>IFERROR(VLOOKUP(B374,tblPeople[],14,FALSE),"")</f>
        <v/>
      </c>
      <c r="G374" s="11"/>
      <c r="H374" s="67"/>
      <c r="I374" s="11"/>
      <c r="J374" s="11"/>
      <c r="K374" s="11"/>
      <c r="L374" s="11"/>
      <c r="M374" s="11"/>
      <c r="N374" s="11"/>
      <c r="O374" s="67"/>
      <c r="P374" s="11"/>
    </row>
    <row r="375" spans="1:16" x14ac:dyDescent="0.25">
      <c r="A375" s="65" t="str">
        <f t="shared" si="5"/>
        <v/>
      </c>
      <c r="F375" s="95" t="str">
        <f>IFERROR(VLOOKUP(B375,tblPeople[],14,FALSE),"")</f>
        <v/>
      </c>
      <c r="G375" s="11"/>
      <c r="H375" s="67"/>
      <c r="I375" s="11"/>
      <c r="J375" s="11"/>
      <c r="K375" s="11"/>
      <c r="L375" s="11"/>
      <c r="M375" s="11"/>
      <c r="N375" s="11"/>
      <c r="O375" s="67"/>
      <c r="P375" s="11"/>
    </row>
    <row r="376" spans="1:16" x14ac:dyDescent="0.25">
      <c r="A376" s="65" t="str">
        <f t="shared" si="5"/>
        <v/>
      </c>
      <c r="F376" s="95" t="str">
        <f>IFERROR(VLOOKUP(B376,tblPeople[],14,FALSE),"")</f>
        <v/>
      </c>
      <c r="G376" s="11"/>
      <c r="H376" s="67"/>
      <c r="I376" s="11"/>
      <c r="J376" s="11"/>
      <c r="K376" s="11"/>
      <c r="L376" s="11"/>
      <c r="M376" s="11"/>
      <c r="N376" s="11"/>
      <c r="O376" s="67"/>
      <c r="P376" s="11"/>
    </row>
    <row r="377" spans="1:16" x14ac:dyDescent="0.25">
      <c r="A377" s="65" t="str">
        <f t="shared" si="5"/>
        <v/>
      </c>
      <c r="F377" s="95" t="str">
        <f>IFERROR(VLOOKUP(B377,tblPeople[],14,FALSE),"")</f>
        <v/>
      </c>
      <c r="G377" s="11"/>
      <c r="H377" s="67"/>
      <c r="I377" s="11"/>
      <c r="J377" s="11"/>
      <c r="K377" s="11"/>
      <c r="L377" s="11"/>
      <c r="M377" s="11"/>
      <c r="N377" s="11"/>
      <c r="O377" s="67"/>
      <c r="P377" s="11"/>
    </row>
    <row r="378" spans="1:16" x14ac:dyDescent="0.25">
      <c r="A378" s="65" t="str">
        <f t="shared" si="5"/>
        <v/>
      </c>
      <c r="F378" s="95" t="str">
        <f>IFERROR(VLOOKUP(B378,tblPeople[],14,FALSE),"")</f>
        <v/>
      </c>
      <c r="G378" s="11"/>
      <c r="H378" s="67"/>
      <c r="I378" s="11"/>
      <c r="J378" s="11"/>
      <c r="K378" s="11"/>
      <c r="L378" s="11"/>
      <c r="M378" s="11"/>
      <c r="N378" s="11"/>
      <c r="O378" s="67"/>
      <c r="P378" s="11"/>
    </row>
    <row r="379" spans="1:16" x14ac:dyDescent="0.25">
      <c r="A379" s="65" t="str">
        <f t="shared" si="5"/>
        <v/>
      </c>
      <c r="F379" s="95" t="str">
        <f>IFERROR(VLOOKUP(B379,tblPeople[],14,FALSE),"")</f>
        <v/>
      </c>
      <c r="G379" s="11"/>
      <c r="H379" s="67"/>
      <c r="I379" s="11"/>
      <c r="J379" s="11"/>
      <c r="K379" s="11"/>
      <c r="L379" s="11"/>
      <c r="M379" s="11"/>
      <c r="N379" s="11"/>
      <c r="O379" s="67"/>
      <c r="P379" s="11"/>
    </row>
    <row r="380" spans="1:16" x14ac:dyDescent="0.25">
      <c r="A380" s="65" t="str">
        <f t="shared" si="5"/>
        <v/>
      </c>
      <c r="F380" s="95" t="str">
        <f>IFERROR(VLOOKUP(B380,tblPeople[],14,FALSE),"")</f>
        <v/>
      </c>
      <c r="G380" s="11"/>
      <c r="H380" s="67"/>
      <c r="I380" s="11"/>
      <c r="J380" s="11"/>
      <c r="K380" s="11"/>
      <c r="L380" s="11"/>
      <c r="M380" s="11"/>
      <c r="N380" s="11"/>
      <c r="O380" s="67"/>
      <c r="P380" s="11"/>
    </row>
    <row r="381" spans="1:16" x14ac:dyDescent="0.25">
      <c r="A381" s="65" t="str">
        <f t="shared" si="5"/>
        <v/>
      </c>
      <c r="F381" s="95" t="str">
        <f>IFERROR(VLOOKUP(B381,tblPeople[],14,FALSE),"")</f>
        <v/>
      </c>
      <c r="G381" s="11"/>
      <c r="H381" s="67"/>
      <c r="I381" s="11"/>
      <c r="J381" s="11"/>
      <c r="K381" s="11"/>
      <c r="L381" s="11"/>
      <c r="M381" s="11"/>
      <c r="N381" s="11"/>
      <c r="O381" s="67"/>
      <c r="P381" s="11"/>
    </row>
    <row r="382" spans="1:16" x14ac:dyDescent="0.25">
      <c r="A382" s="65" t="str">
        <f t="shared" si="5"/>
        <v/>
      </c>
      <c r="F382" s="95" t="str">
        <f>IFERROR(VLOOKUP(B382,tblPeople[],14,FALSE),"")</f>
        <v/>
      </c>
      <c r="G382" s="11"/>
      <c r="H382" s="67"/>
      <c r="I382" s="11"/>
      <c r="J382" s="11"/>
      <c r="K382" s="11"/>
      <c r="L382" s="11"/>
      <c r="M382" s="11"/>
      <c r="N382" s="11"/>
      <c r="O382" s="67"/>
      <c r="P382" s="11"/>
    </row>
    <row r="383" spans="1:16" x14ac:dyDescent="0.25">
      <c r="A383" s="65" t="str">
        <f t="shared" si="5"/>
        <v/>
      </c>
      <c r="F383" s="95" t="str">
        <f>IFERROR(VLOOKUP(B383,tblPeople[],14,FALSE),"")</f>
        <v/>
      </c>
      <c r="G383" s="11"/>
      <c r="H383" s="67"/>
      <c r="I383" s="11"/>
      <c r="J383" s="11"/>
      <c r="K383" s="11"/>
      <c r="L383" s="11"/>
      <c r="M383" s="11"/>
      <c r="N383" s="11"/>
      <c r="O383" s="67"/>
      <c r="P383" s="11"/>
    </row>
    <row r="384" spans="1:16" x14ac:dyDescent="0.25">
      <c r="A384" s="65" t="str">
        <f t="shared" si="5"/>
        <v/>
      </c>
      <c r="F384" s="95" t="str">
        <f>IFERROR(VLOOKUP(B384,tblPeople[],14,FALSE),"")</f>
        <v/>
      </c>
      <c r="G384" s="11"/>
      <c r="H384" s="67"/>
      <c r="I384" s="11"/>
      <c r="J384" s="11"/>
      <c r="K384" s="11"/>
      <c r="L384" s="11"/>
      <c r="M384" s="11"/>
      <c r="N384" s="11"/>
      <c r="O384" s="67"/>
      <c r="P384" s="11"/>
    </row>
    <row r="385" spans="1:16" x14ac:dyDescent="0.25">
      <c r="A385" s="65" t="str">
        <f t="shared" si="5"/>
        <v/>
      </c>
      <c r="F385" s="95" t="str">
        <f>IFERROR(VLOOKUP(B385,tblPeople[],14,FALSE),"")</f>
        <v/>
      </c>
      <c r="G385" s="11"/>
      <c r="H385" s="67"/>
      <c r="I385" s="11"/>
      <c r="J385" s="11"/>
      <c r="K385" s="11"/>
      <c r="L385" s="11"/>
      <c r="M385" s="11"/>
      <c r="N385" s="11"/>
      <c r="O385" s="67"/>
      <c r="P385" s="11"/>
    </row>
    <row r="386" spans="1:16" x14ac:dyDescent="0.25">
      <c r="A386" s="65" t="str">
        <f t="shared" si="5"/>
        <v/>
      </c>
      <c r="F386" s="95" t="str">
        <f>IFERROR(VLOOKUP(B386,tblPeople[],14,FALSE),"")</f>
        <v/>
      </c>
      <c r="G386" s="11"/>
      <c r="H386" s="67"/>
      <c r="I386" s="11"/>
      <c r="J386" s="11"/>
      <c r="K386" s="11"/>
      <c r="L386" s="11"/>
      <c r="M386" s="11"/>
      <c r="N386" s="11"/>
      <c r="O386" s="67"/>
      <c r="P386" s="11"/>
    </row>
    <row r="387" spans="1:16" x14ac:dyDescent="0.25">
      <c r="A387" s="65" t="str">
        <f t="shared" si="5"/>
        <v/>
      </c>
      <c r="F387" s="95" t="str">
        <f>IFERROR(VLOOKUP(B387,tblPeople[],14,FALSE),"")</f>
        <v/>
      </c>
      <c r="G387" s="11"/>
      <c r="H387" s="67"/>
      <c r="I387" s="11"/>
      <c r="J387" s="11"/>
      <c r="K387" s="11"/>
      <c r="L387" s="11"/>
      <c r="M387" s="11"/>
      <c r="N387" s="11"/>
      <c r="O387" s="67"/>
      <c r="P387" s="11"/>
    </row>
    <row r="388" spans="1:16" x14ac:dyDescent="0.25">
      <c r="A388" s="65" t="str">
        <f t="shared" si="5"/>
        <v/>
      </c>
      <c r="F388" s="95" t="str">
        <f>IFERROR(VLOOKUP(B388,tblPeople[],14,FALSE),"")</f>
        <v/>
      </c>
      <c r="G388" s="11"/>
      <c r="H388" s="67"/>
      <c r="I388" s="11"/>
      <c r="J388" s="11"/>
      <c r="K388" s="11"/>
      <c r="L388" s="11"/>
      <c r="M388" s="11"/>
      <c r="N388" s="11"/>
      <c r="O388" s="67"/>
      <c r="P388" s="11"/>
    </row>
    <row r="389" spans="1:16" x14ac:dyDescent="0.25">
      <c r="A389" s="65" t="str">
        <f t="shared" si="5"/>
        <v/>
      </c>
      <c r="F389" s="95" t="str">
        <f>IFERROR(VLOOKUP(B389,tblPeople[],14,FALSE),"")</f>
        <v/>
      </c>
      <c r="G389" s="11"/>
      <c r="H389" s="67"/>
      <c r="I389" s="11"/>
      <c r="J389" s="11"/>
      <c r="K389" s="11"/>
      <c r="L389" s="11"/>
      <c r="M389" s="11"/>
      <c r="N389" s="11"/>
      <c r="O389" s="67"/>
      <c r="P389" s="11"/>
    </row>
    <row r="390" spans="1:16" x14ac:dyDescent="0.25">
      <c r="A390" s="65" t="str">
        <f t="shared" si="5"/>
        <v/>
      </c>
      <c r="F390" s="95" t="str">
        <f>IFERROR(VLOOKUP(B390,tblPeople[],14,FALSE),"")</f>
        <v/>
      </c>
      <c r="G390" s="11"/>
      <c r="H390" s="67"/>
      <c r="I390" s="11"/>
      <c r="J390" s="11"/>
      <c r="K390" s="11"/>
      <c r="L390" s="11"/>
      <c r="M390" s="11"/>
      <c r="N390" s="11"/>
      <c r="O390" s="67"/>
      <c r="P390" s="11"/>
    </row>
    <row r="391" spans="1:16" x14ac:dyDescent="0.25">
      <c r="A391" s="65" t="str">
        <f t="shared" si="5"/>
        <v/>
      </c>
      <c r="F391" s="95" t="str">
        <f>IFERROR(VLOOKUP(B391,tblPeople[],14,FALSE),"")</f>
        <v/>
      </c>
      <c r="G391" s="11"/>
      <c r="H391" s="67"/>
      <c r="I391" s="11"/>
      <c r="J391" s="11"/>
      <c r="K391" s="11"/>
      <c r="L391" s="11"/>
      <c r="M391" s="11"/>
      <c r="N391" s="11"/>
      <c r="O391" s="67"/>
      <c r="P391" s="11"/>
    </row>
    <row r="392" spans="1:16" x14ac:dyDescent="0.25">
      <c r="A392" s="65" t="str">
        <f t="shared" si="5"/>
        <v/>
      </c>
      <c r="F392" s="95" t="str">
        <f>IFERROR(VLOOKUP(B392,tblPeople[],14,FALSE),"")</f>
        <v/>
      </c>
      <c r="G392" s="11"/>
      <c r="H392" s="67"/>
      <c r="I392" s="11"/>
      <c r="J392" s="11"/>
      <c r="K392" s="11"/>
      <c r="L392" s="11"/>
      <c r="M392" s="11"/>
      <c r="N392" s="11"/>
      <c r="O392" s="67"/>
      <c r="P392" s="11"/>
    </row>
    <row r="393" spans="1:16" x14ac:dyDescent="0.25">
      <c r="A393" s="65" t="str">
        <f t="shared" si="5"/>
        <v/>
      </c>
      <c r="F393" s="95" t="str">
        <f>IFERROR(VLOOKUP(B393,tblPeople[],14,FALSE),"")</f>
        <v/>
      </c>
      <c r="G393" s="11"/>
      <c r="H393" s="67"/>
      <c r="I393" s="11"/>
      <c r="J393" s="11"/>
      <c r="K393" s="11"/>
      <c r="L393" s="11"/>
      <c r="M393" s="11"/>
      <c r="N393" s="11"/>
      <c r="O393" s="67"/>
      <c r="P393" s="11"/>
    </row>
    <row r="394" spans="1:16" x14ac:dyDescent="0.25">
      <c r="A394" s="65" t="str">
        <f t="shared" si="5"/>
        <v/>
      </c>
      <c r="F394" s="95" t="str">
        <f>IFERROR(VLOOKUP(B394,tblPeople[],14,FALSE),"")</f>
        <v/>
      </c>
      <c r="G394" s="11"/>
      <c r="H394" s="67"/>
      <c r="I394" s="11"/>
      <c r="J394" s="11"/>
      <c r="K394" s="11"/>
      <c r="L394" s="11"/>
      <c r="M394" s="11"/>
      <c r="N394" s="11"/>
      <c r="O394" s="67"/>
      <c r="P394" s="11"/>
    </row>
    <row r="395" spans="1:16" x14ac:dyDescent="0.25">
      <c r="A395" s="65" t="str">
        <f t="shared" si="5"/>
        <v/>
      </c>
      <c r="F395" s="95" t="str">
        <f>IFERROR(VLOOKUP(B395,tblPeople[],14,FALSE),"")</f>
        <v/>
      </c>
      <c r="G395" s="11"/>
      <c r="H395" s="67"/>
      <c r="I395" s="11"/>
      <c r="J395" s="11"/>
      <c r="K395" s="11"/>
      <c r="L395" s="11"/>
      <c r="M395" s="11"/>
      <c r="N395" s="11"/>
      <c r="O395" s="67"/>
      <c r="P395" s="11"/>
    </row>
    <row r="396" spans="1:16" x14ac:dyDescent="0.25">
      <c r="A396" s="65" t="str">
        <f t="shared" si="5"/>
        <v/>
      </c>
      <c r="F396" s="95" t="str">
        <f>IFERROR(VLOOKUP(B396,tblPeople[],14,FALSE),"")</f>
        <v/>
      </c>
      <c r="G396" s="11"/>
      <c r="H396" s="67"/>
      <c r="I396" s="11"/>
      <c r="J396" s="11"/>
      <c r="K396" s="11"/>
      <c r="L396" s="11"/>
      <c r="M396" s="11"/>
      <c r="N396" s="11"/>
      <c r="O396" s="67"/>
      <c r="P396" s="11"/>
    </row>
    <row r="397" spans="1:16" x14ac:dyDescent="0.25">
      <c r="A397" s="65" t="str">
        <f t="shared" si="5"/>
        <v/>
      </c>
      <c r="F397" s="95" t="str">
        <f>IFERROR(VLOOKUP(B397,tblPeople[],14,FALSE),"")</f>
        <v/>
      </c>
      <c r="G397" s="11"/>
      <c r="H397" s="67"/>
      <c r="I397" s="11"/>
      <c r="J397" s="11"/>
      <c r="K397" s="11"/>
      <c r="L397" s="11"/>
      <c r="M397" s="11"/>
      <c r="N397" s="11"/>
      <c r="O397" s="67"/>
      <c r="P397" s="11"/>
    </row>
    <row r="398" spans="1:16" x14ac:dyDescent="0.25">
      <c r="A398" s="65" t="str">
        <f t="shared" si="5"/>
        <v/>
      </c>
      <c r="F398" s="95" t="str">
        <f>IFERROR(VLOOKUP(B398,tblPeople[],14,FALSE),"")</f>
        <v/>
      </c>
      <c r="G398" s="11"/>
      <c r="H398" s="67"/>
      <c r="I398" s="11"/>
      <c r="J398" s="11"/>
      <c r="K398" s="11"/>
      <c r="L398" s="11"/>
      <c r="M398" s="11"/>
      <c r="N398" s="11"/>
      <c r="O398" s="67"/>
      <c r="P398" s="11"/>
    </row>
    <row r="399" spans="1:16" x14ac:dyDescent="0.25">
      <c r="A399" s="65" t="str">
        <f t="shared" si="5"/>
        <v/>
      </c>
      <c r="F399" s="95" t="str">
        <f>IFERROR(VLOOKUP(B399,tblPeople[],14,FALSE),"")</f>
        <v/>
      </c>
      <c r="G399" s="11"/>
      <c r="H399" s="67"/>
      <c r="I399" s="11"/>
      <c r="J399" s="11"/>
      <c r="K399" s="11"/>
      <c r="L399" s="11"/>
      <c r="M399" s="11"/>
      <c r="N399" s="11"/>
      <c r="O399" s="67"/>
      <c r="P399" s="11"/>
    </row>
    <row r="400" spans="1:16" x14ac:dyDescent="0.25">
      <c r="A400" s="65" t="str">
        <f t="shared" si="5"/>
        <v/>
      </c>
      <c r="F400" s="95" t="str">
        <f>IFERROR(VLOOKUP(B400,tblPeople[],14,FALSE),"")</f>
        <v/>
      </c>
      <c r="G400" s="11"/>
      <c r="H400" s="67"/>
      <c r="I400" s="11"/>
      <c r="J400" s="11"/>
      <c r="K400" s="11"/>
      <c r="L400" s="11"/>
      <c r="M400" s="11"/>
      <c r="N400" s="11"/>
      <c r="O400" s="67"/>
      <c r="P400" s="11"/>
    </row>
    <row r="401" spans="1:16" x14ac:dyDescent="0.25">
      <c r="A401" s="65" t="str">
        <f t="shared" si="5"/>
        <v/>
      </c>
      <c r="F401" s="95" t="str">
        <f>IFERROR(VLOOKUP(B401,tblPeople[],14,FALSE),"")</f>
        <v/>
      </c>
      <c r="G401" s="11"/>
      <c r="H401" s="67"/>
      <c r="I401" s="11"/>
      <c r="J401" s="11"/>
      <c r="K401" s="11"/>
      <c r="L401" s="11"/>
      <c r="M401" s="11"/>
      <c r="N401" s="11"/>
      <c r="O401" s="67"/>
      <c r="P401" s="11"/>
    </row>
    <row r="402" spans="1:16" x14ac:dyDescent="0.25">
      <c r="A402" s="65" t="str">
        <f t="shared" ref="A402:A465" si="6">IF(B402=ISBLANK(""),"",A401+1)</f>
        <v/>
      </c>
      <c r="F402" s="95" t="str">
        <f>IFERROR(VLOOKUP(B402,tblPeople[],14,FALSE),"")</f>
        <v/>
      </c>
      <c r="G402" s="11"/>
      <c r="H402" s="67"/>
      <c r="I402" s="11"/>
      <c r="J402" s="11"/>
      <c r="K402" s="11"/>
      <c r="L402" s="11"/>
      <c r="M402" s="11"/>
      <c r="N402" s="11"/>
      <c r="O402" s="67"/>
      <c r="P402" s="11"/>
    </row>
    <row r="403" spans="1:16" x14ac:dyDescent="0.25">
      <c r="A403" s="65" t="str">
        <f t="shared" si="6"/>
        <v/>
      </c>
      <c r="F403" s="95" t="str">
        <f>IFERROR(VLOOKUP(B403,tblPeople[],14,FALSE),"")</f>
        <v/>
      </c>
      <c r="G403" s="11"/>
      <c r="H403" s="67"/>
      <c r="I403" s="11"/>
      <c r="J403" s="11"/>
      <c r="K403" s="11"/>
      <c r="L403" s="11"/>
      <c r="M403" s="11"/>
      <c r="N403" s="11"/>
      <c r="O403" s="67"/>
      <c r="P403" s="11"/>
    </row>
    <row r="404" spans="1:16" x14ac:dyDescent="0.25">
      <c r="A404" s="65" t="str">
        <f t="shared" si="6"/>
        <v/>
      </c>
      <c r="F404" s="95" t="str">
        <f>IFERROR(VLOOKUP(B404,tblPeople[],14,FALSE),"")</f>
        <v/>
      </c>
      <c r="G404" s="11"/>
      <c r="H404" s="67"/>
      <c r="I404" s="11"/>
      <c r="J404" s="11"/>
      <c r="K404" s="11"/>
      <c r="L404" s="11"/>
      <c r="M404" s="11"/>
      <c r="N404" s="11"/>
      <c r="O404" s="67"/>
      <c r="P404" s="11"/>
    </row>
    <row r="405" spans="1:16" x14ac:dyDescent="0.25">
      <c r="A405" s="65" t="str">
        <f t="shared" si="6"/>
        <v/>
      </c>
      <c r="F405" s="95" t="str">
        <f>IFERROR(VLOOKUP(B405,tblPeople[],14,FALSE),"")</f>
        <v/>
      </c>
      <c r="G405" s="11"/>
      <c r="H405" s="67"/>
      <c r="I405" s="11"/>
      <c r="J405" s="11"/>
      <c r="K405" s="11"/>
      <c r="L405" s="11"/>
      <c r="M405" s="11"/>
      <c r="N405" s="11"/>
      <c r="O405" s="67"/>
      <c r="P405" s="11"/>
    </row>
    <row r="406" spans="1:16" x14ac:dyDescent="0.25">
      <c r="A406" s="65" t="str">
        <f t="shared" si="6"/>
        <v/>
      </c>
      <c r="F406" s="95" t="str">
        <f>IFERROR(VLOOKUP(B406,tblPeople[],14,FALSE),"")</f>
        <v/>
      </c>
      <c r="G406" s="11"/>
      <c r="H406" s="67"/>
      <c r="I406" s="11"/>
      <c r="J406" s="11"/>
      <c r="K406" s="11"/>
      <c r="L406" s="11"/>
      <c r="M406" s="11"/>
      <c r="N406" s="11"/>
      <c r="O406" s="67"/>
      <c r="P406" s="11"/>
    </row>
    <row r="407" spans="1:16" x14ac:dyDescent="0.25">
      <c r="A407" s="65" t="str">
        <f t="shared" si="6"/>
        <v/>
      </c>
      <c r="F407" s="95" t="str">
        <f>IFERROR(VLOOKUP(B407,tblPeople[],14,FALSE),"")</f>
        <v/>
      </c>
      <c r="G407" s="11"/>
      <c r="H407" s="67"/>
      <c r="I407" s="11"/>
      <c r="J407" s="11"/>
      <c r="K407" s="11"/>
      <c r="L407" s="11"/>
      <c r="M407" s="11"/>
      <c r="N407" s="11"/>
      <c r="O407" s="67"/>
      <c r="P407" s="11"/>
    </row>
    <row r="408" spans="1:16" x14ac:dyDescent="0.25">
      <c r="A408" s="65" t="str">
        <f t="shared" si="6"/>
        <v/>
      </c>
      <c r="F408" s="95" t="str">
        <f>IFERROR(VLOOKUP(B408,tblPeople[],14,FALSE),"")</f>
        <v/>
      </c>
      <c r="G408" s="11"/>
      <c r="H408" s="67"/>
      <c r="I408" s="11"/>
      <c r="J408" s="11"/>
      <c r="K408" s="11"/>
      <c r="L408" s="11"/>
      <c r="M408" s="11"/>
      <c r="N408" s="11"/>
      <c r="O408" s="67"/>
      <c r="P408" s="11"/>
    </row>
    <row r="409" spans="1:16" x14ac:dyDescent="0.25">
      <c r="A409" s="65" t="str">
        <f t="shared" si="6"/>
        <v/>
      </c>
      <c r="F409" s="95" t="str">
        <f>IFERROR(VLOOKUP(B409,tblPeople[],14,FALSE),"")</f>
        <v/>
      </c>
      <c r="G409" s="11"/>
      <c r="H409" s="67"/>
      <c r="I409" s="11"/>
      <c r="J409" s="11"/>
      <c r="K409" s="11"/>
      <c r="L409" s="11"/>
      <c r="M409" s="11"/>
      <c r="N409" s="11"/>
      <c r="O409" s="67"/>
      <c r="P409" s="11"/>
    </row>
    <row r="410" spans="1:16" x14ac:dyDescent="0.25">
      <c r="A410" s="65" t="str">
        <f t="shared" si="6"/>
        <v/>
      </c>
      <c r="F410" s="95" t="str">
        <f>IFERROR(VLOOKUP(B410,tblPeople[],14,FALSE),"")</f>
        <v/>
      </c>
      <c r="G410" s="11"/>
      <c r="H410" s="67"/>
      <c r="I410" s="11"/>
      <c r="J410" s="11"/>
      <c r="K410" s="11"/>
      <c r="L410" s="11"/>
      <c r="M410" s="11"/>
      <c r="N410" s="11"/>
      <c r="O410" s="67"/>
      <c r="P410" s="11"/>
    </row>
    <row r="411" spans="1:16" x14ac:dyDescent="0.25">
      <c r="A411" s="65" t="str">
        <f t="shared" si="6"/>
        <v/>
      </c>
      <c r="F411" s="95" t="str">
        <f>IFERROR(VLOOKUP(B411,tblPeople[],14,FALSE),"")</f>
        <v/>
      </c>
      <c r="G411" s="11"/>
      <c r="H411" s="67"/>
      <c r="I411" s="11"/>
      <c r="J411" s="11"/>
      <c r="K411" s="11"/>
      <c r="L411" s="11"/>
      <c r="M411" s="11"/>
      <c r="N411" s="11"/>
      <c r="O411" s="67"/>
      <c r="P411" s="11"/>
    </row>
    <row r="412" spans="1:16" x14ac:dyDescent="0.25">
      <c r="A412" s="65" t="str">
        <f t="shared" si="6"/>
        <v/>
      </c>
      <c r="F412" s="95" t="str">
        <f>IFERROR(VLOOKUP(B412,tblPeople[],14,FALSE),"")</f>
        <v/>
      </c>
      <c r="G412" s="11"/>
      <c r="H412" s="67"/>
      <c r="I412" s="11"/>
      <c r="J412" s="11"/>
      <c r="K412" s="11"/>
      <c r="L412" s="11"/>
      <c r="M412" s="11"/>
      <c r="N412" s="11"/>
      <c r="O412" s="67"/>
      <c r="P412" s="11"/>
    </row>
    <row r="413" spans="1:16" x14ac:dyDescent="0.25">
      <c r="A413" s="65" t="str">
        <f t="shared" si="6"/>
        <v/>
      </c>
      <c r="F413" s="95" t="str">
        <f>IFERROR(VLOOKUP(B413,tblPeople[],14,FALSE),"")</f>
        <v/>
      </c>
      <c r="G413" s="11"/>
      <c r="H413" s="67"/>
      <c r="I413" s="11"/>
      <c r="J413" s="11"/>
      <c r="K413" s="11"/>
      <c r="L413" s="11"/>
      <c r="M413" s="11"/>
      <c r="N413" s="11"/>
      <c r="O413" s="67"/>
      <c r="P413" s="11"/>
    </row>
    <row r="414" spans="1:16" x14ac:dyDescent="0.25">
      <c r="A414" s="65" t="str">
        <f t="shared" si="6"/>
        <v/>
      </c>
      <c r="F414" s="95" t="str">
        <f>IFERROR(VLOOKUP(B414,tblPeople[],14,FALSE),"")</f>
        <v/>
      </c>
      <c r="G414" s="11"/>
      <c r="H414" s="67"/>
      <c r="I414" s="11"/>
      <c r="J414" s="11"/>
      <c r="K414" s="11"/>
      <c r="L414" s="11"/>
      <c r="M414" s="11"/>
      <c r="N414" s="11"/>
      <c r="O414" s="67"/>
      <c r="P414" s="11"/>
    </row>
    <row r="415" spans="1:16" x14ac:dyDescent="0.25">
      <c r="A415" s="65" t="str">
        <f t="shared" si="6"/>
        <v/>
      </c>
      <c r="F415" s="95" t="str">
        <f>IFERROR(VLOOKUP(B415,tblPeople[],14,FALSE),"")</f>
        <v/>
      </c>
      <c r="G415" s="11"/>
      <c r="H415" s="67"/>
      <c r="I415" s="11"/>
      <c r="J415" s="11"/>
      <c r="K415" s="11"/>
      <c r="L415" s="11"/>
      <c r="M415" s="11"/>
      <c r="N415" s="11"/>
      <c r="O415" s="67"/>
      <c r="P415" s="11"/>
    </row>
    <row r="416" spans="1:16" x14ac:dyDescent="0.25">
      <c r="A416" s="65" t="str">
        <f t="shared" si="6"/>
        <v/>
      </c>
      <c r="F416" s="95" t="str">
        <f>IFERROR(VLOOKUP(B416,tblPeople[],14,FALSE),"")</f>
        <v/>
      </c>
      <c r="G416" s="11"/>
      <c r="H416" s="67"/>
      <c r="I416" s="11"/>
      <c r="J416" s="11"/>
      <c r="K416" s="11"/>
      <c r="L416" s="11"/>
      <c r="M416" s="11"/>
      <c r="N416" s="11"/>
      <c r="O416" s="67"/>
      <c r="P416" s="11"/>
    </row>
    <row r="417" spans="1:16" x14ac:dyDescent="0.25">
      <c r="A417" s="65" t="str">
        <f t="shared" si="6"/>
        <v/>
      </c>
      <c r="F417" s="95" t="str">
        <f>IFERROR(VLOOKUP(B417,tblPeople[],14,FALSE),"")</f>
        <v/>
      </c>
      <c r="G417" s="11"/>
      <c r="H417" s="67"/>
      <c r="I417" s="11"/>
      <c r="J417" s="11"/>
      <c r="K417" s="11"/>
      <c r="L417" s="11"/>
      <c r="M417" s="11"/>
      <c r="N417" s="11"/>
      <c r="O417" s="67"/>
      <c r="P417" s="11"/>
    </row>
    <row r="418" spans="1:16" x14ac:dyDescent="0.25">
      <c r="A418" s="65" t="str">
        <f t="shared" si="6"/>
        <v/>
      </c>
      <c r="F418" s="95" t="str">
        <f>IFERROR(VLOOKUP(B418,tblPeople[],14,FALSE),"")</f>
        <v/>
      </c>
      <c r="G418" s="11"/>
      <c r="H418" s="67"/>
      <c r="I418" s="11"/>
      <c r="J418" s="11"/>
      <c r="K418" s="11"/>
      <c r="L418" s="11"/>
      <c r="M418" s="11"/>
      <c r="N418" s="11"/>
      <c r="O418" s="67"/>
      <c r="P418" s="11"/>
    </row>
    <row r="419" spans="1:16" x14ac:dyDescent="0.25">
      <c r="A419" s="65" t="str">
        <f t="shared" si="6"/>
        <v/>
      </c>
      <c r="F419" s="95" t="str">
        <f>IFERROR(VLOOKUP(B419,tblPeople[],14,FALSE),"")</f>
        <v/>
      </c>
      <c r="G419" s="11"/>
      <c r="H419" s="67"/>
      <c r="I419" s="11"/>
      <c r="J419" s="11"/>
      <c r="K419" s="11"/>
      <c r="L419" s="11"/>
      <c r="M419" s="11"/>
      <c r="N419" s="11"/>
      <c r="O419" s="67"/>
      <c r="P419" s="11"/>
    </row>
    <row r="420" spans="1:16" x14ac:dyDescent="0.25">
      <c r="A420" s="65" t="str">
        <f t="shared" si="6"/>
        <v/>
      </c>
      <c r="F420" s="95" t="str">
        <f>IFERROR(VLOOKUP(B420,tblPeople[],14,FALSE),"")</f>
        <v/>
      </c>
      <c r="G420" s="11"/>
      <c r="H420" s="67"/>
      <c r="I420" s="11"/>
      <c r="J420" s="11"/>
      <c r="K420" s="11"/>
      <c r="L420" s="11"/>
      <c r="M420" s="11"/>
      <c r="N420" s="11"/>
      <c r="O420" s="67"/>
      <c r="P420" s="11"/>
    </row>
    <row r="421" spans="1:16" x14ac:dyDescent="0.25">
      <c r="A421" s="65" t="str">
        <f t="shared" si="6"/>
        <v/>
      </c>
      <c r="F421" s="95" t="str">
        <f>IFERROR(VLOOKUP(B421,tblPeople[],14,FALSE),"")</f>
        <v/>
      </c>
      <c r="G421" s="11"/>
      <c r="H421" s="67"/>
      <c r="I421" s="11"/>
      <c r="J421" s="11"/>
      <c r="K421" s="11"/>
      <c r="L421" s="11"/>
      <c r="M421" s="11"/>
      <c r="N421" s="11"/>
      <c r="O421" s="67"/>
      <c r="P421" s="11"/>
    </row>
    <row r="422" spans="1:16" x14ac:dyDescent="0.25">
      <c r="A422" s="65" t="str">
        <f t="shared" si="6"/>
        <v/>
      </c>
      <c r="F422" s="95" t="str">
        <f>IFERROR(VLOOKUP(B422,tblPeople[],14,FALSE),"")</f>
        <v/>
      </c>
      <c r="G422" s="11"/>
      <c r="H422" s="67"/>
      <c r="I422" s="11"/>
      <c r="J422" s="11"/>
      <c r="K422" s="11"/>
      <c r="L422" s="11"/>
      <c r="M422" s="11"/>
      <c r="N422" s="11"/>
      <c r="O422" s="67"/>
      <c r="P422" s="11"/>
    </row>
    <row r="423" spans="1:16" x14ac:dyDescent="0.25">
      <c r="A423" s="65" t="str">
        <f t="shared" si="6"/>
        <v/>
      </c>
      <c r="F423" s="95" t="str">
        <f>IFERROR(VLOOKUP(B423,tblPeople[],14,FALSE),"")</f>
        <v/>
      </c>
      <c r="G423" s="11"/>
      <c r="H423" s="67"/>
      <c r="I423" s="11"/>
      <c r="J423" s="11"/>
      <c r="K423" s="11"/>
      <c r="L423" s="11"/>
      <c r="M423" s="11"/>
      <c r="N423" s="11"/>
      <c r="O423" s="67"/>
      <c r="P423" s="11"/>
    </row>
    <row r="424" spans="1:16" x14ac:dyDescent="0.25">
      <c r="A424" s="65" t="str">
        <f t="shared" si="6"/>
        <v/>
      </c>
      <c r="F424" s="95" t="str">
        <f>IFERROR(VLOOKUP(B424,tblPeople[],14,FALSE),"")</f>
        <v/>
      </c>
      <c r="G424" s="11"/>
      <c r="H424" s="67"/>
      <c r="I424" s="11"/>
      <c r="J424" s="11"/>
      <c r="K424" s="11"/>
      <c r="L424" s="11"/>
      <c r="M424" s="11"/>
      <c r="N424" s="11"/>
      <c r="O424" s="67"/>
      <c r="P424" s="11"/>
    </row>
    <row r="425" spans="1:16" x14ac:dyDescent="0.25">
      <c r="A425" s="65" t="str">
        <f t="shared" si="6"/>
        <v/>
      </c>
      <c r="F425" s="95" t="str">
        <f>IFERROR(VLOOKUP(B425,tblPeople[],14,FALSE),"")</f>
        <v/>
      </c>
      <c r="G425" s="11"/>
      <c r="H425" s="67"/>
      <c r="I425" s="11"/>
      <c r="J425" s="11"/>
      <c r="K425" s="11"/>
      <c r="L425" s="11"/>
      <c r="M425" s="11"/>
      <c r="N425" s="11"/>
      <c r="O425" s="67"/>
      <c r="P425" s="11"/>
    </row>
    <row r="426" spans="1:16" x14ac:dyDescent="0.25">
      <c r="A426" s="65" t="str">
        <f t="shared" si="6"/>
        <v/>
      </c>
      <c r="F426" s="95" t="str">
        <f>IFERROR(VLOOKUP(B426,tblPeople[],14,FALSE),"")</f>
        <v/>
      </c>
      <c r="G426" s="11"/>
      <c r="H426" s="67"/>
      <c r="I426" s="11"/>
      <c r="J426" s="11"/>
      <c r="K426" s="11"/>
      <c r="L426" s="11"/>
      <c r="M426" s="11"/>
      <c r="N426" s="11"/>
      <c r="O426" s="67"/>
      <c r="P426" s="11"/>
    </row>
    <row r="427" spans="1:16" x14ac:dyDescent="0.25">
      <c r="A427" s="65" t="str">
        <f t="shared" si="6"/>
        <v/>
      </c>
      <c r="F427" s="95" t="str">
        <f>IFERROR(VLOOKUP(B427,tblPeople[],14,FALSE),"")</f>
        <v/>
      </c>
      <c r="G427" s="11"/>
      <c r="H427" s="67"/>
      <c r="I427" s="11"/>
      <c r="J427" s="11"/>
      <c r="K427" s="11"/>
      <c r="L427" s="11"/>
      <c r="M427" s="11"/>
      <c r="N427" s="11"/>
      <c r="O427" s="67"/>
      <c r="P427" s="11"/>
    </row>
    <row r="428" spans="1:16" x14ac:dyDescent="0.25">
      <c r="A428" s="65" t="str">
        <f t="shared" si="6"/>
        <v/>
      </c>
      <c r="F428" s="95" t="str">
        <f>IFERROR(VLOOKUP(B428,tblPeople[],14,FALSE),"")</f>
        <v/>
      </c>
      <c r="G428" s="11"/>
      <c r="H428" s="67"/>
      <c r="I428" s="11"/>
      <c r="J428" s="11"/>
      <c r="K428" s="11"/>
      <c r="L428" s="11"/>
      <c r="M428" s="11"/>
      <c r="N428" s="11"/>
      <c r="O428" s="67"/>
      <c r="P428" s="11"/>
    </row>
    <row r="429" spans="1:16" x14ac:dyDescent="0.25">
      <c r="A429" s="65" t="str">
        <f t="shared" si="6"/>
        <v/>
      </c>
      <c r="F429" s="95" t="str">
        <f>IFERROR(VLOOKUP(B429,tblPeople[],14,FALSE),"")</f>
        <v/>
      </c>
      <c r="G429" s="11"/>
      <c r="H429" s="67"/>
      <c r="I429" s="11"/>
      <c r="J429" s="11"/>
      <c r="K429" s="11"/>
      <c r="L429" s="11"/>
      <c r="M429" s="11"/>
      <c r="N429" s="11"/>
      <c r="O429" s="67"/>
      <c r="P429" s="11"/>
    </row>
    <row r="430" spans="1:16" x14ac:dyDescent="0.25">
      <c r="A430" s="65" t="str">
        <f t="shared" si="6"/>
        <v/>
      </c>
      <c r="F430" s="95" t="str">
        <f>IFERROR(VLOOKUP(B430,tblPeople[],14,FALSE),"")</f>
        <v/>
      </c>
      <c r="G430" s="11"/>
      <c r="H430" s="67"/>
      <c r="I430" s="11"/>
      <c r="J430" s="11"/>
      <c r="K430" s="11"/>
      <c r="L430" s="11"/>
      <c r="M430" s="11"/>
      <c r="N430" s="11"/>
      <c r="O430" s="67"/>
      <c r="P430" s="11"/>
    </row>
    <row r="431" spans="1:16" x14ac:dyDescent="0.25">
      <c r="A431" s="65" t="str">
        <f t="shared" si="6"/>
        <v/>
      </c>
      <c r="F431" s="95" t="str">
        <f>IFERROR(VLOOKUP(B431,tblPeople[],14,FALSE),"")</f>
        <v/>
      </c>
      <c r="G431" s="11"/>
      <c r="H431" s="67"/>
      <c r="I431" s="11"/>
      <c r="J431" s="11"/>
      <c r="K431" s="11"/>
      <c r="L431" s="11"/>
      <c r="M431" s="11"/>
      <c r="N431" s="11"/>
      <c r="O431" s="67"/>
      <c r="P431" s="11"/>
    </row>
    <row r="432" spans="1:16" x14ac:dyDescent="0.25">
      <c r="A432" s="65" t="str">
        <f t="shared" si="6"/>
        <v/>
      </c>
      <c r="F432" s="95" t="str">
        <f>IFERROR(VLOOKUP(B432,tblPeople[],14,FALSE),"")</f>
        <v/>
      </c>
      <c r="G432" s="11"/>
      <c r="H432" s="67"/>
      <c r="I432" s="11"/>
      <c r="J432" s="11"/>
      <c r="K432" s="11"/>
      <c r="L432" s="11"/>
      <c r="M432" s="11"/>
      <c r="N432" s="11"/>
      <c r="O432" s="67"/>
      <c r="P432" s="11"/>
    </row>
    <row r="433" spans="1:16" x14ac:dyDescent="0.25">
      <c r="A433" s="65" t="str">
        <f t="shared" si="6"/>
        <v/>
      </c>
      <c r="F433" s="95" t="str">
        <f>IFERROR(VLOOKUP(B433,tblPeople[],14,FALSE),"")</f>
        <v/>
      </c>
      <c r="G433" s="11"/>
      <c r="H433" s="67"/>
      <c r="I433" s="11"/>
      <c r="J433" s="11"/>
      <c r="K433" s="11"/>
      <c r="L433" s="11"/>
      <c r="M433" s="11"/>
      <c r="N433" s="11"/>
      <c r="O433" s="67"/>
      <c r="P433" s="11"/>
    </row>
    <row r="434" spans="1:16" x14ac:dyDescent="0.25">
      <c r="A434" s="65" t="str">
        <f t="shared" si="6"/>
        <v/>
      </c>
      <c r="F434" s="95" t="str">
        <f>IFERROR(VLOOKUP(B434,tblPeople[],14,FALSE),"")</f>
        <v/>
      </c>
      <c r="G434" s="11"/>
      <c r="H434" s="67"/>
      <c r="I434" s="11"/>
      <c r="J434" s="11"/>
      <c r="K434" s="11"/>
      <c r="L434" s="11"/>
      <c r="M434" s="11"/>
      <c r="N434" s="11"/>
      <c r="O434" s="67"/>
      <c r="P434" s="11"/>
    </row>
    <row r="435" spans="1:16" x14ac:dyDescent="0.25">
      <c r="A435" s="65" t="str">
        <f t="shared" si="6"/>
        <v/>
      </c>
      <c r="F435" s="95" t="str">
        <f>IFERROR(VLOOKUP(B435,tblPeople[],14,FALSE),"")</f>
        <v/>
      </c>
      <c r="G435" s="11"/>
      <c r="H435" s="67"/>
      <c r="I435" s="11"/>
      <c r="J435" s="11"/>
      <c r="K435" s="11"/>
      <c r="L435" s="11"/>
      <c r="M435" s="11"/>
      <c r="N435" s="11"/>
      <c r="O435" s="67"/>
      <c r="P435" s="11"/>
    </row>
    <row r="436" spans="1:16" x14ac:dyDescent="0.25">
      <c r="A436" s="65" t="str">
        <f t="shared" si="6"/>
        <v/>
      </c>
      <c r="F436" s="95" t="str">
        <f>IFERROR(VLOOKUP(B436,tblPeople[],14,FALSE),"")</f>
        <v/>
      </c>
      <c r="G436" s="11"/>
      <c r="H436" s="67"/>
      <c r="I436" s="11"/>
      <c r="J436" s="11"/>
      <c r="K436" s="11"/>
      <c r="L436" s="11"/>
      <c r="M436" s="11"/>
      <c r="N436" s="11"/>
      <c r="O436" s="67"/>
      <c r="P436" s="11"/>
    </row>
    <row r="437" spans="1:16" x14ac:dyDescent="0.25">
      <c r="A437" s="65" t="str">
        <f t="shared" si="6"/>
        <v/>
      </c>
      <c r="F437" s="95" t="str">
        <f>IFERROR(VLOOKUP(B437,tblPeople[],14,FALSE),"")</f>
        <v/>
      </c>
      <c r="G437" s="11"/>
      <c r="H437" s="67"/>
      <c r="I437" s="11"/>
      <c r="J437" s="11"/>
      <c r="K437" s="11"/>
      <c r="L437" s="11"/>
      <c r="M437" s="11"/>
      <c r="N437" s="11"/>
      <c r="O437" s="67"/>
      <c r="P437" s="11"/>
    </row>
    <row r="438" spans="1:16" x14ac:dyDescent="0.25">
      <c r="A438" s="65" t="str">
        <f t="shared" si="6"/>
        <v/>
      </c>
      <c r="F438" s="95" t="str">
        <f>IFERROR(VLOOKUP(B438,tblPeople[],14,FALSE),"")</f>
        <v/>
      </c>
      <c r="G438" s="11"/>
      <c r="H438" s="67"/>
      <c r="I438" s="11"/>
      <c r="J438" s="11"/>
      <c r="K438" s="11"/>
      <c r="L438" s="11"/>
      <c r="M438" s="11"/>
      <c r="N438" s="11"/>
      <c r="O438" s="67"/>
      <c r="P438" s="11"/>
    </row>
    <row r="439" spans="1:16" x14ac:dyDescent="0.25">
      <c r="A439" s="65" t="str">
        <f t="shared" si="6"/>
        <v/>
      </c>
      <c r="F439" s="95" t="str">
        <f>IFERROR(VLOOKUP(B439,tblPeople[],14,FALSE),"")</f>
        <v/>
      </c>
      <c r="G439" s="11"/>
      <c r="H439" s="67"/>
      <c r="I439" s="11"/>
      <c r="J439" s="11"/>
      <c r="K439" s="11"/>
      <c r="L439" s="11"/>
      <c r="M439" s="11"/>
      <c r="N439" s="11"/>
      <c r="O439" s="67"/>
      <c r="P439" s="11"/>
    </row>
    <row r="440" spans="1:16" x14ac:dyDescent="0.25">
      <c r="A440" s="65" t="str">
        <f t="shared" si="6"/>
        <v/>
      </c>
      <c r="F440" s="95" t="str">
        <f>IFERROR(VLOOKUP(B440,tblPeople[],14,FALSE),"")</f>
        <v/>
      </c>
      <c r="G440" s="11"/>
      <c r="H440" s="67"/>
      <c r="I440" s="11"/>
      <c r="J440" s="11"/>
      <c r="K440" s="11"/>
      <c r="L440" s="11"/>
      <c r="M440" s="11"/>
      <c r="N440" s="11"/>
      <c r="O440" s="67"/>
      <c r="P440" s="11"/>
    </row>
    <row r="441" spans="1:16" x14ac:dyDescent="0.25">
      <c r="A441" s="65" t="str">
        <f t="shared" si="6"/>
        <v/>
      </c>
      <c r="F441" s="95" t="str">
        <f>IFERROR(VLOOKUP(B441,tblPeople[],14,FALSE),"")</f>
        <v/>
      </c>
      <c r="G441" s="11"/>
      <c r="H441" s="67"/>
      <c r="I441" s="11"/>
      <c r="J441" s="11"/>
      <c r="K441" s="11"/>
      <c r="L441" s="11"/>
      <c r="M441" s="11"/>
      <c r="N441" s="11"/>
      <c r="O441" s="67"/>
      <c r="P441" s="11"/>
    </row>
    <row r="442" spans="1:16" x14ac:dyDescent="0.25">
      <c r="A442" s="65" t="str">
        <f t="shared" si="6"/>
        <v/>
      </c>
      <c r="F442" s="95" t="str">
        <f>IFERROR(VLOOKUP(B442,tblPeople[],14,FALSE),"")</f>
        <v/>
      </c>
      <c r="G442" s="11"/>
      <c r="H442" s="67"/>
      <c r="I442" s="11"/>
      <c r="J442" s="11"/>
      <c r="K442" s="11"/>
      <c r="L442" s="11"/>
      <c r="M442" s="11"/>
      <c r="N442" s="11"/>
      <c r="O442" s="67"/>
      <c r="P442" s="11"/>
    </row>
    <row r="443" spans="1:16" x14ac:dyDescent="0.25">
      <c r="A443" s="65" t="str">
        <f t="shared" si="6"/>
        <v/>
      </c>
      <c r="F443" s="95" t="str">
        <f>IFERROR(VLOOKUP(B443,tblPeople[],14,FALSE),"")</f>
        <v/>
      </c>
      <c r="G443" s="11"/>
      <c r="H443" s="67"/>
      <c r="I443" s="11"/>
      <c r="J443" s="11"/>
      <c r="K443" s="11"/>
      <c r="L443" s="11"/>
      <c r="M443" s="11"/>
      <c r="N443" s="11"/>
      <c r="O443" s="67"/>
      <c r="P443" s="11"/>
    </row>
    <row r="444" spans="1:16" x14ac:dyDescent="0.25">
      <c r="A444" s="65" t="str">
        <f t="shared" si="6"/>
        <v/>
      </c>
      <c r="F444" s="95" t="str">
        <f>IFERROR(VLOOKUP(B444,tblPeople[],14,FALSE),"")</f>
        <v/>
      </c>
      <c r="G444" s="11"/>
      <c r="H444" s="67"/>
      <c r="I444" s="11"/>
      <c r="J444" s="11"/>
      <c r="K444" s="11"/>
      <c r="L444" s="11"/>
      <c r="M444" s="11"/>
      <c r="N444" s="11"/>
      <c r="O444" s="67"/>
      <c r="P444" s="11"/>
    </row>
    <row r="445" spans="1:16" x14ac:dyDescent="0.25">
      <c r="A445" s="65" t="str">
        <f t="shared" si="6"/>
        <v/>
      </c>
      <c r="F445" s="95" t="str">
        <f>IFERROR(VLOOKUP(B445,tblPeople[],14,FALSE),"")</f>
        <v/>
      </c>
      <c r="G445" s="11"/>
      <c r="H445" s="67"/>
      <c r="I445" s="11"/>
      <c r="J445" s="11"/>
      <c r="K445" s="11"/>
      <c r="L445" s="11"/>
      <c r="M445" s="11"/>
      <c r="N445" s="11"/>
      <c r="O445" s="67"/>
      <c r="P445" s="11"/>
    </row>
    <row r="446" spans="1:16" x14ac:dyDescent="0.25">
      <c r="A446" s="65" t="str">
        <f t="shared" si="6"/>
        <v/>
      </c>
      <c r="F446" s="95" t="str">
        <f>IFERROR(VLOOKUP(B446,tblPeople[],14,FALSE),"")</f>
        <v/>
      </c>
      <c r="G446" s="11"/>
      <c r="H446" s="67"/>
      <c r="I446" s="11"/>
      <c r="J446" s="11"/>
      <c r="K446" s="11"/>
      <c r="L446" s="11"/>
      <c r="M446" s="11"/>
      <c r="N446" s="11"/>
      <c r="O446" s="67"/>
      <c r="P446" s="11"/>
    </row>
    <row r="447" spans="1:16" x14ac:dyDescent="0.25">
      <c r="A447" s="65" t="str">
        <f t="shared" si="6"/>
        <v/>
      </c>
      <c r="F447" s="95" t="str">
        <f>IFERROR(VLOOKUP(B447,tblPeople[],14,FALSE),"")</f>
        <v/>
      </c>
      <c r="G447" s="11"/>
      <c r="H447" s="67"/>
      <c r="I447" s="11"/>
      <c r="J447" s="11"/>
      <c r="K447" s="11"/>
      <c r="L447" s="11"/>
      <c r="M447" s="11"/>
      <c r="N447" s="11"/>
      <c r="O447" s="67"/>
      <c r="P447" s="11"/>
    </row>
    <row r="448" spans="1:16" x14ac:dyDescent="0.25">
      <c r="A448" s="65" t="str">
        <f t="shared" si="6"/>
        <v/>
      </c>
      <c r="F448" s="95" t="str">
        <f>IFERROR(VLOOKUP(B448,tblPeople[],14,FALSE),"")</f>
        <v/>
      </c>
      <c r="G448" s="11"/>
      <c r="H448" s="67"/>
      <c r="I448" s="11"/>
      <c r="J448" s="11"/>
      <c r="K448" s="11"/>
      <c r="L448" s="11"/>
      <c r="M448" s="11"/>
      <c r="N448" s="11"/>
      <c r="O448" s="67"/>
      <c r="P448" s="11"/>
    </row>
    <row r="449" spans="1:16" x14ac:dyDescent="0.25">
      <c r="A449" s="65" t="str">
        <f t="shared" si="6"/>
        <v/>
      </c>
      <c r="F449" s="95" t="str">
        <f>IFERROR(VLOOKUP(B449,tblPeople[],14,FALSE),"")</f>
        <v/>
      </c>
      <c r="G449" s="11"/>
      <c r="H449" s="67"/>
      <c r="I449" s="11"/>
      <c r="J449" s="11"/>
      <c r="K449" s="11"/>
      <c r="L449" s="11"/>
      <c r="M449" s="11"/>
      <c r="N449" s="11"/>
      <c r="O449" s="67"/>
      <c r="P449" s="11"/>
    </row>
    <row r="450" spans="1:16" x14ac:dyDescent="0.25">
      <c r="A450" s="65" t="str">
        <f t="shared" si="6"/>
        <v/>
      </c>
      <c r="F450" s="95" t="str">
        <f>IFERROR(VLOOKUP(B450,tblPeople[],14,FALSE),"")</f>
        <v/>
      </c>
      <c r="G450" s="11"/>
      <c r="H450" s="67"/>
      <c r="I450" s="11"/>
      <c r="J450" s="11"/>
      <c r="K450" s="11"/>
      <c r="L450" s="11"/>
      <c r="M450" s="11"/>
      <c r="N450" s="11"/>
      <c r="O450" s="67"/>
      <c r="P450" s="11"/>
    </row>
    <row r="451" spans="1:16" x14ac:dyDescent="0.25">
      <c r="A451" s="65" t="str">
        <f t="shared" si="6"/>
        <v/>
      </c>
      <c r="F451" s="95" t="str">
        <f>IFERROR(VLOOKUP(B451,tblPeople[],14,FALSE),"")</f>
        <v/>
      </c>
      <c r="G451" s="11"/>
      <c r="H451" s="67"/>
      <c r="I451" s="11"/>
      <c r="J451" s="11"/>
      <c r="K451" s="11"/>
      <c r="L451" s="11"/>
      <c r="M451" s="11"/>
      <c r="N451" s="11"/>
      <c r="O451" s="67"/>
      <c r="P451" s="11"/>
    </row>
    <row r="452" spans="1:16" x14ac:dyDescent="0.25">
      <c r="A452" s="65" t="str">
        <f t="shared" si="6"/>
        <v/>
      </c>
      <c r="F452" s="95" t="str">
        <f>IFERROR(VLOOKUP(B452,tblPeople[],14,FALSE),"")</f>
        <v/>
      </c>
      <c r="G452" s="11"/>
      <c r="H452" s="67"/>
      <c r="I452" s="11"/>
      <c r="J452" s="11"/>
      <c r="K452" s="11"/>
      <c r="L452" s="11"/>
      <c r="M452" s="11"/>
      <c r="N452" s="11"/>
      <c r="O452" s="67"/>
      <c r="P452" s="11"/>
    </row>
    <row r="453" spans="1:16" x14ac:dyDescent="0.25">
      <c r="A453" s="65" t="str">
        <f t="shared" si="6"/>
        <v/>
      </c>
      <c r="F453" s="95" t="str">
        <f>IFERROR(VLOOKUP(B453,tblPeople[],14,FALSE),"")</f>
        <v/>
      </c>
      <c r="G453" s="11"/>
      <c r="H453" s="67"/>
      <c r="I453" s="11"/>
      <c r="J453" s="11"/>
      <c r="K453" s="11"/>
      <c r="L453" s="11"/>
      <c r="M453" s="11"/>
      <c r="N453" s="11"/>
      <c r="O453" s="67"/>
      <c r="P453" s="11"/>
    </row>
    <row r="454" spans="1:16" x14ac:dyDescent="0.25">
      <c r="A454" s="65" t="str">
        <f t="shared" si="6"/>
        <v/>
      </c>
      <c r="F454" s="95" t="str">
        <f>IFERROR(VLOOKUP(B454,tblPeople[],14,FALSE),"")</f>
        <v/>
      </c>
      <c r="G454" s="11"/>
      <c r="H454" s="67"/>
      <c r="I454" s="11"/>
      <c r="J454" s="11"/>
      <c r="K454" s="11"/>
      <c r="L454" s="11"/>
      <c r="M454" s="11"/>
      <c r="N454" s="11"/>
      <c r="O454" s="67"/>
      <c r="P454" s="11"/>
    </row>
    <row r="455" spans="1:16" x14ac:dyDescent="0.25">
      <c r="A455" s="65" t="str">
        <f t="shared" si="6"/>
        <v/>
      </c>
      <c r="F455" s="95" t="str">
        <f>IFERROR(VLOOKUP(B455,tblPeople[],14,FALSE),"")</f>
        <v/>
      </c>
      <c r="G455" s="11"/>
      <c r="H455" s="67"/>
      <c r="I455" s="11"/>
      <c r="J455" s="11"/>
      <c r="K455" s="11"/>
      <c r="L455" s="11"/>
      <c r="M455" s="11"/>
      <c r="N455" s="11"/>
      <c r="O455" s="67"/>
      <c r="P455" s="11"/>
    </row>
    <row r="456" spans="1:16" x14ac:dyDescent="0.25">
      <c r="A456" s="65" t="str">
        <f t="shared" si="6"/>
        <v/>
      </c>
      <c r="F456" s="95" t="str">
        <f>IFERROR(VLOOKUP(B456,tblPeople[],14,FALSE),"")</f>
        <v/>
      </c>
      <c r="G456" s="11"/>
      <c r="H456" s="67"/>
      <c r="I456" s="11"/>
      <c r="J456" s="11"/>
      <c r="K456" s="11"/>
      <c r="L456" s="11"/>
      <c r="M456" s="11"/>
      <c r="N456" s="11"/>
      <c r="O456" s="67"/>
      <c r="P456" s="11"/>
    </row>
    <row r="457" spans="1:16" x14ac:dyDescent="0.25">
      <c r="A457" s="65" t="str">
        <f t="shared" si="6"/>
        <v/>
      </c>
      <c r="F457" s="95" t="str">
        <f>IFERROR(VLOOKUP(B457,tblPeople[],14,FALSE),"")</f>
        <v/>
      </c>
      <c r="G457" s="11"/>
      <c r="H457" s="67"/>
      <c r="I457" s="11"/>
      <c r="J457" s="11"/>
      <c r="K457" s="11"/>
      <c r="L457" s="11"/>
      <c r="M457" s="11"/>
      <c r="N457" s="11"/>
      <c r="O457" s="67"/>
      <c r="P457" s="11"/>
    </row>
    <row r="458" spans="1:16" x14ac:dyDescent="0.25">
      <c r="A458" s="65" t="str">
        <f t="shared" si="6"/>
        <v/>
      </c>
      <c r="F458" s="95" t="str">
        <f>IFERROR(VLOOKUP(B458,tblPeople[],14,FALSE),"")</f>
        <v/>
      </c>
      <c r="G458" s="11"/>
      <c r="H458" s="67"/>
      <c r="I458" s="11"/>
      <c r="J458" s="11"/>
      <c r="K458" s="11"/>
      <c r="L458" s="11"/>
      <c r="M458" s="11"/>
      <c r="N458" s="11"/>
      <c r="O458" s="67"/>
      <c r="P458" s="11"/>
    </row>
    <row r="459" spans="1:16" x14ac:dyDescent="0.25">
      <c r="A459" s="65" t="str">
        <f t="shared" si="6"/>
        <v/>
      </c>
      <c r="F459" s="95" t="str">
        <f>IFERROR(VLOOKUP(B459,tblPeople[],14,FALSE),"")</f>
        <v/>
      </c>
      <c r="G459" s="11"/>
      <c r="H459" s="67"/>
      <c r="I459" s="11"/>
      <c r="J459" s="11"/>
      <c r="K459" s="11"/>
      <c r="L459" s="11"/>
      <c r="M459" s="11"/>
      <c r="N459" s="11"/>
      <c r="O459" s="67"/>
      <c r="P459" s="11"/>
    </row>
    <row r="460" spans="1:16" x14ac:dyDescent="0.25">
      <c r="A460" s="65" t="str">
        <f t="shared" si="6"/>
        <v/>
      </c>
      <c r="F460" s="95" t="str">
        <f>IFERROR(VLOOKUP(B460,tblPeople[],14,FALSE),"")</f>
        <v/>
      </c>
      <c r="G460" s="11"/>
      <c r="H460" s="67"/>
      <c r="I460" s="11"/>
      <c r="J460" s="11"/>
      <c r="K460" s="11"/>
      <c r="L460" s="11"/>
      <c r="M460" s="11"/>
      <c r="N460" s="11"/>
      <c r="O460" s="67"/>
      <c r="P460" s="11"/>
    </row>
    <row r="461" spans="1:16" x14ac:dyDescent="0.25">
      <c r="A461" s="65" t="str">
        <f t="shared" si="6"/>
        <v/>
      </c>
      <c r="F461" s="95" t="str">
        <f>IFERROR(VLOOKUP(B461,tblPeople[],14,FALSE),"")</f>
        <v/>
      </c>
      <c r="G461" s="11"/>
      <c r="H461" s="67"/>
      <c r="I461" s="11"/>
      <c r="J461" s="11"/>
      <c r="K461" s="11"/>
      <c r="L461" s="11"/>
      <c r="M461" s="11"/>
      <c r="N461" s="11"/>
      <c r="O461" s="67"/>
      <c r="P461" s="11"/>
    </row>
    <row r="462" spans="1:16" x14ac:dyDescent="0.25">
      <c r="A462" s="65" t="str">
        <f t="shared" si="6"/>
        <v/>
      </c>
      <c r="F462" s="95" t="str">
        <f>IFERROR(VLOOKUP(B462,tblPeople[],14,FALSE),"")</f>
        <v/>
      </c>
      <c r="G462" s="11"/>
      <c r="H462" s="67"/>
      <c r="I462" s="11"/>
      <c r="J462" s="11"/>
      <c r="K462" s="11"/>
      <c r="L462" s="11"/>
      <c r="M462" s="11"/>
      <c r="N462" s="11"/>
      <c r="O462" s="67"/>
      <c r="P462" s="11"/>
    </row>
    <row r="463" spans="1:16" x14ac:dyDescent="0.25">
      <c r="A463" s="65" t="str">
        <f t="shared" si="6"/>
        <v/>
      </c>
      <c r="F463" s="95" t="str">
        <f>IFERROR(VLOOKUP(B463,tblPeople[],14,FALSE),"")</f>
        <v/>
      </c>
      <c r="G463" s="11"/>
      <c r="H463" s="67"/>
      <c r="I463" s="11"/>
      <c r="J463" s="11"/>
      <c r="K463" s="11"/>
      <c r="L463" s="11"/>
      <c r="M463" s="11"/>
      <c r="N463" s="11"/>
      <c r="O463" s="67"/>
      <c r="P463" s="11"/>
    </row>
    <row r="464" spans="1:16" x14ac:dyDescent="0.25">
      <c r="A464" s="65" t="str">
        <f t="shared" si="6"/>
        <v/>
      </c>
      <c r="F464" s="95" t="str">
        <f>IFERROR(VLOOKUP(B464,tblPeople[],14,FALSE),"")</f>
        <v/>
      </c>
      <c r="G464" s="11"/>
      <c r="H464" s="67"/>
      <c r="I464" s="11"/>
      <c r="J464" s="11"/>
      <c r="K464" s="11"/>
      <c r="L464" s="11"/>
      <c r="M464" s="11"/>
      <c r="N464" s="11"/>
      <c r="O464" s="67"/>
      <c r="P464" s="11"/>
    </row>
    <row r="465" spans="1:16" x14ac:dyDescent="0.25">
      <c r="A465" s="65" t="str">
        <f t="shared" si="6"/>
        <v/>
      </c>
      <c r="F465" s="95" t="str">
        <f>IFERROR(VLOOKUP(B465,tblPeople[],14,FALSE),"")</f>
        <v/>
      </c>
      <c r="G465" s="11"/>
      <c r="H465" s="67"/>
      <c r="I465" s="11"/>
      <c r="J465" s="11"/>
      <c r="K465" s="11"/>
      <c r="L465" s="11"/>
      <c r="M465" s="11"/>
      <c r="N465" s="11"/>
      <c r="O465" s="67"/>
      <c r="P465" s="11"/>
    </row>
    <row r="466" spans="1:16" x14ac:dyDescent="0.25">
      <c r="A466" s="65" t="str">
        <f t="shared" ref="A466:A529" si="7">IF(B466=ISBLANK(""),"",A465+1)</f>
        <v/>
      </c>
      <c r="F466" s="95" t="str">
        <f>IFERROR(VLOOKUP(B466,tblPeople[],14,FALSE),"")</f>
        <v/>
      </c>
      <c r="G466" s="11"/>
      <c r="H466" s="67"/>
      <c r="I466" s="11"/>
      <c r="J466" s="11"/>
      <c r="K466" s="11"/>
      <c r="L466" s="11"/>
      <c r="M466" s="11"/>
      <c r="N466" s="11"/>
      <c r="O466" s="67"/>
      <c r="P466" s="11"/>
    </row>
    <row r="467" spans="1:16" x14ac:dyDescent="0.25">
      <c r="A467" s="65" t="str">
        <f t="shared" si="7"/>
        <v/>
      </c>
      <c r="F467" s="95" t="str">
        <f>IFERROR(VLOOKUP(B467,tblPeople[],14,FALSE),"")</f>
        <v/>
      </c>
      <c r="G467" s="11"/>
      <c r="H467" s="67"/>
      <c r="I467" s="11"/>
      <c r="J467" s="11"/>
      <c r="K467" s="11"/>
      <c r="L467" s="11"/>
      <c r="M467" s="11"/>
      <c r="N467" s="11"/>
      <c r="O467" s="67"/>
      <c r="P467" s="11"/>
    </row>
    <row r="468" spans="1:16" x14ac:dyDescent="0.25">
      <c r="A468" s="65" t="str">
        <f t="shared" si="7"/>
        <v/>
      </c>
      <c r="F468" s="95" t="str">
        <f>IFERROR(VLOOKUP(B468,tblPeople[],14,FALSE),"")</f>
        <v/>
      </c>
      <c r="G468" s="11"/>
      <c r="H468" s="67"/>
      <c r="I468" s="11"/>
      <c r="J468" s="11"/>
      <c r="K468" s="11"/>
      <c r="L468" s="11"/>
      <c r="M468" s="11"/>
      <c r="N468" s="11"/>
      <c r="O468" s="67"/>
      <c r="P468" s="11"/>
    </row>
    <row r="469" spans="1:16" x14ac:dyDescent="0.25">
      <c r="A469" s="65" t="str">
        <f t="shared" si="7"/>
        <v/>
      </c>
      <c r="F469" s="95" t="str">
        <f>IFERROR(VLOOKUP(B469,tblPeople[],14,FALSE),"")</f>
        <v/>
      </c>
      <c r="G469" s="11"/>
      <c r="H469" s="67"/>
      <c r="I469" s="11"/>
      <c r="J469" s="11"/>
      <c r="K469" s="11"/>
      <c r="L469" s="11"/>
      <c r="M469" s="11"/>
      <c r="N469" s="11"/>
      <c r="O469" s="67"/>
      <c r="P469" s="11"/>
    </row>
    <row r="470" spans="1:16" x14ac:dyDescent="0.25">
      <c r="A470" s="65" t="str">
        <f t="shared" si="7"/>
        <v/>
      </c>
      <c r="F470" s="95" t="str">
        <f>IFERROR(VLOOKUP(B470,tblPeople[],14,FALSE),"")</f>
        <v/>
      </c>
      <c r="G470" s="11"/>
      <c r="H470" s="67"/>
      <c r="I470" s="11"/>
      <c r="J470" s="11"/>
      <c r="K470" s="11"/>
      <c r="L470" s="11"/>
      <c r="M470" s="11"/>
      <c r="N470" s="11"/>
      <c r="O470" s="67"/>
      <c r="P470" s="11"/>
    </row>
    <row r="471" spans="1:16" x14ac:dyDescent="0.25">
      <c r="A471" s="65" t="str">
        <f t="shared" si="7"/>
        <v/>
      </c>
      <c r="F471" s="95" t="str">
        <f>IFERROR(VLOOKUP(B471,tblPeople[],14,FALSE),"")</f>
        <v/>
      </c>
      <c r="G471" s="11"/>
      <c r="H471" s="67"/>
      <c r="I471" s="11"/>
      <c r="J471" s="11"/>
      <c r="K471" s="11"/>
      <c r="L471" s="11"/>
      <c r="M471" s="11"/>
      <c r="N471" s="11"/>
      <c r="O471" s="67"/>
      <c r="P471" s="11"/>
    </row>
    <row r="472" spans="1:16" x14ac:dyDescent="0.25">
      <c r="A472" s="65" t="str">
        <f t="shared" si="7"/>
        <v/>
      </c>
      <c r="F472" s="95" t="str">
        <f>IFERROR(VLOOKUP(B472,tblPeople[],14,FALSE),"")</f>
        <v/>
      </c>
      <c r="G472" s="11"/>
      <c r="H472" s="67"/>
      <c r="I472" s="11"/>
      <c r="J472" s="11"/>
      <c r="K472" s="11"/>
      <c r="L472" s="11"/>
      <c r="M472" s="11"/>
      <c r="N472" s="11"/>
      <c r="O472" s="67"/>
      <c r="P472" s="11"/>
    </row>
    <row r="473" spans="1:16" x14ac:dyDescent="0.25">
      <c r="A473" s="65" t="str">
        <f t="shared" si="7"/>
        <v/>
      </c>
      <c r="F473" s="95" t="str">
        <f>IFERROR(VLOOKUP(B473,tblPeople[],14,FALSE),"")</f>
        <v/>
      </c>
      <c r="G473" s="11"/>
      <c r="H473" s="67"/>
      <c r="I473" s="11"/>
      <c r="J473" s="11"/>
      <c r="K473" s="11"/>
      <c r="L473" s="11"/>
      <c r="M473" s="11"/>
      <c r="N473" s="11"/>
      <c r="O473" s="67"/>
      <c r="P473" s="11"/>
    </row>
    <row r="474" spans="1:16" x14ac:dyDescent="0.25">
      <c r="A474" s="65" t="str">
        <f t="shared" si="7"/>
        <v/>
      </c>
      <c r="F474" s="95" t="str">
        <f>IFERROR(VLOOKUP(B474,tblPeople[],14,FALSE),"")</f>
        <v/>
      </c>
      <c r="G474" s="11"/>
      <c r="H474" s="67"/>
      <c r="I474" s="11"/>
      <c r="J474" s="11"/>
      <c r="K474" s="11"/>
      <c r="L474" s="11"/>
      <c r="M474" s="11"/>
      <c r="N474" s="11"/>
      <c r="O474" s="67"/>
      <c r="P474" s="11"/>
    </row>
    <row r="475" spans="1:16" x14ac:dyDescent="0.25">
      <c r="A475" s="65" t="str">
        <f t="shared" si="7"/>
        <v/>
      </c>
      <c r="F475" s="95" t="str">
        <f>IFERROR(VLOOKUP(B475,tblPeople[],14,FALSE),"")</f>
        <v/>
      </c>
      <c r="G475" s="11"/>
      <c r="H475" s="67"/>
      <c r="I475" s="11"/>
      <c r="J475" s="11"/>
      <c r="K475" s="11"/>
      <c r="L475" s="11"/>
      <c r="M475" s="11"/>
      <c r="N475" s="11"/>
      <c r="O475" s="67"/>
      <c r="P475" s="11"/>
    </row>
    <row r="476" spans="1:16" x14ac:dyDescent="0.25">
      <c r="A476" s="65" t="str">
        <f t="shared" si="7"/>
        <v/>
      </c>
      <c r="F476" s="95" t="str">
        <f>IFERROR(VLOOKUP(B476,tblPeople[],14,FALSE),"")</f>
        <v/>
      </c>
      <c r="G476" s="11"/>
      <c r="H476" s="67"/>
      <c r="I476" s="11"/>
      <c r="J476" s="11"/>
      <c r="K476" s="11"/>
      <c r="L476" s="11"/>
      <c r="M476" s="11"/>
      <c r="N476" s="11"/>
      <c r="O476" s="67"/>
      <c r="P476" s="11"/>
    </row>
    <row r="477" spans="1:16" x14ac:dyDescent="0.25">
      <c r="A477" s="65" t="str">
        <f t="shared" si="7"/>
        <v/>
      </c>
      <c r="F477" s="95" t="str">
        <f>IFERROR(VLOOKUP(B477,tblPeople[],14,FALSE),"")</f>
        <v/>
      </c>
      <c r="G477" s="11"/>
      <c r="H477" s="67"/>
      <c r="I477" s="11"/>
      <c r="J477" s="11"/>
      <c r="K477" s="11"/>
      <c r="L477" s="11"/>
      <c r="M477" s="11"/>
      <c r="N477" s="11"/>
      <c r="O477" s="67"/>
      <c r="P477" s="11"/>
    </row>
    <row r="478" spans="1:16" x14ac:dyDescent="0.25">
      <c r="A478" s="65" t="str">
        <f t="shared" si="7"/>
        <v/>
      </c>
      <c r="F478" s="95" t="str">
        <f>IFERROR(VLOOKUP(B478,tblPeople[],14,FALSE),"")</f>
        <v/>
      </c>
      <c r="G478" s="11"/>
      <c r="H478" s="67"/>
      <c r="I478" s="11"/>
      <c r="J478" s="11"/>
      <c r="K478" s="11"/>
      <c r="L478" s="11"/>
      <c r="M478" s="11"/>
      <c r="N478" s="11"/>
      <c r="O478" s="67"/>
      <c r="P478" s="11"/>
    </row>
    <row r="479" spans="1:16" x14ac:dyDescent="0.25">
      <c r="A479" s="65" t="str">
        <f t="shared" si="7"/>
        <v/>
      </c>
      <c r="F479" s="95" t="str">
        <f>IFERROR(VLOOKUP(B479,tblPeople[],14,FALSE),"")</f>
        <v/>
      </c>
      <c r="G479" s="11"/>
      <c r="H479" s="67"/>
      <c r="I479" s="11"/>
      <c r="J479" s="11"/>
      <c r="K479" s="11"/>
      <c r="L479" s="11"/>
      <c r="M479" s="11"/>
      <c r="N479" s="11"/>
      <c r="O479" s="67"/>
      <c r="P479" s="11"/>
    </row>
    <row r="480" spans="1:16" x14ac:dyDescent="0.25">
      <c r="A480" s="65" t="str">
        <f t="shared" si="7"/>
        <v/>
      </c>
      <c r="F480" s="95" t="str">
        <f>IFERROR(VLOOKUP(B480,tblPeople[],14,FALSE),"")</f>
        <v/>
      </c>
      <c r="G480" s="11"/>
      <c r="H480" s="67"/>
      <c r="I480" s="11"/>
      <c r="J480" s="11"/>
      <c r="K480" s="11"/>
      <c r="L480" s="11"/>
      <c r="M480" s="11"/>
      <c r="N480" s="11"/>
      <c r="O480" s="67"/>
      <c r="P480" s="11"/>
    </row>
    <row r="481" spans="1:16" x14ac:dyDescent="0.25">
      <c r="A481" s="65" t="str">
        <f t="shared" si="7"/>
        <v/>
      </c>
      <c r="F481" s="95" t="str">
        <f>IFERROR(VLOOKUP(B481,tblPeople[],14,FALSE),"")</f>
        <v/>
      </c>
      <c r="G481" s="11"/>
      <c r="H481" s="67"/>
      <c r="I481" s="11"/>
      <c r="J481" s="11"/>
      <c r="K481" s="11"/>
      <c r="L481" s="11"/>
      <c r="M481" s="11"/>
      <c r="N481" s="11"/>
      <c r="O481" s="67"/>
      <c r="P481" s="11"/>
    </row>
    <row r="482" spans="1:16" x14ac:dyDescent="0.25">
      <c r="A482" s="65" t="str">
        <f t="shared" si="7"/>
        <v/>
      </c>
      <c r="F482" s="95" t="str">
        <f>IFERROR(VLOOKUP(B482,tblPeople[],14,FALSE),"")</f>
        <v/>
      </c>
      <c r="G482" s="11"/>
      <c r="H482" s="67"/>
      <c r="I482" s="11"/>
      <c r="J482" s="11"/>
      <c r="K482" s="11"/>
      <c r="L482" s="11"/>
      <c r="M482" s="11"/>
      <c r="N482" s="11"/>
      <c r="O482" s="67"/>
      <c r="P482" s="11"/>
    </row>
    <row r="483" spans="1:16" x14ac:dyDescent="0.25">
      <c r="A483" s="65" t="str">
        <f t="shared" si="7"/>
        <v/>
      </c>
      <c r="F483" s="95" t="str">
        <f>IFERROR(VLOOKUP(B483,tblPeople[],14,FALSE),"")</f>
        <v/>
      </c>
      <c r="G483" s="11"/>
      <c r="H483" s="67"/>
      <c r="I483" s="11"/>
      <c r="J483" s="11"/>
      <c r="K483" s="11"/>
      <c r="L483" s="11"/>
      <c r="M483" s="11"/>
      <c r="N483" s="11"/>
      <c r="O483" s="67"/>
      <c r="P483" s="11"/>
    </row>
    <row r="484" spans="1:16" x14ac:dyDescent="0.25">
      <c r="A484" s="65" t="str">
        <f t="shared" si="7"/>
        <v/>
      </c>
      <c r="F484" s="95" t="str">
        <f>IFERROR(VLOOKUP(B484,tblPeople[],14,FALSE),"")</f>
        <v/>
      </c>
      <c r="G484" s="11"/>
      <c r="H484" s="67"/>
      <c r="I484" s="11"/>
      <c r="J484" s="11"/>
      <c r="K484" s="11"/>
      <c r="L484" s="11"/>
      <c r="M484" s="11"/>
      <c r="N484" s="11"/>
      <c r="O484" s="67"/>
      <c r="P484" s="11"/>
    </row>
    <row r="485" spans="1:16" x14ac:dyDescent="0.25">
      <c r="A485" s="65" t="str">
        <f t="shared" si="7"/>
        <v/>
      </c>
      <c r="F485" s="95" t="str">
        <f>IFERROR(VLOOKUP(B485,tblPeople[],14,FALSE),"")</f>
        <v/>
      </c>
      <c r="G485" s="11"/>
      <c r="H485" s="67"/>
      <c r="I485" s="11"/>
      <c r="J485" s="11"/>
      <c r="K485" s="11"/>
      <c r="L485" s="11"/>
      <c r="M485" s="11"/>
      <c r="N485" s="11"/>
      <c r="O485" s="67"/>
      <c r="P485" s="11"/>
    </row>
    <row r="486" spans="1:16" x14ac:dyDescent="0.25">
      <c r="A486" s="65" t="str">
        <f t="shared" si="7"/>
        <v/>
      </c>
      <c r="F486" s="95" t="str">
        <f>IFERROR(VLOOKUP(B486,tblPeople[],14,FALSE),"")</f>
        <v/>
      </c>
      <c r="G486" s="11"/>
      <c r="H486" s="67"/>
      <c r="I486" s="11"/>
      <c r="J486" s="11"/>
      <c r="K486" s="11"/>
      <c r="L486" s="11"/>
      <c r="M486" s="11"/>
      <c r="N486" s="11"/>
      <c r="O486" s="67"/>
      <c r="P486" s="11"/>
    </row>
    <row r="487" spans="1:16" x14ac:dyDescent="0.25">
      <c r="A487" s="65" t="str">
        <f t="shared" si="7"/>
        <v/>
      </c>
      <c r="F487" s="95" t="str">
        <f>IFERROR(VLOOKUP(B487,tblPeople[],14,FALSE),"")</f>
        <v/>
      </c>
      <c r="G487" s="11"/>
      <c r="H487" s="67"/>
      <c r="I487" s="11"/>
      <c r="J487" s="11"/>
      <c r="K487" s="11"/>
      <c r="L487" s="11"/>
      <c r="M487" s="11"/>
      <c r="N487" s="11"/>
      <c r="O487" s="67"/>
      <c r="P487" s="11"/>
    </row>
    <row r="488" spans="1:16" x14ac:dyDescent="0.25">
      <c r="A488" s="65" t="str">
        <f t="shared" si="7"/>
        <v/>
      </c>
      <c r="F488" s="95" t="str">
        <f>IFERROR(VLOOKUP(B488,tblPeople[],14,FALSE),"")</f>
        <v/>
      </c>
      <c r="G488" s="11"/>
      <c r="H488" s="67"/>
      <c r="I488" s="11"/>
      <c r="J488" s="11"/>
      <c r="K488" s="11"/>
      <c r="L488" s="11"/>
      <c r="M488" s="11"/>
      <c r="N488" s="11"/>
      <c r="O488" s="67"/>
      <c r="P488" s="11"/>
    </row>
    <row r="489" spans="1:16" x14ac:dyDescent="0.25">
      <c r="A489" s="65" t="str">
        <f t="shared" si="7"/>
        <v/>
      </c>
      <c r="F489" s="95" t="str">
        <f>IFERROR(VLOOKUP(B489,tblPeople[],14,FALSE),"")</f>
        <v/>
      </c>
      <c r="G489" s="11"/>
      <c r="H489" s="67"/>
      <c r="I489" s="11"/>
      <c r="J489" s="11"/>
      <c r="K489" s="11"/>
      <c r="L489" s="11"/>
      <c r="M489" s="11"/>
      <c r="N489" s="11"/>
      <c r="O489" s="67"/>
      <c r="P489" s="11"/>
    </row>
    <row r="490" spans="1:16" x14ac:dyDescent="0.25">
      <c r="A490" s="65" t="str">
        <f t="shared" si="7"/>
        <v/>
      </c>
      <c r="F490" s="95" t="str">
        <f>IFERROR(VLOOKUP(B490,tblPeople[],14,FALSE),"")</f>
        <v/>
      </c>
      <c r="G490" s="11"/>
      <c r="H490" s="67"/>
      <c r="I490" s="11"/>
      <c r="J490" s="11"/>
      <c r="K490" s="11"/>
      <c r="L490" s="11"/>
      <c r="M490" s="11"/>
      <c r="N490" s="11"/>
      <c r="O490" s="67"/>
      <c r="P490" s="11"/>
    </row>
    <row r="491" spans="1:16" x14ac:dyDescent="0.25">
      <c r="A491" s="65" t="str">
        <f t="shared" si="7"/>
        <v/>
      </c>
      <c r="F491" s="95" t="str">
        <f>IFERROR(VLOOKUP(B491,tblPeople[],14,FALSE),"")</f>
        <v/>
      </c>
      <c r="G491" s="11"/>
      <c r="H491" s="67"/>
      <c r="I491" s="11"/>
      <c r="J491" s="11"/>
      <c r="K491" s="11"/>
      <c r="L491" s="11"/>
      <c r="M491" s="11"/>
      <c r="N491" s="11"/>
      <c r="O491" s="67"/>
      <c r="P491" s="11"/>
    </row>
    <row r="492" spans="1:16" x14ac:dyDescent="0.25">
      <c r="A492" s="65" t="str">
        <f t="shared" si="7"/>
        <v/>
      </c>
      <c r="F492" s="95" t="str">
        <f>IFERROR(VLOOKUP(B492,tblPeople[],14,FALSE),"")</f>
        <v/>
      </c>
      <c r="G492" s="11"/>
      <c r="H492" s="67"/>
      <c r="I492" s="11"/>
      <c r="J492" s="11"/>
      <c r="K492" s="11"/>
      <c r="L492" s="11"/>
      <c r="M492" s="11"/>
      <c r="N492" s="11"/>
      <c r="O492" s="67"/>
      <c r="P492" s="11"/>
    </row>
    <row r="493" spans="1:16" x14ac:dyDescent="0.25">
      <c r="A493" s="65" t="str">
        <f t="shared" si="7"/>
        <v/>
      </c>
      <c r="F493" s="95" t="str">
        <f>IFERROR(VLOOKUP(B493,tblPeople[],14,FALSE),"")</f>
        <v/>
      </c>
      <c r="G493" s="11"/>
      <c r="H493" s="67"/>
      <c r="I493" s="11"/>
      <c r="J493" s="11"/>
      <c r="K493" s="11"/>
      <c r="L493" s="11"/>
      <c r="M493" s="11"/>
      <c r="N493" s="11"/>
      <c r="O493" s="67"/>
      <c r="P493" s="11"/>
    </row>
    <row r="494" spans="1:16" x14ac:dyDescent="0.25">
      <c r="A494" s="65" t="str">
        <f t="shared" si="7"/>
        <v/>
      </c>
      <c r="F494" s="95" t="str">
        <f>IFERROR(VLOOKUP(B494,tblPeople[],14,FALSE),"")</f>
        <v/>
      </c>
      <c r="G494" s="11"/>
      <c r="H494" s="67"/>
      <c r="I494" s="11"/>
      <c r="J494" s="11"/>
      <c r="K494" s="11"/>
      <c r="L494" s="11"/>
      <c r="M494" s="11"/>
      <c r="N494" s="11"/>
      <c r="O494" s="67"/>
      <c r="P494" s="11"/>
    </row>
    <row r="495" spans="1:16" x14ac:dyDescent="0.25">
      <c r="A495" s="65" t="str">
        <f t="shared" si="7"/>
        <v/>
      </c>
      <c r="F495" s="95" t="str">
        <f>IFERROR(VLOOKUP(B495,tblPeople[],14,FALSE),"")</f>
        <v/>
      </c>
      <c r="G495" s="11"/>
      <c r="H495" s="67"/>
      <c r="I495" s="11"/>
      <c r="J495" s="11"/>
      <c r="K495" s="11"/>
      <c r="L495" s="11"/>
      <c r="M495" s="11"/>
      <c r="N495" s="11"/>
      <c r="O495" s="67"/>
      <c r="P495" s="11"/>
    </row>
    <row r="496" spans="1:16" x14ac:dyDescent="0.25">
      <c r="A496" s="65" t="str">
        <f t="shared" si="7"/>
        <v/>
      </c>
      <c r="F496" s="95" t="str">
        <f>IFERROR(VLOOKUP(B496,tblPeople[],14,FALSE),"")</f>
        <v/>
      </c>
      <c r="G496" s="11"/>
      <c r="H496" s="67"/>
      <c r="I496" s="11"/>
      <c r="J496" s="11"/>
      <c r="K496" s="11"/>
      <c r="L496" s="11"/>
      <c r="M496" s="11"/>
      <c r="N496" s="11"/>
      <c r="O496" s="67"/>
      <c r="P496" s="11"/>
    </row>
    <row r="497" spans="1:16" x14ac:dyDescent="0.25">
      <c r="A497" s="65" t="str">
        <f t="shared" si="7"/>
        <v/>
      </c>
      <c r="F497" s="95" t="str">
        <f>IFERROR(VLOOKUP(B497,tblPeople[],14,FALSE),"")</f>
        <v/>
      </c>
      <c r="G497" s="11"/>
      <c r="H497" s="67"/>
      <c r="I497" s="11"/>
      <c r="J497" s="11"/>
      <c r="K497" s="11"/>
      <c r="L497" s="11"/>
      <c r="M497" s="11"/>
      <c r="N497" s="11"/>
      <c r="O497" s="67"/>
      <c r="P497" s="11"/>
    </row>
    <row r="498" spans="1:16" x14ac:dyDescent="0.25">
      <c r="A498" s="65" t="str">
        <f t="shared" si="7"/>
        <v/>
      </c>
      <c r="F498" s="95" t="str">
        <f>IFERROR(VLOOKUP(B498,tblPeople[],14,FALSE),"")</f>
        <v/>
      </c>
      <c r="G498" s="11"/>
      <c r="H498" s="67"/>
      <c r="I498" s="11"/>
      <c r="J498" s="11"/>
      <c r="K498" s="11"/>
      <c r="L498" s="11"/>
      <c r="M498" s="11"/>
      <c r="N498" s="11"/>
      <c r="O498" s="67"/>
      <c r="P498" s="11"/>
    </row>
    <row r="499" spans="1:16" x14ac:dyDescent="0.25">
      <c r="A499" s="65" t="str">
        <f t="shared" si="7"/>
        <v/>
      </c>
      <c r="F499" s="95" t="str">
        <f>IFERROR(VLOOKUP(B499,tblPeople[],14,FALSE),"")</f>
        <v/>
      </c>
      <c r="G499" s="11"/>
      <c r="H499" s="67"/>
      <c r="I499" s="11"/>
      <c r="J499" s="11"/>
      <c r="K499" s="11"/>
      <c r="L499" s="11"/>
      <c r="M499" s="11"/>
      <c r="N499" s="11"/>
      <c r="O499" s="67"/>
      <c r="P499" s="11"/>
    </row>
    <row r="500" spans="1:16" x14ac:dyDescent="0.25">
      <c r="A500" s="65" t="str">
        <f t="shared" si="7"/>
        <v/>
      </c>
      <c r="F500" s="95" t="str">
        <f>IFERROR(VLOOKUP(B500,tblPeople[],14,FALSE),"")</f>
        <v/>
      </c>
      <c r="G500" s="11"/>
      <c r="H500" s="67"/>
      <c r="I500" s="11"/>
      <c r="J500" s="11"/>
      <c r="K500" s="11"/>
      <c r="L500" s="11"/>
      <c r="M500" s="11"/>
      <c r="N500" s="11"/>
      <c r="O500" s="67"/>
      <c r="P500" s="11"/>
    </row>
    <row r="501" spans="1:16" x14ac:dyDescent="0.25">
      <c r="A501" s="65" t="str">
        <f t="shared" si="7"/>
        <v/>
      </c>
      <c r="F501" s="95" t="str">
        <f>IFERROR(VLOOKUP(B501,tblPeople[],14,FALSE),"")</f>
        <v/>
      </c>
      <c r="G501" s="11"/>
      <c r="H501" s="67"/>
      <c r="I501" s="11"/>
      <c r="J501" s="11"/>
      <c r="K501" s="11"/>
      <c r="L501" s="11"/>
      <c r="M501" s="11"/>
      <c r="N501" s="11"/>
      <c r="O501" s="67"/>
      <c r="P501" s="11"/>
    </row>
    <row r="502" spans="1:16" x14ac:dyDescent="0.25">
      <c r="A502" s="65" t="str">
        <f t="shared" si="7"/>
        <v/>
      </c>
      <c r="F502" s="95" t="str">
        <f>IFERROR(VLOOKUP(B502,tblPeople[],14,FALSE),"")</f>
        <v/>
      </c>
      <c r="G502" s="11"/>
      <c r="H502" s="67"/>
      <c r="I502" s="11"/>
      <c r="J502" s="11"/>
      <c r="K502" s="11"/>
      <c r="L502" s="11"/>
      <c r="M502" s="11"/>
      <c r="N502" s="11"/>
      <c r="O502" s="67"/>
      <c r="P502" s="11"/>
    </row>
    <row r="503" spans="1:16" x14ac:dyDescent="0.25">
      <c r="A503" s="65" t="str">
        <f t="shared" si="7"/>
        <v/>
      </c>
      <c r="F503" s="95" t="str">
        <f>IFERROR(VLOOKUP(B503,tblPeople[],14,FALSE),"")</f>
        <v/>
      </c>
      <c r="G503" s="11"/>
      <c r="H503" s="67"/>
      <c r="I503" s="11"/>
      <c r="J503" s="11"/>
      <c r="K503" s="11"/>
      <c r="L503" s="11"/>
      <c r="M503" s="11"/>
      <c r="N503" s="11"/>
      <c r="O503" s="67"/>
      <c r="P503" s="11"/>
    </row>
    <row r="504" spans="1:16" x14ac:dyDescent="0.25">
      <c r="A504" s="65" t="str">
        <f t="shared" si="7"/>
        <v/>
      </c>
      <c r="F504" s="95" t="str">
        <f>IFERROR(VLOOKUP(B504,tblPeople[],14,FALSE),"")</f>
        <v/>
      </c>
      <c r="G504" s="11"/>
      <c r="H504" s="67"/>
      <c r="I504" s="11"/>
      <c r="J504" s="11"/>
      <c r="K504" s="11"/>
      <c r="L504" s="11"/>
      <c r="M504" s="11"/>
      <c r="N504" s="11"/>
      <c r="O504" s="67"/>
      <c r="P504" s="11"/>
    </row>
    <row r="505" spans="1:16" x14ac:dyDescent="0.25">
      <c r="A505" s="65" t="str">
        <f t="shared" si="7"/>
        <v/>
      </c>
      <c r="F505" s="95" t="str">
        <f>IFERROR(VLOOKUP(B505,tblPeople[],14,FALSE),"")</f>
        <v/>
      </c>
      <c r="G505" s="11"/>
      <c r="H505" s="67"/>
      <c r="I505" s="11"/>
      <c r="J505" s="11"/>
      <c r="K505" s="11"/>
      <c r="L505" s="11"/>
      <c r="M505" s="11"/>
      <c r="N505" s="11"/>
      <c r="O505" s="67"/>
      <c r="P505" s="11"/>
    </row>
    <row r="506" spans="1:16" x14ac:dyDescent="0.25">
      <c r="A506" s="65" t="str">
        <f t="shared" si="7"/>
        <v/>
      </c>
      <c r="F506" s="95" t="str">
        <f>IFERROR(VLOOKUP(B506,tblPeople[],14,FALSE),"")</f>
        <v/>
      </c>
      <c r="G506" s="11"/>
      <c r="H506" s="67"/>
      <c r="I506" s="11"/>
      <c r="J506" s="11"/>
      <c r="K506" s="11"/>
      <c r="L506" s="11"/>
      <c r="M506" s="11"/>
      <c r="N506" s="11"/>
      <c r="O506" s="67"/>
      <c r="P506" s="11"/>
    </row>
    <row r="507" spans="1:16" x14ac:dyDescent="0.25">
      <c r="A507" s="65" t="str">
        <f t="shared" si="7"/>
        <v/>
      </c>
      <c r="F507" s="95" t="str">
        <f>IFERROR(VLOOKUP(B507,tblPeople[],14,FALSE),"")</f>
        <v/>
      </c>
      <c r="G507" s="11"/>
      <c r="H507" s="67"/>
      <c r="I507" s="11"/>
      <c r="J507" s="11"/>
      <c r="K507" s="11"/>
      <c r="L507" s="11"/>
      <c r="M507" s="11"/>
      <c r="N507" s="11"/>
      <c r="O507" s="67"/>
      <c r="P507" s="11"/>
    </row>
    <row r="508" spans="1:16" x14ac:dyDescent="0.25">
      <c r="A508" s="65" t="str">
        <f t="shared" si="7"/>
        <v/>
      </c>
      <c r="F508" s="95" t="str">
        <f>IFERROR(VLOOKUP(B508,tblPeople[],14,FALSE),"")</f>
        <v/>
      </c>
      <c r="G508" s="11"/>
      <c r="H508" s="67"/>
      <c r="I508" s="11"/>
      <c r="J508" s="11"/>
      <c r="K508" s="11"/>
      <c r="L508" s="11"/>
      <c r="M508" s="11"/>
      <c r="N508" s="11"/>
      <c r="O508" s="67"/>
      <c r="P508" s="11"/>
    </row>
    <row r="509" spans="1:16" x14ac:dyDescent="0.25">
      <c r="A509" s="65" t="str">
        <f t="shared" si="7"/>
        <v/>
      </c>
      <c r="F509" s="95" t="str">
        <f>IFERROR(VLOOKUP(B509,tblPeople[],14,FALSE),"")</f>
        <v/>
      </c>
      <c r="G509" s="11"/>
      <c r="H509" s="67"/>
      <c r="I509" s="11"/>
      <c r="J509" s="11"/>
      <c r="K509" s="11"/>
      <c r="L509" s="11"/>
      <c r="M509" s="11"/>
      <c r="N509" s="11"/>
      <c r="O509" s="67"/>
      <c r="P509" s="11"/>
    </row>
    <row r="510" spans="1:16" x14ac:dyDescent="0.25">
      <c r="A510" s="65" t="str">
        <f t="shared" si="7"/>
        <v/>
      </c>
      <c r="F510" s="95" t="str">
        <f>IFERROR(VLOOKUP(B510,tblPeople[],14,FALSE),"")</f>
        <v/>
      </c>
      <c r="G510" s="11"/>
      <c r="H510" s="67"/>
      <c r="I510" s="11"/>
      <c r="J510" s="11"/>
      <c r="K510" s="11"/>
      <c r="L510" s="11"/>
      <c r="M510" s="11"/>
      <c r="N510" s="11"/>
      <c r="O510" s="67"/>
      <c r="P510" s="11"/>
    </row>
    <row r="511" spans="1:16" x14ac:dyDescent="0.25">
      <c r="A511" s="65" t="str">
        <f t="shared" si="7"/>
        <v/>
      </c>
      <c r="F511" s="95" t="str">
        <f>IFERROR(VLOOKUP(B511,tblPeople[],14,FALSE),"")</f>
        <v/>
      </c>
      <c r="G511" s="11"/>
      <c r="H511" s="67"/>
      <c r="I511" s="11"/>
      <c r="J511" s="11"/>
      <c r="K511" s="11"/>
      <c r="L511" s="11"/>
      <c r="M511" s="11"/>
      <c r="N511" s="11"/>
      <c r="O511" s="67"/>
      <c r="P511" s="11"/>
    </row>
    <row r="512" spans="1:16" x14ac:dyDescent="0.25">
      <c r="A512" s="65" t="str">
        <f t="shared" si="7"/>
        <v/>
      </c>
      <c r="F512" s="95" t="str">
        <f>IFERROR(VLOOKUP(B512,tblPeople[],14,FALSE),"")</f>
        <v/>
      </c>
      <c r="G512" s="11"/>
      <c r="H512" s="67"/>
      <c r="I512" s="11"/>
      <c r="J512" s="11"/>
      <c r="K512" s="11"/>
      <c r="L512" s="11"/>
      <c r="M512" s="11"/>
      <c r="N512" s="11"/>
      <c r="O512" s="67"/>
      <c r="P512" s="11"/>
    </row>
    <row r="513" spans="1:16" x14ac:dyDescent="0.25">
      <c r="A513" s="65" t="str">
        <f t="shared" si="7"/>
        <v/>
      </c>
      <c r="F513" s="95" t="str">
        <f>IFERROR(VLOOKUP(B513,tblPeople[],14,FALSE),"")</f>
        <v/>
      </c>
      <c r="G513" s="11"/>
      <c r="H513" s="67"/>
      <c r="I513" s="11"/>
      <c r="J513" s="11"/>
      <c r="K513" s="11"/>
      <c r="L513" s="11"/>
      <c r="M513" s="11"/>
      <c r="N513" s="11"/>
      <c r="O513" s="67"/>
      <c r="P513" s="11"/>
    </row>
    <row r="514" spans="1:16" x14ac:dyDescent="0.25">
      <c r="A514" s="65" t="str">
        <f t="shared" si="7"/>
        <v/>
      </c>
      <c r="F514" s="95" t="str">
        <f>IFERROR(VLOOKUP(B514,tblPeople[],14,FALSE),"")</f>
        <v/>
      </c>
      <c r="G514" s="11"/>
      <c r="H514" s="67"/>
      <c r="I514" s="11"/>
      <c r="J514" s="11"/>
      <c r="K514" s="11"/>
      <c r="L514" s="11"/>
      <c r="M514" s="11"/>
      <c r="N514" s="11"/>
      <c r="O514" s="67"/>
      <c r="P514" s="11"/>
    </row>
    <row r="515" spans="1:16" x14ac:dyDescent="0.25">
      <c r="A515" s="65" t="str">
        <f t="shared" si="7"/>
        <v/>
      </c>
      <c r="F515" s="95" t="str">
        <f>IFERROR(VLOOKUP(B515,tblPeople[],14,FALSE),"")</f>
        <v/>
      </c>
      <c r="G515" s="11"/>
      <c r="H515" s="67"/>
      <c r="I515" s="11"/>
      <c r="J515" s="11"/>
      <c r="K515" s="11"/>
      <c r="L515" s="11"/>
      <c r="M515" s="11"/>
      <c r="N515" s="11"/>
      <c r="O515" s="67"/>
      <c r="P515" s="11"/>
    </row>
    <row r="516" spans="1:16" x14ac:dyDescent="0.25">
      <c r="A516" s="65" t="str">
        <f t="shared" si="7"/>
        <v/>
      </c>
      <c r="F516" s="95" t="str">
        <f>IFERROR(VLOOKUP(B516,tblPeople[],14,FALSE),"")</f>
        <v/>
      </c>
      <c r="G516" s="11"/>
      <c r="H516" s="67"/>
      <c r="I516" s="11"/>
      <c r="J516" s="11"/>
      <c r="K516" s="11"/>
      <c r="L516" s="11"/>
      <c r="M516" s="11"/>
      <c r="N516" s="11"/>
      <c r="O516" s="67"/>
      <c r="P516" s="11"/>
    </row>
    <row r="517" spans="1:16" x14ac:dyDescent="0.25">
      <c r="A517" s="65" t="str">
        <f t="shared" si="7"/>
        <v/>
      </c>
      <c r="F517" s="95" t="str">
        <f>IFERROR(VLOOKUP(B517,tblPeople[],14,FALSE),"")</f>
        <v/>
      </c>
      <c r="G517" s="11"/>
      <c r="H517" s="67"/>
      <c r="I517" s="11"/>
      <c r="J517" s="11"/>
      <c r="K517" s="11"/>
      <c r="L517" s="11"/>
      <c r="M517" s="11"/>
      <c r="N517" s="11"/>
      <c r="O517" s="67"/>
      <c r="P517" s="11"/>
    </row>
    <row r="518" spans="1:16" x14ac:dyDescent="0.25">
      <c r="A518" s="65" t="str">
        <f t="shared" si="7"/>
        <v/>
      </c>
      <c r="F518" s="95" t="str">
        <f>IFERROR(VLOOKUP(B518,tblPeople[],14,FALSE),"")</f>
        <v/>
      </c>
      <c r="G518" s="11"/>
      <c r="H518" s="67"/>
      <c r="I518" s="11"/>
      <c r="J518" s="11"/>
      <c r="K518" s="11"/>
      <c r="L518" s="11"/>
      <c r="M518" s="11"/>
      <c r="N518" s="11"/>
      <c r="O518" s="67"/>
      <c r="P518" s="11"/>
    </row>
    <row r="519" spans="1:16" x14ac:dyDescent="0.25">
      <c r="A519" s="65" t="str">
        <f t="shared" si="7"/>
        <v/>
      </c>
      <c r="F519" s="95" t="str">
        <f>IFERROR(VLOOKUP(B519,tblPeople[],14,FALSE),"")</f>
        <v/>
      </c>
      <c r="G519" s="11"/>
      <c r="H519" s="67"/>
      <c r="I519" s="11"/>
      <c r="J519" s="11"/>
      <c r="K519" s="11"/>
      <c r="L519" s="11"/>
      <c r="M519" s="11"/>
      <c r="N519" s="11"/>
      <c r="O519" s="67"/>
      <c r="P519" s="11"/>
    </row>
    <row r="520" spans="1:16" x14ac:dyDescent="0.25">
      <c r="A520" s="65" t="str">
        <f t="shared" si="7"/>
        <v/>
      </c>
      <c r="F520" s="95" t="str">
        <f>IFERROR(VLOOKUP(B520,tblPeople[],14,FALSE),"")</f>
        <v/>
      </c>
      <c r="G520" s="11"/>
      <c r="H520" s="67"/>
      <c r="I520" s="11"/>
      <c r="J520" s="11"/>
      <c r="K520" s="11"/>
      <c r="L520" s="11"/>
      <c r="M520" s="11"/>
      <c r="N520" s="11"/>
      <c r="O520" s="67"/>
      <c r="P520" s="11"/>
    </row>
    <row r="521" spans="1:16" x14ac:dyDescent="0.25">
      <c r="A521" s="65" t="str">
        <f t="shared" si="7"/>
        <v/>
      </c>
      <c r="F521" s="95" t="str">
        <f>IFERROR(VLOOKUP(B521,tblPeople[],14,FALSE),"")</f>
        <v/>
      </c>
      <c r="G521" s="11"/>
      <c r="H521" s="67"/>
      <c r="I521" s="11"/>
      <c r="J521" s="11"/>
      <c r="K521" s="11"/>
      <c r="L521" s="11"/>
      <c r="M521" s="11"/>
      <c r="N521" s="11"/>
      <c r="O521" s="67"/>
      <c r="P521" s="11"/>
    </row>
    <row r="522" spans="1:16" x14ac:dyDescent="0.25">
      <c r="A522" s="65" t="str">
        <f t="shared" si="7"/>
        <v/>
      </c>
      <c r="F522" s="95" t="str">
        <f>IFERROR(VLOOKUP(B522,tblPeople[],14,FALSE),"")</f>
        <v/>
      </c>
      <c r="G522" s="11"/>
      <c r="H522" s="67"/>
      <c r="I522" s="11"/>
      <c r="J522" s="11"/>
      <c r="K522" s="11"/>
      <c r="L522" s="11"/>
      <c r="M522" s="11"/>
      <c r="N522" s="11"/>
      <c r="O522" s="67"/>
      <c r="P522" s="11"/>
    </row>
    <row r="523" spans="1:16" x14ac:dyDescent="0.25">
      <c r="A523" s="65" t="str">
        <f t="shared" si="7"/>
        <v/>
      </c>
      <c r="F523" s="95" t="str">
        <f>IFERROR(VLOOKUP(B523,tblPeople[],14,FALSE),"")</f>
        <v/>
      </c>
      <c r="G523" s="11"/>
      <c r="H523" s="67"/>
      <c r="I523" s="11"/>
      <c r="J523" s="11"/>
      <c r="K523" s="11"/>
      <c r="L523" s="11"/>
      <c r="M523" s="11"/>
      <c r="N523" s="11"/>
      <c r="O523" s="67"/>
      <c r="P523" s="11"/>
    </row>
    <row r="524" spans="1:16" x14ac:dyDescent="0.25">
      <c r="A524" s="65" t="str">
        <f t="shared" si="7"/>
        <v/>
      </c>
      <c r="F524" s="95" t="str">
        <f>IFERROR(VLOOKUP(B524,tblPeople[],14,FALSE),"")</f>
        <v/>
      </c>
      <c r="G524" s="11"/>
      <c r="H524" s="67"/>
      <c r="I524" s="11"/>
      <c r="J524" s="11"/>
      <c r="K524" s="11"/>
      <c r="L524" s="11"/>
      <c r="M524" s="11"/>
      <c r="N524" s="11"/>
      <c r="O524" s="67"/>
      <c r="P524" s="11"/>
    </row>
    <row r="525" spans="1:16" x14ac:dyDescent="0.25">
      <c r="A525" s="65" t="str">
        <f t="shared" si="7"/>
        <v/>
      </c>
      <c r="F525" s="95" t="str">
        <f>IFERROR(VLOOKUP(B525,tblPeople[],14,FALSE),"")</f>
        <v/>
      </c>
      <c r="G525" s="11"/>
      <c r="H525" s="67"/>
      <c r="I525" s="11"/>
      <c r="J525" s="11"/>
      <c r="K525" s="11"/>
      <c r="L525" s="11"/>
      <c r="M525" s="11"/>
      <c r="N525" s="11"/>
      <c r="O525" s="67"/>
      <c r="P525" s="11"/>
    </row>
    <row r="526" spans="1:16" x14ac:dyDescent="0.25">
      <c r="A526" s="65" t="str">
        <f t="shared" si="7"/>
        <v/>
      </c>
      <c r="F526" s="95" t="str">
        <f>IFERROR(VLOOKUP(B526,tblPeople[],14,FALSE),"")</f>
        <v/>
      </c>
      <c r="G526" s="11"/>
      <c r="H526" s="67"/>
      <c r="I526" s="11"/>
      <c r="J526" s="11"/>
      <c r="K526" s="11"/>
      <c r="L526" s="11"/>
      <c r="M526" s="11"/>
      <c r="N526" s="11"/>
      <c r="O526" s="67"/>
      <c r="P526" s="11"/>
    </row>
    <row r="527" spans="1:16" x14ac:dyDescent="0.25">
      <c r="A527" s="65" t="str">
        <f t="shared" si="7"/>
        <v/>
      </c>
      <c r="F527" s="95" t="str">
        <f>IFERROR(VLOOKUP(B527,tblPeople[],14,FALSE),"")</f>
        <v/>
      </c>
      <c r="G527" s="11"/>
      <c r="H527" s="67"/>
      <c r="I527" s="11"/>
      <c r="J527" s="11"/>
      <c r="K527" s="11"/>
      <c r="L527" s="11"/>
      <c r="M527" s="11"/>
      <c r="N527" s="11"/>
      <c r="O527" s="67"/>
      <c r="P527" s="11"/>
    </row>
    <row r="528" spans="1:16" x14ac:dyDescent="0.25">
      <c r="A528" s="65" t="str">
        <f t="shared" si="7"/>
        <v/>
      </c>
      <c r="F528" s="95" t="str">
        <f>IFERROR(VLOOKUP(B528,tblPeople[],14,FALSE),"")</f>
        <v/>
      </c>
      <c r="G528" s="11"/>
      <c r="H528" s="67"/>
      <c r="I528" s="11"/>
      <c r="J528" s="11"/>
      <c r="K528" s="11"/>
      <c r="L528" s="11"/>
      <c r="M528" s="11"/>
      <c r="N528" s="11"/>
      <c r="O528" s="67"/>
      <c r="P528" s="11"/>
    </row>
    <row r="529" spans="1:16" x14ac:dyDescent="0.25">
      <c r="A529" s="65" t="str">
        <f t="shared" si="7"/>
        <v/>
      </c>
      <c r="F529" s="95" t="str">
        <f>IFERROR(VLOOKUP(B529,tblPeople[],14,FALSE),"")</f>
        <v/>
      </c>
      <c r="G529" s="11"/>
      <c r="H529" s="67"/>
      <c r="I529" s="11"/>
      <c r="J529" s="11"/>
      <c r="K529" s="11"/>
      <c r="L529" s="11"/>
      <c r="M529" s="11"/>
      <c r="N529" s="11"/>
      <c r="O529" s="67"/>
      <c r="P529" s="11"/>
    </row>
    <row r="530" spans="1:16" x14ac:dyDescent="0.25">
      <c r="A530" s="65" t="str">
        <f t="shared" ref="A530:A593" si="8">IF(B530=ISBLANK(""),"",A529+1)</f>
        <v/>
      </c>
      <c r="F530" s="95" t="str">
        <f>IFERROR(VLOOKUP(B530,tblPeople[],14,FALSE),"")</f>
        <v/>
      </c>
      <c r="G530" s="11"/>
      <c r="H530" s="67"/>
      <c r="I530" s="11"/>
      <c r="J530" s="11"/>
      <c r="K530" s="11"/>
      <c r="L530" s="11"/>
      <c r="M530" s="11"/>
      <c r="N530" s="11"/>
      <c r="O530" s="67"/>
      <c r="P530" s="11"/>
    </row>
    <row r="531" spans="1:16" x14ac:dyDescent="0.25">
      <c r="A531" s="65" t="str">
        <f t="shared" si="8"/>
        <v/>
      </c>
      <c r="F531" s="95" t="str">
        <f>IFERROR(VLOOKUP(B531,tblPeople[],14,FALSE),"")</f>
        <v/>
      </c>
      <c r="G531" s="11"/>
      <c r="H531" s="67"/>
      <c r="I531" s="11"/>
      <c r="J531" s="11"/>
      <c r="K531" s="11"/>
      <c r="L531" s="11"/>
      <c r="M531" s="11"/>
      <c r="N531" s="11"/>
      <c r="O531" s="67"/>
      <c r="P531" s="11"/>
    </row>
    <row r="532" spans="1:16" x14ac:dyDescent="0.25">
      <c r="A532" s="65" t="str">
        <f t="shared" si="8"/>
        <v/>
      </c>
      <c r="F532" s="95" t="str">
        <f>IFERROR(VLOOKUP(B532,tblPeople[],14,FALSE),"")</f>
        <v/>
      </c>
      <c r="G532" s="11"/>
      <c r="H532" s="67"/>
      <c r="I532" s="11"/>
      <c r="J532" s="11"/>
      <c r="K532" s="11"/>
      <c r="L532" s="11"/>
      <c r="M532" s="11"/>
      <c r="N532" s="11"/>
      <c r="O532" s="67"/>
      <c r="P532" s="11"/>
    </row>
    <row r="533" spans="1:16" x14ac:dyDescent="0.25">
      <c r="A533" s="65" t="str">
        <f t="shared" si="8"/>
        <v/>
      </c>
      <c r="F533" s="95" t="str">
        <f>IFERROR(VLOOKUP(B533,tblPeople[],14,FALSE),"")</f>
        <v/>
      </c>
      <c r="G533" s="11"/>
      <c r="H533" s="67"/>
      <c r="I533" s="11"/>
      <c r="J533" s="11"/>
      <c r="K533" s="11"/>
      <c r="L533" s="11"/>
      <c r="M533" s="11"/>
      <c r="N533" s="11"/>
      <c r="O533" s="67"/>
      <c r="P533" s="11"/>
    </row>
    <row r="534" spans="1:16" x14ac:dyDescent="0.25">
      <c r="A534" s="65" t="str">
        <f t="shared" si="8"/>
        <v/>
      </c>
      <c r="F534" s="95" t="str">
        <f>IFERROR(VLOOKUP(B534,tblPeople[],14,FALSE),"")</f>
        <v/>
      </c>
      <c r="G534" s="11"/>
      <c r="H534" s="67"/>
      <c r="I534" s="11"/>
      <c r="J534" s="11"/>
      <c r="K534" s="11"/>
      <c r="L534" s="11"/>
      <c r="M534" s="11"/>
      <c r="N534" s="11"/>
      <c r="O534" s="67"/>
      <c r="P534" s="11"/>
    </row>
    <row r="535" spans="1:16" x14ac:dyDescent="0.25">
      <c r="A535" s="65" t="str">
        <f t="shared" si="8"/>
        <v/>
      </c>
      <c r="F535" s="95" t="str">
        <f>IFERROR(VLOOKUP(B535,tblPeople[],14,FALSE),"")</f>
        <v/>
      </c>
      <c r="G535" s="11"/>
      <c r="H535" s="67"/>
      <c r="I535" s="11"/>
      <c r="J535" s="11"/>
      <c r="K535" s="11"/>
      <c r="L535" s="11"/>
      <c r="M535" s="11"/>
      <c r="N535" s="11"/>
      <c r="O535" s="67"/>
      <c r="P535" s="11"/>
    </row>
    <row r="536" spans="1:16" x14ac:dyDescent="0.25">
      <c r="A536" s="65" t="str">
        <f t="shared" si="8"/>
        <v/>
      </c>
      <c r="F536" s="95" t="str">
        <f>IFERROR(VLOOKUP(B536,tblPeople[],14,FALSE),"")</f>
        <v/>
      </c>
      <c r="G536" s="11"/>
      <c r="H536" s="67"/>
      <c r="I536" s="11"/>
      <c r="J536" s="11"/>
      <c r="K536" s="11"/>
      <c r="L536" s="11"/>
      <c r="M536" s="11"/>
      <c r="N536" s="11"/>
      <c r="O536" s="67"/>
      <c r="P536" s="11"/>
    </row>
    <row r="537" spans="1:16" x14ac:dyDescent="0.25">
      <c r="A537" s="65" t="str">
        <f t="shared" si="8"/>
        <v/>
      </c>
      <c r="F537" s="95" t="str">
        <f>IFERROR(VLOOKUP(B537,tblPeople[],14,FALSE),"")</f>
        <v/>
      </c>
      <c r="G537" s="11"/>
      <c r="H537" s="67"/>
      <c r="I537" s="11"/>
      <c r="J537" s="11"/>
      <c r="K537" s="11"/>
      <c r="L537" s="11"/>
      <c r="M537" s="11"/>
      <c r="N537" s="11"/>
      <c r="O537" s="67"/>
      <c r="P537" s="11"/>
    </row>
    <row r="538" spans="1:16" x14ac:dyDescent="0.25">
      <c r="A538" s="65" t="str">
        <f t="shared" si="8"/>
        <v/>
      </c>
      <c r="F538" s="95" t="str">
        <f>IFERROR(VLOOKUP(B538,tblPeople[],14,FALSE),"")</f>
        <v/>
      </c>
      <c r="G538" s="11"/>
      <c r="H538" s="67"/>
      <c r="I538" s="11"/>
      <c r="J538" s="11"/>
      <c r="K538" s="11"/>
      <c r="L538" s="11"/>
      <c r="M538" s="11"/>
      <c r="N538" s="11"/>
      <c r="O538" s="67"/>
      <c r="P538" s="11"/>
    </row>
    <row r="539" spans="1:16" x14ac:dyDescent="0.25">
      <c r="A539" s="65" t="str">
        <f t="shared" si="8"/>
        <v/>
      </c>
      <c r="F539" s="95" t="str">
        <f>IFERROR(VLOOKUP(B539,tblPeople[],14,FALSE),"")</f>
        <v/>
      </c>
      <c r="G539" s="11"/>
      <c r="H539" s="67"/>
      <c r="I539" s="11"/>
      <c r="J539" s="11"/>
      <c r="K539" s="11"/>
      <c r="L539" s="11"/>
      <c r="M539" s="11"/>
      <c r="N539" s="11"/>
      <c r="O539" s="67"/>
      <c r="P539" s="11"/>
    </row>
    <row r="540" spans="1:16" x14ac:dyDescent="0.25">
      <c r="A540" s="65" t="str">
        <f t="shared" si="8"/>
        <v/>
      </c>
      <c r="F540" s="95" t="str">
        <f>IFERROR(VLOOKUP(B540,tblPeople[],14,FALSE),"")</f>
        <v/>
      </c>
      <c r="G540" s="11"/>
      <c r="H540" s="67"/>
      <c r="I540" s="11"/>
      <c r="J540" s="11"/>
      <c r="K540" s="11"/>
      <c r="L540" s="11"/>
      <c r="M540" s="11"/>
      <c r="N540" s="11"/>
      <c r="O540" s="67"/>
      <c r="P540" s="11"/>
    </row>
    <row r="541" spans="1:16" x14ac:dyDescent="0.25">
      <c r="A541" s="65" t="str">
        <f t="shared" si="8"/>
        <v/>
      </c>
      <c r="F541" s="95" t="str">
        <f>IFERROR(VLOOKUP(B541,tblPeople[],14,FALSE),"")</f>
        <v/>
      </c>
      <c r="G541" s="11"/>
      <c r="H541" s="67"/>
      <c r="I541" s="11"/>
      <c r="J541" s="11"/>
      <c r="K541" s="11"/>
      <c r="L541" s="11"/>
      <c r="M541" s="11"/>
      <c r="N541" s="11"/>
      <c r="O541" s="67"/>
      <c r="P541" s="11"/>
    </row>
    <row r="542" spans="1:16" x14ac:dyDescent="0.25">
      <c r="A542" s="65" t="str">
        <f t="shared" si="8"/>
        <v/>
      </c>
      <c r="F542" s="95" t="str">
        <f>IFERROR(VLOOKUP(B542,tblPeople[],14,FALSE),"")</f>
        <v/>
      </c>
      <c r="G542" s="11"/>
      <c r="H542" s="67"/>
      <c r="I542" s="11"/>
      <c r="J542" s="11"/>
      <c r="K542" s="11"/>
      <c r="L542" s="11"/>
      <c r="M542" s="11"/>
      <c r="N542" s="11"/>
      <c r="O542" s="67"/>
      <c r="P542" s="11"/>
    </row>
    <row r="543" spans="1:16" x14ac:dyDescent="0.25">
      <c r="A543" s="65" t="str">
        <f t="shared" si="8"/>
        <v/>
      </c>
      <c r="F543" s="95" t="str">
        <f>IFERROR(VLOOKUP(B543,tblPeople[],14,FALSE),"")</f>
        <v/>
      </c>
      <c r="G543" s="11"/>
      <c r="H543" s="67"/>
      <c r="I543" s="11"/>
      <c r="J543" s="11"/>
      <c r="K543" s="11"/>
      <c r="L543" s="11"/>
      <c r="M543" s="11"/>
      <c r="N543" s="11"/>
      <c r="O543" s="67"/>
      <c r="P543" s="11"/>
    </row>
    <row r="544" spans="1:16" x14ac:dyDescent="0.25">
      <c r="A544" s="65" t="str">
        <f t="shared" si="8"/>
        <v/>
      </c>
      <c r="F544" s="95" t="str">
        <f>IFERROR(VLOOKUP(B544,tblPeople[],14,FALSE),"")</f>
        <v/>
      </c>
      <c r="G544" s="11"/>
      <c r="H544" s="67"/>
      <c r="I544" s="11"/>
      <c r="J544" s="11"/>
      <c r="K544" s="11"/>
      <c r="L544" s="11"/>
      <c r="M544" s="11"/>
      <c r="N544" s="11"/>
      <c r="O544" s="67"/>
      <c r="P544" s="11"/>
    </row>
    <row r="545" spans="1:16" x14ac:dyDescent="0.25">
      <c r="A545" s="65" t="str">
        <f t="shared" si="8"/>
        <v/>
      </c>
      <c r="F545" s="95" t="str">
        <f>IFERROR(VLOOKUP(B545,tblPeople[],14,FALSE),"")</f>
        <v/>
      </c>
      <c r="G545" s="11"/>
      <c r="H545" s="67"/>
      <c r="I545" s="11"/>
      <c r="J545" s="11"/>
      <c r="K545" s="11"/>
      <c r="L545" s="11"/>
      <c r="M545" s="11"/>
      <c r="N545" s="11"/>
      <c r="O545" s="67"/>
      <c r="P545" s="11"/>
    </row>
    <row r="546" spans="1:16" x14ac:dyDescent="0.25">
      <c r="A546" s="65" t="str">
        <f t="shared" si="8"/>
        <v/>
      </c>
      <c r="F546" s="95" t="str">
        <f>IFERROR(VLOOKUP(B546,tblPeople[],14,FALSE),"")</f>
        <v/>
      </c>
      <c r="G546" s="11"/>
      <c r="H546" s="67"/>
      <c r="I546" s="11"/>
      <c r="J546" s="11"/>
      <c r="K546" s="11"/>
      <c r="L546" s="11"/>
      <c r="M546" s="11"/>
      <c r="N546" s="11"/>
      <c r="O546" s="67"/>
      <c r="P546" s="11"/>
    </row>
    <row r="547" spans="1:16" x14ac:dyDescent="0.25">
      <c r="A547" s="65" t="str">
        <f t="shared" si="8"/>
        <v/>
      </c>
      <c r="F547" s="95" t="str">
        <f>IFERROR(VLOOKUP(B547,tblPeople[],14,FALSE),"")</f>
        <v/>
      </c>
      <c r="G547" s="11"/>
      <c r="H547" s="67"/>
      <c r="I547" s="11"/>
      <c r="J547" s="11"/>
      <c r="K547" s="11"/>
      <c r="L547" s="11"/>
      <c r="M547" s="11"/>
      <c r="N547" s="11"/>
      <c r="O547" s="67"/>
      <c r="P547" s="11"/>
    </row>
    <row r="548" spans="1:16" x14ac:dyDescent="0.25">
      <c r="A548" s="65" t="str">
        <f t="shared" si="8"/>
        <v/>
      </c>
      <c r="F548" s="95" t="str">
        <f>IFERROR(VLOOKUP(B548,tblPeople[],14,FALSE),"")</f>
        <v/>
      </c>
      <c r="G548" s="11"/>
      <c r="H548" s="67"/>
      <c r="I548" s="11"/>
      <c r="J548" s="11"/>
      <c r="K548" s="11"/>
      <c r="L548" s="11"/>
      <c r="M548" s="11"/>
      <c r="N548" s="11"/>
      <c r="O548" s="67"/>
      <c r="P548" s="11"/>
    </row>
    <row r="549" spans="1:16" x14ac:dyDescent="0.25">
      <c r="A549" s="65" t="str">
        <f t="shared" si="8"/>
        <v/>
      </c>
      <c r="F549" s="95" t="str">
        <f>IFERROR(VLOOKUP(B549,tblPeople[],14,FALSE),"")</f>
        <v/>
      </c>
      <c r="G549" s="11"/>
      <c r="H549" s="67"/>
      <c r="I549" s="11"/>
      <c r="J549" s="11"/>
      <c r="K549" s="11"/>
      <c r="L549" s="11"/>
      <c r="M549" s="11"/>
      <c r="N549" s="11"/>
      <c r="O549" s="67"/>
      <c r="P549" s="11"/>
    </row>
    <row r="550" spans="1:16" x14ac:dyDescent="0.25">
      <c r="A550" s="65" t="str">
        <f t="shared" si="8"/>
        <v/>
      </c>
      <c r="F550" s="95" t="str">
        <f>IFERROR(VLOOKUP(B550,tblPeople[],14,FALSE),"")</f>
        <v/>
      </c>
      <c r="G550" s="11"/>
      <c r="H550" s="67"/>
      <c r="I550" s="11"/>
      <c r="J550" s="11"/>
      <c r="K550" s="11"/>
      <c r="L550" s="11"/>
      <c r="M550" s="11"/>
      <c r="N550" s="11"/>
      <c r="O550" s="67"/>
      <c r="P550" s="11"/>
    </row>
    <row r="551" spans="1:16" x14ac:dyDescent="0.25">
      <c r="A551" s="65" t="str">
        <f t="shared" si="8"/>
        <v/>
      </c>
      <c r="F551" s="95" t="str">
        <f>IFERROR(VLOOKUP(B551,tblPeople[],14,FALSE),"")</f>
        <v/>
      </c>
      <c r="G551" s="11"/>
      <c r="H551" s="67"/>
      <c r="I551" s="11"/>
      <c r="J551" s="11"/>
      <c r="K551" s="11"/>
      <c r="L551" s="11"/>
      <c r="M551" s="11"/>
      <c r="N551" s="11"/>
      <c r="O551" s="67"/>
      <c r="P551" s="11"/>
    </row>
    <row r="552" spans="1:16" x14ac:dyDescent="0.25">
      <c r="A552" s="65" t="str">
        <f t="shared" si="8"/>
        <v/>
      </c>
      <c r="F552" s="95" t="str">
        <f>IFERROR(VLOOKUP(B552,tblPeople[],14,FALSE),"")</f>
        <v/>
      </c>
      <c r="G552" s="11"/>
      <c r="H552" s="67"/>
      <c r="I552" s="11"/>
      <c r="J552" s="11"/>
      <c r="K552" s="11"/>
      <c r="L552" s="11"/>
      <c r="M552" s="11"/>
      <c r="N552" s="11"/>
      <c r="O552" s="67"/>
      <c r="P552" s="11"/>
    </row>
    <row r="553" spans="1:16" x14ac:dyDescent="0.25">
      <c r="A553" s="65" t="str">
        <f t="shared" si="8"/>
        <v/>
      </c>
      <c r="F553" s="95" t="str">
        <f>IFERROR(VLOOKUP(B553,tblPeople[],14,FALSE),"")</f>
        <v/>
      </c>
      <c r="G553" s="11"/>
      <c r="H553" s="67"/>
      <c r="I553" s="11"/>
      <c r="J553" s="11"/>
      <c r="K553" s="11"/>
      <c r="L553" s="11"/>
      <c r="M553" s="11"/>
      <c r="N553" s="11"/>
      <c r="O553" s="67"/>
      <c r="P553" s="11"/>
    </row>
    <row r="554" spans="1:16" x14ac:dyDescent="0.25">
      <c r="A554" s="65" t="str">
        <f t="shared" si="8"/>
        <v/>
      </c>
      <c r="F554" s="95" t="str">
        <f>IFERROR(VLOOKUP(B554,tblPeople[],14,FALSE),"")</f>
        <v/>
      </c>
      <c r="G554" s="11"/>
      <c r="H554" s="67"/>
      <c r="I554" s="11"/>
      <c r="J554" s="11"/>
      <c r="K554" s="11"/>
      <c r="L554" s="11"/>
      <c r="M554" s="11"/>
      <c r="N554" s="11"/>
      <c r="O554" s="67"/>
      <c r="P554" s="11"/>
    </row>
    <row r="555" spans="1:16" x14ac:dyDescent="0.25">
      <c r="A555" s="65" t="str">
        <f t="shared" si="8"/>
        <v/>
      </c>
      <c r="F555" s="95" t="str">
        <f>IFERROR(VLOOKUP(B555,tblPeople[],14,FALSE),"")</f>
        <v/>
      </c>
      <c r="G555" s="11"/>
      <c r="H555" s="67"/>
      <c r="I555" s="11"/>
      <c r="J555" s="11"/>
      <c r="K555" s="11"/>
      <c r="L555" s="11"/>
      <c r="M555" s="11"/>
      <c r="N555" s="11"/>
      <c r="O555" s="67"/>
      <c r="P555" s="11"/>
    </row>
    <row r="556" spans="1:16" x14ac:dyDescent="0.25">
      <c r="A556" s="65" t="str">
        <f t="shared" si="8"/>
        <v/>
      </c>
      <c r="F556" s="95" t="str">
        <f>IFERROR(VLOOKUP(B556,tblPeople[],14,FALSE),"")</f>
        <v/>
      </c>
      <c r="G556" s="11"/>
      <c r="H556" s="67"/>
      <c r="I556" s="11"/>
      <c r="J556" s="11"/>
      <c r="K556" s="11"/>
      <c r="L556" s="11"/>
      <c r="M556" s="11"/>
      <c r="N556" s="11"/>
      <c r="O556" s="67"/>
      <c r="P556" s="11"/>
    </row>
    <row r="557" spans="1:16" x14ac:dyDescent="0.25">
      <c r="A557" s="65" t="str">
        <f t="shared" si="8"/>
        <v/>
      </c>
      <c r="F557" s="95" t="str">
        <f>IFERROR(VLOOKUP(B557,tblPeople[],14,FALSE),"")</f>
        <v/>
      </c>
      <c r="G557" s="11"/>
      <c r="H557" s="67"/>
      <c r="I557" s="11"/>
      <c r="J557" s="11"/>
      <c r="K557" s="11"/>
      <c r="L557" s="11"/>
      <c r="M557" s="11"/>
      <c r="N557" s="11"/>
      <c r="O557" s="67"/>
      <c r="P557" s="11"/>
    </row>
    <row r="558" spans="1:16" x14ac:dyDescent="0.25">
      <c r="A558" s="65" t="str">
        <f t="shared" si="8"/>
        <v/>
      </c>
      <c r="F558" s="95" t="str">
        <f>IFERROR(VLOOKUP(B558,tblPeople[],14,FALSE),"")</f>
        <v/>
      </c>
      <c r="G558" s="11"/>
      <c r="H558" s="67"/>
      <c r="I558" s="11"/>
      <c r="J558" s="11"/>
      <c r="K558" s="11"/>
      <c r="L558" s="11"/>
      <c r="M558" s="11"/>
      <c r="N558" s="11"/>
      <c r="O558" s="67"/>
      <c r="P558" s="11"/>
    </row>
    <row r="559" spans="1:16" x14ac:dyDescent="0.25">
      <c r="A559" s="65" t="str">
        <f t="shared" si="8"/>
        <v/>
      </c>
      <c r="F559" s="95" t="str">
        <f>IFERROR(VLOOKUP(B559,tblPeople[],14,FALSE),"")</f>
        <v/>
      </c>
      <c r="G559" s="11"/>
      <c r="H559" s="67"/>
      <c r="I559" s="11"/>
      <c r="J559" s="11"/>
      <c r="K559" s="11"/>
      <c r="L559" s="11"/>
      <c r="M559" s="11"/>
      <c r="N559" s="11"/>
      <c r="O559" s="67"/>
      <c r="P559" s="11"/>
    </row>
    <row r="560" spans="1:16" x14ac:dyDescent="0.25">
      <c r="A560" s="65" t="str">
        <f t="shared" si="8"/>
        <v/>
      </c>
      <c r="F560" s="95" t="str">
        <f>IFERROR(VLOOKUP(B560,tblPeople[],14,FALSE),"")</f>
        <v/>
      </c>
      <c r="G560" s="11"/>
      <c r="H560" s="67"/>
      <c r="I560" s="11"/>
      <c r="J560" s="11"/>
      <c r="K560" s="11"/>
      <c r="L560" s="11"/>
      <c r="M560" s="11"/>
      <c r="N560" s="11"/>
      <c r="O560" s="67"/>
      <c r="P560" s="11"/>
    </row>
    <row r="561" spans="1:16" x14ac:dyDescent="0.25">
      <c r="A561" s="65" t="str">
        <f t="shared" si="8"/>
        <v/>
      </c>
      <c r="F561" s="95" t="str">
        <f>IFERROR(VLOOKUP(B561,tblPeople[],14,FALSE),"")</f>
        <v/>
      </c>
      <c r="G561" s="11"/>
      <c r="H561" s="67"/>
      <c r="I561" s="11"/>
      <c r="J561" s="11"/>
      <c r="K561" s="11"/>
      <c r="L561" s="11"/>
      <c r="M561" s="11"/>
      <c r="N561" s="11"/>
      <c r="O561" s="67"/>
      <c r="P561" s="11"/>
    </row>
    <row r="562" spans="1:16" x14ac:dyDescent="0.25">
      <c r="A562" s="65" t="str">
        <f t="shared" si="8"/>
        <v/>
      </c>
      <c r="F562" s="95" t="str">
        <f>IFERROR(VLOOKUP(B562,tblPeople[],14,FALSE),"")</f>
        <v/>
      </c>
      <c r="G562" s="11"/>
      <c r="H562" s="67"/>
      <c r="I562" s="11"/>
      <c r="J562" s="11"/>
      <c r="K562" s="11"/>
      <c r="L562" s="11"/>
      <c r="M562" s="11"/>
      <c r="N562" s="11"/>
      <c r="O562" s="67"/>
      <c r="P562" s="11"/>
    </row>
    <row r="563" spans="1:16" x14ac:dyDescent="0.25">
      <c r="A563" s="65" t="str">
        <f t="shared" si="8"/>
        <v/>
      </c>
      <c r="F563" s="95" t="str">
        <f>IFERROR(VLOOKUP(B563,tblPeople[],14,FALSE),"")</f>
        <v/>
      </c>
      <c r="G563" s="11"/>
      <c r="H563" s="67"/>
      <c r="I563" s="11"/>
      <c r="J563" s="11"/>
      <c r="K563" s="11"/>
      <c r="L563" s="11"/>
      <c r="M563" s="11"/>
      <c r="N563" s="11"/>
      <c r="O563" s="67"/>
      <c r="P563" s="11"/>
    </row>
    <row r="564" spans="1:16" x14ac:dyDescent="0.25">
      <c r="A564" s="65" t="str">
        <f t="shared" si="8"/>
        <v/>
      </c>
      <c r="F564" s="95" t="str">
        <f>IFERROR(VLOOKUP(B564,tblPeople[],14,FALSE),"")</f>
        <v/>
      </c>
      <c r="G564" s="11"/>
      <c r="H564" s="67"/>
      <c r="I564" s="11"/>
      <c r="J564" s="11"/>
      <c r="K564" s="11"/>
      <c r="L564" s="11"/>
      <c r="M564" s="11"/>
      <c r="N564" s="11"/>
      <c r="O564" s="67"/>
      <c r="P564" s="11"/>
    </row>
    <row r="565" spans="1:16" x14ac:dyDescent="0.25">
      <c r="A565" s="65" t="str">
        <f t="shared" si="8"/>
        <v/>
      </c>
      <c r="F565" s="95" t="str">
        <f>IFERROR(VLOOKUP(B565,tblPeople[],14,FALSE),"")</f>
        <v/>
      </c>
      <c r="G565" s="11"/>
      <c r="H565" s="67"/>
      <c r="I565" s="11"/>
      <c r="J565" s="11"/>
      <c r="K565" s="11"/>
      <c r="L565" s="11"/>
      <c r="M565" s="11"/>
      <c r="N565" s="11"/>
      <c r="O565" s="67"/>
      <c r="P565" s="11"/>
    </row>
    <row r="566" spans="1:16" x14ac:dyDescent="0.25">
      <c r="A566" s="65" t="str">
        <f t="shared" si="8"/>
        <v/>
      </c>
      <c r="F566" s="95" t="str">
        <f>IFERROR(VLOOKUP(B566,tblPeople[],14,FALSE),"")</f>
        <v/>
      </c>
      <c r="G566" s="11"/>
      <c r="H566" s="67"/>
      <c r="I566" s="11"/>
      <c r="J566" s="11"/>
      <c r="K566" s="11"/>
      <c r="L566" s="11"/>
      <c r="M566" s="11"/>
      <c r="N566" s="11"/>
      <c r="O566" s="67"/>
      <c r="P566" s="11"/>
    </row>
    <row r="567" spans="1:16" x14ac:dyDescent="0.25">
      <c r="A567" s="65" t="str">
        <f t="shared" si="8"/>
        <v/>
      </c>
      <c r="F567" s="95" t="str">
        <f>IFERROR(VLOOKUP(B567,tblPeople[],14,FALSE),"")</f>
        <v/>
      </c>
      <c r="G567" s="11"/>
      <c r="H567" s="67"/>
      <c r="I567" s="11"/>
      <c r="J567" s="11"/>
      <c r="K567" s="11"/>
      <c r="L567" s="11"/>
      <c r="M567" s="11"/>
      <c r="N567" s="11"/>
      <c r="O567" s="67"/>
      <c r="P567" s="11"/>
    </row>
    <row r="568" spans="1:16" x14ac:dyDescent="0.25">
      <c r="A568" s="65" t="str">
        <f t="shared" si="8"/>
        <v/>
      </c>
      <c r="F568" s="95" t="str">
        <f>IFERROR(VLOOKUP(B568,tblPeople[],14,FALSE),"")</f>
        <v/>
      </c>
      <c r="G568" s="11"/>
      <c r="H568" s="67"/>
      <c r="I568" s="11"/>
      <c r="J568" s="11"/>
      <c r="K568" s="11"/>
      <c r="L568" s="11"/>
      <c r="M568" s="11"/>
      <c r="N568" s="11"/>
      <c r="O568" s="67"/>
      <c r="P568" s="11"/>
    </row>
    <row r="569" spans="1:16" x14ac:dyDescent="0.25">
      <c r="A569" s="65" t="str">
        <f t="shared" si="8"/>
        <v/>
      </c>
      <c r="F569" s="95" t="str">
        <f>IFERROR(VLOOKUP(B569,tblPeople[],14,FALSE),"")</f>
        <v/>
      </c>
      <c r="G569" s="11"/>
      <c r="H569" s="67"/>
      <c r="I569" s="11"/>
      <c r="J569" s="11"/>
      <c r="K569" s="11"/>
      <c r="L569" s="11"/>
      <c r="M569" s="11"/>
      <c r="N569" s="11"/>
      <c r="O569" s="67"/>
      <c r="P569" s="11"/>
    </row>
    <row r="570" spans="1:16" x14ac:dyDescent="0.25">
      <c r="A570" s="65" t="str">
        <f t="shared" si="8"/>
        <v/>
      </c>
      <c r="F570" s="95" t="str">
        <f>IFERROR(VLOOKUP(B570,tblPeople[],14,FALSE),"")</f>
        <v/>
      </c>
      <c r="G570" s="11"/>
      <c r="H570" s="67"/>
      <c r="I570" s="11"/>
      <c r="J570" s="11"/>
      <c r="K570" s="11"/>
      <c r="L570" s="11"/>
      <c r="M570" s="11"/>
      <c r="N570" s="11"/>
      <c r="O570" s="67"/>
      <c r="P570" s="11"/>
    </row>
    <row r="571" spans="1:16" x14ac:dyDescent="0.25">
      <c r="A571" s="65" t="str">
        <f t="shared" si="8"/>
        <v/>
      </c>
      <c r="F571" s="95" t="str">
        <f>IFERROR(VLOOKUP(B571,tblPeople[],14,FALSE),"")</f>
        <v/>
      </c>
      <c r="G571" s="11"/>
      <c r="H571" s="67"/>
      <c r="I571" s="11"/>
      <c r="J571" s="11"/>
      <c r="K571" s="11"/>
      <c r="L571" s="11"/>
      <c r="M571" s="11"/>
      <c r="N571" s="11"/>
      <c r="O571" s="67"/>
      <c r="P571" s="11"/>
    </row>
    <row r="572" spans="1:16" x14ac:dyDescent="0.25">
      <c r="A572" s="65" t="str">
        <f t="shared" si="8"/>
        <v/>
      </c>
      <c r="F572" s="95" t="str">
        <f>IFERROR(VLOOKUP(B572,tblPeople[],14,FALSE),"")</f>
        <v/>
      </c>
      <c r="G572" s="11"/>
      <c r="H572" s="67"/>
      <c r="I572" s="11"/>
      <c r="J572" s="11"/>
      <c r="K572" s="11"/>
      <c r="L572" s="11"/>
      <c r="M572" s="11"/>
      <c r="N572" s="11"/>
      <c r="O572" s="67"/>
      <c r="P572" s="11"/>
    </row>
    <row r="573" spans="1:16" x14ac:dyDescent="0.25">
      <c r="A573" s="65" t="str">
        <f t="shared" si="8"/>
        <v/>
      </c>
      <c r="F573" s="95" t="str">
        <f>IFERROR(VLOOKUP(B573,tblPeople[],14,FALSE),"")</f>
        <v/>
      </c>
      <c r="G573" s="11"/>
      <c r="H573" s="67"/>
      <c r="I573" s="11"/>
      <c r="J573" s="11"/>
      <c r="K573" s="11"/>
      <c r="L573" s="11"/>
      <c r="M573" s="11"/>
      <c r="N573" s="11"/>
      <c r="O573" s="67"/>
      <c r="P573" s="11"/>
    </row>
    <row r="574" spans="1:16" x14ac:dyDescent="0.25">
      <c r="A574" s="65" t="str">
        <f t="shared" si="8"/>
        <v/>
      </c>
      <c r="F574" s="95" t="str">
        <f>IFERROR(VLOOKUP(B574,tblPeople[],14,FALSE),"")</f>
        <v/>
      </c>
      <c r="G574" s="11"/>
      <c r="H574" s="67"/>
      <c r="I574" s="11"/>
      <c r="J574" s="11"/>
      <c r="K574" s="11"/>
      <c r="L574" s="11"/>
      <c r="M574" s="11"/>
      <c r="N574" s="11"/>
      <c r="O574" s="67"/>
      <c r="P574" s="11"/>
    </row>
    <row r="575" spans="1:16" x14ac:dyDescent="0.25">
      <c r="A575" s="65" t="str">
        <f t="shared" si="8"/>
        <v/>
      </c>
      <c r="F575" s="95" t="str">
        <f>IFERROR(VLOOKUP(B575,tblPeople[],14,FALSE),"")</f>
        <v/>
      </c>
      <c r="G575" s="11"/>
      <c r="H575" s="67"/>
      <c r="I575" s="11"/>
      <c r="J575" s="11"/>
      <c r="K575" s="11"/>
      <c r="L575" s="11"/>
      <c r="M575" s="11"/>
      <c r="N575" s="11"/>
      <c r="O575" s="67"/>
      <c r="P575" s="11"/>
    </row>
    <row r="576" spans="1:16" x14ac:dyDescent="0.25">
      <c r="A576" s="65" t="str">
        <f t="shared" si="8"/>
        <v/>
      </c>
      <c r="F576" s="95" t="str">
        <f>IFERROR(VLOOKUP(B576,tblPeople[],14,FALSE),"")</f>
        <v/>
      </c>
      <c r="G576" s="11"/>
      <c r="H576" s="67"/>
      <c r="I576" s="11"/>
      <c r="J576" s="11"/>
      <c r="K576" s="11"/>
      <c r="L576" s="11"/>
      <c r="M576" s="11"/>
      <c r="N576" s="11"/>
      <c r="O576" s="67"/>
      <c r="P576" s="11"/>
    </row>
    <row r="577" spans="1:16" x14ac:dyDescent="0.25">
      <c r="A577" s="65" t="str">
        <f t="shared" si="8"/>
        <v/>
      </c>
      <c r="F577" s="95" t="str">
        <f>IFERROR(VLOOKUP(B577,tblPeople[],14,FALSE),"")</f>
        <v/>
      </c>
      <c r="G577" s="11"/>
      <c r="H577" s="67"/>
      <c r="I577" s="11"/>
      <c r="J577" s="11"/>
      <c r="K577" s="11"/>
      <c r="L577" s="11"/>
      <c r="M577" s="11"/>
      <c r="N577" s="11"/>
      <c r="O577" s="67"/>
      <c r="P577" s="11"/>
    </row>
    <row r="578" spans="1:16" x14ac:dyDescent="0.25">
      <c r="A578" s="65" t="str">
        <f t="shared" si="8"/>
        <v/>
      </c>
      <c r="F578" s="95" t="str">
        <f>IFERROR(VLOOKUP(B578,tblPeople[],14,FALSE),"")</f>
        <v/>
      </c>
      <c r="G578" s="11"/>
      <c r="H578" s="67"/>
      <c r="I578" s="11"/>
      <c r="J578" s="11"/>
      <c r="K578" s="11"/>
      <c r="L578" s="11"/>
      <c r="M578" s="11"/>
      <c r="N578" s="11"/>
      <c r="O578" s="67"/>
      <c r="P578" s="11"/>
    </row>
    <row r="579" spans="1:16" x14ac:dyDescent="0.25">
      <c r="A579" s="65" t="str">
        <f t="shared" si="8"/>
        <v/>
      </c>
      <c r="F579" s="95" t="str">
        <f>IFERROR(VLOOKUP(B579,tblPeople[],14,FALSE),"")</f>
        <v/>
      </c>
      <c r="G579" s="11"/>
      <c r="H579" s="67"/>
      <c r="I579" s="11"/>
      <c r="J579" s="11"/>
      <c r="K579" s="11"/>
      <c r="L579" s="11"/>
      <c r="M579" s="11"/>
      <c r="N579" s="11"/>
      <c r="O579" s="67"/>
      <c r="P579" s="11"/>
    </row>
    <row r="580" spans="1:16" x14ac:dyDescent="0.25">
      <c r="A580" s="65" t="str">
        <f t="shared" si="8"/>
        <v/>
      </c>
      <c r="F580" s="95" t="str">
        <f>IFERROR(VLOOKUP(B580,tblPeople[],14,FALSE),"")</f>
        <v/>
      </c>
      <c r="G580" s="11"/>
      <c r="H580" s="67"/>
      <c r="I580" s="11"/>
      <c r="J580" s="11"/>
      <c r="K580" s="11"/>
      <c r="L580" s="11"/>
      <c r="M580" s="11"/>
      <c r="N580" s="11"/>
      <c r="O580" s="67"/>
      <c r="P580" s="11"/>
    </row>
    <row r="581" spans="1:16" x14ac:dyDescent="0.25">
      <c r="A581" s="65" t="str">
        <f t="shared" si="8"/>
        <v/>
      </c>
      <c r="F581" s="95" t="str">
        <f>IFERROR(VLOOKUP(B581,tblPeople[],14,FALSE),"")</f>
        <v/>
      </c>
      <c r="G581" s="11"/>
      <c r="H581" s="67"/>
      <c r="I581" s="11"/>
      <c r="J581" s="11"/>
      <c r="K581" s="11"/>
      <c r="L581" s="11"/>
      <c r="M581" s="11"/>
      <c r="N581" s="11"/>
      <c r="O581" s="67"/>
      <c r="P581" s="11"/>
    </row>
    <row r="582" spans="1:16" x14ac:dyDescent="0.25">
      <c r="A582" s="65" t="str">
        <f t="shared" si="8"/>
        <v/>
      </c>
      <c r="F582" s="95" t="str">
        <f>IFERROR(VLOOKUP(B582,tblPeople[],14,FALSE),"")</f>
        <v/>
      </c>
      <c r="G582" s="11"/>
      <c r="H582" s="67"/>
      <c r="I582" s="11"/>
      <c r="J582" s="11"/>
      <c r="K582" s="11"/>
      <c r="L582" s="11"/>
      <c r="M582" s="11"/>
      <c r="N582" s="11"/>
      <c r="O582" s="67"/>
      <c r="P582" s="11"/>
    </row>
    <row r="583" spans="1:16" x14ac:dyDescent="0.25">
      <c r="A583" s="65" t="str">
        <f t="shared" si="8"/>
        <v/>
      </c>
      <c r="F583" s="95" t="str">
        <f>IFERROR(VLOOKUP(B583,tblPeople[],14,FALSE),"")</f>
        <v/>
      </c>
      <c r="G583" s="11"/>
      <c r="H583" s="67"/>
      <c r="I583" s="11"/>
      <c r="J583" s="11"/>
      <c r="K583" s="11"/>
      <c r="L583" s="11"/>
      <c r="M583" s="11"/>
      <c r="N583" s="11"/>
      <c r="O583" s="67"/>
      <c r="P583" s="11"/>
    </row>
    <row r="584" spans="1:16" x14ac:dyDescent="0.25">
      <c r="A584" s="65" t="str">
        <f t="shared" si="8"/>
        <v/>
      </c>
      <c r="F584" s="95" t="str">
        <f>IFERROR(VLOOKUP(B584,tblPeople[],14,FALSE),"")</f>
        <v/>
      </c>
      <c r="G584" s="11"/>
      <c r="H584" s="67"/>
      <c r="I584" s="11"/>
      <c r="J584" s="11"/>
      <c r="K584" s="11"/>
      <c r="L584" s="11"/>
      <c r="M584" s="11"/>
      <c r="N584" s="11"/>
      <c r="O584" s="67"/>
      <c r="P584" s="11"/>
    </row>
    <row r="585" spans="1:16" x14ac:dyDescent="0.25">
      <c r="A585" s="65" t="str">
        <f t="shared" si="8"/>
        <v/>
      </c>
      <c r="F585" s="95" t="str">
        <f>IFERROR(VLOOKUP(B585,tblPeople[],14,FALSE),"")</f>
        <v/>
      </c>
      <c r="G585" s="11"/>
      <c r="H585" s="67"/>
      <c r="I585" s="11"/>
      <c r="J585" s="11"/>
      <c r="K585" s="11"/>
      <c r="L585" s="11"/>
      <c r="M585" s="11"/>
      <c r="N585" s="11"/>
      <c r="O585" s="67"/>
      <c r="P585" s="11"/>
    </row>
    <row r="586" spans="1:16" x14ac:dyDescent="0.25">
      <c r="A586" s="65" t="str">
        <f t="shared" si="8"/>
        <v/>
      </c>
      <c r="F586" s="95" t="str">
        <f>IFERROR(VLOOKUP(B586,tblPeople[],14,FALSE),"")</f>
        <v/>
      </c>
      <c r="G586" s="11"/>
      <c r="H586" s="67"/>
      <c r="I586" s="11"/>
      <c r="J586" s="11"/>
      <c r="K586" s="11"/>
      <c r="L586" s="11"/>
      <c r="M586" s="11"/>
      <c r="N586" s="11"/>
      <c r="O586" s="67"/>
      <c r="P586" s="11"/>
    </row>
    <row r="587" spans="1:16" x14ac:dyDescent="0.25">
      <c r="A587" s="65" t="str">
        <f t="shared" si="8"/>
        <v/>
      </c>
      <c r="F587" s="95" t="str">
        <f>IFERROR(VLOOKUP(B587,tblPeople[],14,FALSE),"")</f>
        <v/>
      </c>
      <c r="G587" s="11"/>
      <c r="H587" s="67"/>
      <c r="I587" s="11"/>
      <c r="J587" s="11"/>
      <c r="K587" s="11"/>
      <c r="L587" s="11"/>
      <c r="M587" s="11"/>
      <c r="N587" s="11"/>
      <c r="O587" s="67"/>
      <c r="P587" s="11"/>
    </row>
    <row r="588" spans="1:16" x14ac:dyDescent="0.25">
      <c r="A588" s="65" t="str">
        <f t="shared" si="8"/>
        <v/>
      </c>
      <c r="F588" s="95" t="str">
        <f>IFERROR(VLOOKUP(B588,tblPeople[],14,FALSE),"")</f>
        <v/>
      </c>
      <c r="G588" s="11"/>
      <c r="H588" s="67"/>
      <c r="I588" s="11"/>
      <c r="J588" s="11"/>
      <c r="K588" s="11"/>
      <c r="L588" s="11"/>
      <c r="M588" s="11"/>
      <c r="N588" s="11"/>
      <c r="O588" s="67"/>
      <c r="P588" s="11"/>
    </row>
    <row r="589" spans="1:16" x14ac:dyDescent="0.25">
      <c r="A589" s="65" t="str">
        <f t="shared" si="8"/>
        <v/>
      </c>
      <c r="F589" s="95" t="str">
        <f>IFERROR(VLOOKUP(B589,tblPeople[],14,FALSE),"")</f>
        <v/>
      </c>
      <c r="G589" s="11"/>
      <c r="H589" s="67"/>
      <c r="I589" s="11"/>
      <c r="J589" s="11"/>
      <c r="K589" s="11"/>
      <c r="L589" s="11"/>
      <c r="M589" s="11"/>
      <c r="N589" s="11"/>
      <c r="O589" s="67"/>
      <c r="P589" s="11"/>
    </row>
    <row r="590" spans="1:16" x14ac:dyDescent="0.25">
      <c r="A590" s="65" t="str">
        <f t="shared" si="8"/>
        <v/>
      </c>
      <c r="F590" s="95" t="str">
        <f>IFERROR(VLOOKUP(B590,tblPeople[],14,FALSE),"")</f>
        <v/>
      </c>
      <c r="G590" s="11"/>
      <c r="H590" s="67"/>
      <c r="I590" s="11"/>
      <c r="J590" s="11"/>
      <c r="K590" s="11"/>
      <c r="L590" s="11"/>
      <c r="M590" s="11"/>
      <c r="N590" s="11"/>
      <c r="O590" s="67"/>
      <c r="P590" s="11"/>
    </row>
    <row r="591" spans="1:16" x14ac:dyDescent="0.25">
      <c r="A591" s="65" t="str">
        <f t="shared" si="8"/>
        <v/>
      </c>
      <c r="F591" s="95" t="str">
        <f>IFERROR(VLOOKUP(B591,tblPeople[],14,FALSE),"")</f>
        <v/>
      </c>
      <c r="G591" s="11"/>
      <c r="H591" s="67"/>
      <c r="I591" s="11"/>
      <c r="J591" s="11"/>
      <c r="K591" s="11"/>
      <c r="L591" s="11"/>
      <c r="M591" s="11"/>
      <c r="N591" s="11"/>
      <c r="O591" s="67"/>
      <c r="P591" s="11"/>
    </row>
    <row r="592" spans="1:16" x14ac:dyDescent="0.25">
      <c r="A592" s="65" t="str">
        <f t="shared" si="8"/>
        <v/>
      </c>
      <c r="F592" s="95" t="str">
        <f>IFERROR(VLOOKUP(B592,tblPeople[],14,FALSE),"")</f>
        <v/>
      </c>
      <c r="G592" s="11"/>
      <c r="H592" s="67"/>
      <c r="I592" s="11"/>
      <c r="J592" s="11"/>
      <c r="K592" s="11"/>
      <c r="L592" s="11"/>
      <c r="M592" s="11"/>
      <c r="N592" s="11"/>
      <c r="O592" s="67"/>
      <c r="P592" s="11"/>
    </row>
    <row r="593" spans="1:16" x14ac:dyDescent="0.25">
      <c r="A593" s="65" t="str">
        <f t="shared" si="8"/>
        <v/>
      </c>
      <c r="F593" s="95" t="str">
        <f>IFERROR(VLOOKUP(B593,tblPeople[],14,FALSE),"")</f>
        <v/>
      </c>
      <c r="G593" s="11"/>
      <c r="H593" s="67"/>
      <c r="I593" s="11"/>
      <c r="J593" s="11"/>
      <c r="K593" s="11"/>
      <c r="L593" s="11"/>
      <c r="M593" s="11"/>
      <c r="N593" s="11"/>
      <c r="O593" s="67"/>
      <c r="P593" s="11"/>
    </row>
    <row r="594" spans="1:16" x14ac:dyDescent="0.25">
      <c r="A594" s="65" t="str">
        <f t="shared" ref="A594:A657" si="9">IF(B594=ISBLANK(""),"",A593+1)</f>
        <v/>
      </c>
      <c r="F594" s="95" t="str">
        <f>IFERROR(VLOOKUP(B594,tblPeople[],14,FALSE),"")</f>
        <v/>
      </c>
      <c r="G594" s="11"/>
      <c r="H594" s="67"/>
      <c r="I594" s="11"/>
      <c r="J594" s="11"/>
      <c r="K594" s="11"/>
      <c r="L594" s="11"/>
      <c r="M594" s="11"/>
      <c r="N594" s="11"/>
      <c r="O594" s="67"/>
      <c r="P594" s="11"/>
    </row>
    <row r="595" spans="1:16" x14ac:dyDescent="0.25">
      <c r="A595" s="65" t="str">
        <f t="shared" si="9"/>
        <v/>
      </c>
      <c r="F595" s="95" t="str">
        <f>IFERROR(VLOOKUP(B595,tblPeople[],14,FALSE),"")</f>
        <v/>
      </c>
      <c r="G595" s="11"/>
      <c r="H595" s="67"/>
      <c r="I595" s="11"/>
      <c r="J595" s="11"/>
      <c r="K595" s="11"/>
      <c r="L595" s="11"/>
      <c r="M595" s="11"/>
      <c r="N595" s="11"/>
      <c r="O595" s="67"/>
      <c r="P595" s="11"/>
    </row>
    <row r="596" spans="1:16" x14ac:dyDescent="0.25">
      <c r="A596" s="65" t="str">
        <f t="shared" si="9"/>
        <v/>
      </c>
      <c r="F596" s="95" t="str">
        <f>IFERROR(VLOOKUP(B596,tblPeople[],14,FALSE),"")</f>
        <v/>
      </c>
      <c r="G596" s="11"/>
      <c r="H596" s="67"/>
      <c r="I596" s="11"/>
      <c r="J596" s="11"/>
      <c r="K596" s="11"/>
      <c r="L596" s="11"/>
      <c r="M596" s="11"/>
      <c r="N596" s="11"/>
      <c r="O596" s="67"/>
      <c r="P596" s="11"/>
    </row>
    <row r="597" spans="1:16" x14ac:dyDescent="0.25">
      <c r="A597" s="65" t="str">
        <f t="shared" si="9"/>
        <v/>
      </c>
      <c r="F597" s="95" t="str">
        <f>IFERROR(VLOOKUP(B597,tblPeople[],14,FALSE),"")</f>
        <v/>
      </c>
      <c r="G597" s="11"/>
      <c r="H597" s="67"/>
      <c r="I597" s="11"/>
      <c r="J597" s="11"/>
      <c r="K597" s="11"/>
      <c r="L597" s="11"/>
      <c r="M597" s="11"/>
      <c r="N597" s="11"/>
      <c r="O597" s="67"/>
      <c r="P597" s="11"/>
    </row>
    <row r="598" spans="1:16" x14ac:dyDescent="0.25">
      <c r="A598" s="65" t="str">
        <f t="shared" si="9"/>
        <v/>
      </c>
      <c r="F598" s="95" t="str">
        <f>IFERROR(VLOOKUP(B598,tblPeople[],14,FALSE),"")</f>
        <v/>
      </c>
      <c r="G598" s="11"/>
      <c r="H598" s="67"/>
      <c r="I598" s="11"/>
      <c r="J598" s="11"/>
      <c r="K598" s="11"/>
      <c r="L598" s="11"/>
      <c r="M598" s="11"/>
      <c r="N598" s="11"/>
      <c r="O598" s="67"/>
      <c r="P598" s="11"/>
    </row>
    <row r="599" spans="1:16" x14ac:dyDescent="0.25">
      <c r="A599" s="65" t="str">
        <f t="shared" si="9"/>
        <v/>
      </c>
      <c r="F599" s="95" t="str">
        <f>IFERROR(VLOOKUP(B599,tblPeople[],14,FALSE),"")</f>
        <v/>
      </c>
      <c r="G599" s="11"/>
      <c r="H599" s="67"/>
      <c r="I599" s="11"/>
      <c r="J599" s="11"/>
      <c r="K599" s="11"/>
      <c r="L599" s="11"/>
      <c r="M599" s="11"/>
      <c r="N599" s="11"/>
      <c r="O599" s="67"/>
      <c r="P599" s="11"/>
    </row>
    <row r="600" spans="1:16" x14ac:dyDescent="0.25">
      <c r="A600" s="65" t="str">
        <f t="shared" si="9"/>
        <v/>
      </c>
      <c r="F600" s="95" t="str">
        <f>IFERROR(VLOOKUP(B600,tblPeople[],14,FALSE),"")</f>
        <v/>
      </c>
      <c r="G600" s="11"/>
      <c r="H600" s="67"/>
      <c r="I600" s="11"/>
      <c r="J600" s="11"/>
      <c r="K600" s="11"/>
      <c r="L600" s="11"/>
      <c r="M600" s="11"/>
      <c r="N600" s="11"/>
      <c r="O600" s="67"/>
      <c r="P600" s="11"/>
    </row>
    <row r="601" spans="1:16" x14ac:dyDescent="0.25">
      <c r="A601" s="65" t="str">
        <f t="shared" si="9"/>
        <v/>
      </c>
      <c r="F601" s="95" t="str">
        <f>IFERROR(VLOOKUP(B601,tblPeople[],14,FALSE),"")</f>
        <v/>
      </c>
      <c r="G601" s="11"/>
      <c r="H601" s="67"/>
      <c r="I601" s="11"/>
      <c r="J601" s="11"/>
      <c r="K601" s="11"/>
      <c r="L601" s="11"/>
      <c r="M601" s="11"/>
      <c r="N601" s="11"/>
      <c r="O601" s="67"/>
      <c r="P601" s="11"/>
    </row>
    <row r="602" spans="1:16" x14ac:dyDescent="0.25">
      <c r="A602" s="65" t="str">
        <f t="shared" si="9"/>
        <v/>
      </c>
      <c r="F602" s="95" t="str">
        <f>IFERROR(VLOOKUP(B602,tblPeople[],14,FALSE),"")</f>
        <v/>
      </c>
      <c r="G602" s="11"/>
      <c r="H602" s="67"/>
      <c r="I602" s="11"/>
      <c r="J602" s="11"/>
      <c r="K602" s="11"/>
      <c r="L602" s="11"/>
      <c r="M602" s="11"/>
      <c r="N602" s="11"/>
      <c r="O602" s="67"/>
      <c r="P602" s="11"/>
    </row>
    <row r="603" spans="1:16" x14ac:dyDescent="0.25">
      <c r="A603" s="65" t="str">
        <f t="shared" si="9"/>
        <v/>
      </c>
      <c r="F603" s="95" t="str">
        <f>IFERROR(VLOOKUP(B603,tblPeople[],14,FALSE),"")</f>
        <v/>
      </c>
      <c r="G603" s="11"/>
      <c r="H603" s="67"/>
      <c r="I603" s="11"/>
      <c r="J603" s="11"/>
      <c r="K603" s="11"/>
      <c r="L603" s="11"/>
      <c r="M603" s="11"/>
      <c r="N603" s="11"/>
      <c r="O603" s="67"/>
      <c r="P603" s="11"/>
    </row>
    <row r="604" spans="1:16" x14ac:dyDescent="0.25">
      <c r="A604" s="65" t="str">
        <f t="shared" si="9"/>
        <v/>
      </c>
      <c r="F604" s="95" t="str">
        <f>IFERROR(VLOOKUP(B604,tblPeople[],14,FALSE),"")</f>
        <v/>
      </c>
      <c r="G604" s="11"/>
      <c r="H604" s="67"/>
      <c r="I604" s="11"/>
      <c r="J604" s="11"/>
      <c r="K604" s="11"/>
      <c r="L604" s="11"/>
      <c r="M604" s="11"/>
      <c r="N604" s="11"/>
      <c r="O604" s="67"/>
      <c r="P604" s="11"/>
    </row>
    <row r="605" spans="1:16" x14ac:dyDescent="0.25">
      <c r="A605" s="65" t="str">
        <f t="shared" si="9"/>
        <v/>
      </c>
      <c r="F605" s="95" t="str">
        <f>IFERROR(VLOOKUP(B605,tblPeople[],14,FALSE),"")</f>
        <v/>
      </c>
      <c r="G605" s="11"/>
      <c r="H605" s="67"/>
      <c r="I605" s="11"/>
      <c r="J605" s="11"/>
      <c r="K605" s="11"/>
      <c r="L605" s="11"/>
      <c r="M605" s="11"/>
      <c r="N605" s="11"/>
      <c r="O605" s="67"/>
      <c r="P605" s="11"/>
    </row>
    <row r="606" spans="1:16" x14ac:dyDescent="0.25">
      <c r="A606" s="65" t="str">
        <f t="shared" si="9"/>
        <v/>
      </c>
      <c r="F606" s="95" t="str">
        <f>IFERROR(VLOOKUP(B606,tblPeople[],14,FALSE),"")</f>
        <v/>
      </c>
      <c r="G606" s="11"/>
      <c r="H606" s="67"/>
      <c r="I606" s="11"/>
      <c r="J606" s="11"/>
      <c r="K606" s="11"/>
      <c r="L606" s="11"/>
      <c r="M606" s="11"/>
      <c r="N606" s="11"/>
      <c r="O606" s="67"/>
      <c r="P606" s="11"/>
    </row>
    <row r="607" spans="1:16" x14ac:dyDescent="0.25">
      <c r="A607" s="65" t="str">
        <f t="shared" si="9"/>
        <v/>
      </c>
      <c r="F607" s="95" t="str">
        <f>IFERROR(VLOOKUP(B607,tblPeople[],14,FALSE),"")</f>
        <v/>
      </c>
      <c r="G607" s="11"/>
      <c r="H607" s="67"/>
      <c r="I607" s="11"/>
      <c r="J607" s="11"/>
      <c r="K607" s="11"/>
      <c r="L607" s="11"/>
      <c r="M607" s="11"/>
      <c r="N607" s="11"/>
      <c r="O607" s="67"/>
      <c r="P607" s="11"/>
    </row>
    <row r="608" spans="1:16" x14ac:dyDescent="0.25">
      <c r="A608" s="65" t="str">
        <f t="shared" si="9"/>
        <v/>
      </c>
      <c r="F608" s="95" t="str">
        <f>IFERROR(VLOOKUP(B608,tblPeople[],14,FALSE),"")</f>
        <v/>
      </c>
      <c r="G608" s="11"/>
      <c r="H608" s="67"/>
      <c r="I608" s="11"/>
      <c r="J608" s="11"/>
      <c r="K608" s="11"/>
      <c r="L608" s="11"/>
      <c r="M608" s="11"/>
      <c r="N608" s="11"/>
      <c r="O608" s="67"/>
      <c r="P608" s="11"/>
    </row>
    <row r="609" spans="1:16" x14ac:dyDescent="0.25">
      <c r="A609" s="65" t="str">
        <f t="shared" si="9"/>
        <v/>
      </c>
      <c r="F609" s="95" t="str">
        <f>IFERROR(VLOOKUP(B609,tblPeople[],14,FALSE),"")</f>
        <v/>
      </c>
      <c r="G609" s="11"/>
      <c r="H609" s="67"/>
      <c r="I609" s="11"/>
      <c r="J609" s="11"/>
      <c r="K609" s="11"/>
      <c r="L609" s="11"/>
      <c r="M609" s="11"/>
      <c r="N609" s="11"/>
      <c r="O609" s="67"/>
      <c r="P609" s="11"/>
    </row>
    <row r="610" spans="1:16" x14ac:dyDescent="0.25">
      <c r="A610" s="65" t="str">
        <f t="shared" si="9"/>
        <v/>
      </c>
      <c r="F610" s="95" t="str">
        <f>IFERROR(VLOOKUP(B610,tblPeople[],14,FALSE),"")</f>
        <v/>
      </c>
      <c r="G610" s="11"/>
      <c r="H610" s="67"/>
      <c r="I610" s="11"/>
      <c r="J610" s="11"/>
      <c r="K610" s="11"/>
      <c r="L610" s="11"/>
      <c r="M610" s="11"/>
      <c r="N610" s="11"/>
      <c r="O610" s="67"/>
      <c r="P610" s="11"/>
    </row>
    <row r="611" spans="1:16" x14ac:dyDescent="0.25">
      <c r="A611" s="65" t="str">
        <f t="shared" si="9"/>
        <v/>
      </c>
      <c r="F611" s="95" t="str">
        <f>IFERROR(VLOOKUP(B611,tblPeople[],14,FALSE),"")</f>
        <v/>
      </c>
      <c r="G611" s="11"/>
      <c r="H611" s="67"/>
      <c r="I611" s="11"/>
      <c r="J611" s="11"/>
      <c r="K611" s="11"/>
      <c r="L611" s="11"/>
      <c r="M611" s="11"/>
      <c r="N611" s="11"/>
      <c r="O611" s="67"/>
      <c r="P611" s="11"/>
    </row>
    <row r="612" spans="1:16" x14ac:dyDescent="0.25">
      <c r="A612" s="65" t="str">
        <f t="shared" si="9"/>
        <v/>
      </c>
      <c r="F612" s="95" t="str">
        <f>IFERROR(VLOOKUP(B612,tblPeople[],14,FALSE),"")</f>
        <v/>
      </c>
      <c r="G612" s="11"/>
      <c r="H612" s="67"/>
      <c r="I612" s="11"/>
      <c r="J612" s="11"/>
      <c r="K612" s="11"/>
      <c r="L612" s="11"/>
      <c r="M612" s="11"/>
      <c r="N612" s="11"/>
      <c r="O612" s="67"/>
      <c r="P612" s="11"/>
    </row>
    <row r="613" spans="1:16" x14ac:dyDescent="0.25">
      <c r="A613" s="65" t="str">
        <f t="shared" si="9"/>
        <v/>
      </c>
      <c r="F613" s="95" t="str">
        <f>IFERROR(VLOOKUP(B613,tblPeople[],14,FALSE),"")</f>
        <v/>
      </c>
      <c r="G613" s="11"/>
      <c r="H613" s="67"/>
      <c r="I613" s="11"/>
      <c r="J613" s="11"/>
      <c r="K613" s="11"/>
      <c r="L613" s="11"/>
      <c r="M613" s="11"/>
      <c r="N613" s="11"/>
      <c r="O613" s="67"/>
      <c r="P613" s="11"/>
    </row>
    <row r="614" spans="1:16" x14ac:dyDescent="0.25">
      <c r="A614" s="65" t="str">
        <f t="shared" si="9"/>
        <v/>
      </c>
      <c r="F614" s="95" t="str">
        <f>IFERROR(VLOOKUP(B614,tblPeople[],14,FALSE),"")</f>
        <v/>
      </c>
      <c r="G614" s="11"/>
      <c r="H614" s="67"/>
      <c r="I614" s="11"/>
      <c r="J614" s="11"/>
      <c r="K614" s="11"/>
      <c r="L614" s="11"/>
      <c r="M614" s="11"/>
      <c r="N614" s="11"/>
      <c r="O614" s="67"/>
      <c r="P614" s="11"/>
    </row>
    <row r="615" spans="1:16" x14ac:dyDescent="0.25">
      <c r="A615" s="65" t="str">
        <f t="shared" si="9"/>
        <v/>
      </c>
      <c r="F615" s="95" t="str">
        <f>IFERROR(VLOOKUP(B615,tblPeople[],14,FALSE),"")</f>
        <v/>
      </c>
      <c r="G615" s="11"/>
      <c r="H615" s="67"/>
      <c r="I615" s="11"/>
      <c r="J615" s="11"/>
      <c r="K615" s="11"/>
      <c r="L615" s="11"/>
      <c r="M615" s="11"/>
      <c r="N615" s="11"/>
      <c r="O615" s="67"/>
      <c r="P615" s="11"/>
    </row>
    <row r="616" spans="1:16" x14ac:dyDescent="0.25">
      <c r="A616" s="65" t="str">
        <f t="shared" si="9"/>
        <v/>
      </c>
      <c r="F616" s="95" t="str">
        <f>IFERROR(VLOOKUP(B616,tblPeople[],14,FALSE),"")</f>
        <v/>
      </c>
      <c r="G616" s="11"/>
      <c r="H616" s="67"/>
      <c r="I616" s="11"/>
      <c r="J616" s="11"/>
      <c r="K616" s="11"/>
      <c r="L616" s="11"/>
      <c r="M616" s="11"/>
      <c r="N616" s="11"/>
      <c r="O616" s="67"/>
      <c r="P616" s="11"/>
    </row>
    <row r="617" spans="1:16" x14ac:dyDescent="0.25">
      <c r="A617" s="65" t="str">
        <f t="shared" si="9"/>
        <v/>
      </c>
      <c r="F617" s="95" t="str">
        <f>IFERROR(VLOOKUP(B617,tblPeople[],14,FALSE),"")</f>
        <v/>
      </c>
      <c r="G617" s="11"/>
      <c r="H617" s="67"/>
      <c r="I617" s="11"/>
      <c r="J617" s="11"/>
      <c r="K617" s="11"/>
      <c r="L617" s="11"/>
      <c r="M617" s="11"/>
      <c r="N617" s="11"/>
      <c r="O617" s="67"/>
      <c r="P617" s="11"/>
    </row>
    <row r="618" spans="1:16" x14ac:dyDescent="0.25">
      <c r="A618" s="65" t="str">
        <f t="shared" si="9"/>
        <v/>
      </c>
      <c r="F618" s="95" t="str">
        <f>IFERROR(VLOOKUP(B618,tblPeople[],14,FALSE),"")</f>
        <v/>
      </c>
      <c r="G618" s="11"/>
      <c r="H618" s="67"/>
      <c r="I618" s="11"/>
      <c r="J618" s="11"/>
      <c r="K618" s="11"/>
      <c r="L618" s="11"/>
      <c r="M618" s="11"/>
      <c r="N618" s="11"/>
      <c r="O618" s="67"/>
      <c r="P618" s="11"/>
    </row>
    <row r="619" spans="1:16" x14ac:dyDescent="0.25">
      <c r="A619" s="65" t="str">
        <f t="shared" si="9"/>
        <v/>
      </c>
      <c r="F619" s="95" t="str">
        <f>IFERROR(VLOOKUP(B619,tblPeople[],14,FALSE),"")</f>
        <v/>
      </c>
      <c r="G619" s="11"/>
      <c r="H619" s="67"/>
      <c r="I619" s="11"/>
      <c r="J619" s="11"/>
      <c r="K619" s="11"/>
      <c r="L619" s="11"/>
      <c r="M619" s="11"/>
      <c r="N619" s="11"/>
      <c r="O619" s="67"/>
      <c r="P619" s="11"/>
    </row>
    <row r="620" spans="1:16" x14ac:dyDescent="0.25">
      <c r="A620" s="65" t="str">
        <f t="shared" si="9"/>
        <v/>
      </c>
      <c r="F620" s="95" t="str">
        <f>IFERROR(VLOOKUP(B620,tblPeople[],14,FALSE),"")</f>
        <v/>
      </c>
      <c r="G620" s="11"/>
      <c r="H620" s="67"/>
      <c r="I620" s="11"/>
      <c r="J620" s="11"/>
      <c r="K620" s="11"/>
      <c r="L620" s="11"/>
      <c r="M620" s="11"/>
      <c r="N620" s="11"/>
      <c r="O620" s="67"/>
      <c r="P620" s="11"/>
    </row>
    <row r="621" spans="1:16" x14ac:dyDescent="0.25">
      <c r="A621" s="65" t="str">
        <f t="shared" si="9"/>
        <v/>
      </c>
      <c r="F621" s="95" t="str">
        <f>IFERROR(VLOOKUP(B621,tblPeople[],14,FALSE),"")</f>
        <v/>
      </c>
      <c r="G621" s="11"/>
      <c r="H621" s="67"/>
      <c r="I621" s="11"/>
      <c r="J621" s="11"/>
      <c r="K621" s="11"/>
      <c r="L621" s="11"/>
      <c r="M621" s="11"/>
      <c r="N621" s="11"/>
      <c r="O621" s="67"/>
      <c r="P621" s="11"/>
    </row>
    <row r="622" spans="1:16" x14ac:dyDescent="0.25">
      <c r="A622" s="65" t="str">
        <f t="shared" si="9"/>
        <v/>
      </c>
      <c r="F622" s="95" t="str">
        <f>IFERROR(VLOOKUP(B622,tblPeople[],14,FALSE),"")</f>
        <v/>
      </c>
      <c r="G622" s="11"/>
      <c r="H622" s="67"/>
      <c r="I622" s="11"/>
      <c r="J622" s="11"/>
      <c r="K622" s="11"/>
      <c r="L622" s="11"/>
      <c r="M622" s="11"/>
      <c r="N622" s="11"/>
      <c r="O622" s="67"/>
      <c r="P622" s="11"/>
    </row>
    <row r="623" spans="1:16" x14ac:dyDescent="0.25">
      <c r="A623" s="65" t="str">
        <f t="shared" si="9"/>
        <v/>
      </c>
      <c r="F623" s="95" t="str">
        <f>IFERROR(VLOOKUP(B623,tblPeople[],14,FALSE),"")</f>
        <v/>
      </c>
      <c r="G623" s="11"/>
      <c r="H623" s="67"/>
      <c r="I623" s="11"/>
      <c r="J623" s="11"/>
      <c r="K623" s="11"/>
      <c r="L623" s="11"/>
      <c r="M623" s="11"/>
      <c r="N623" s="11"/>
      <c r="O623" s="67"/>
      <c r="P623" s="11"/>
    </row>
    <row r="624" spans="1:16" x14ac:dyDescent="0.25">
      <c r="A624" s="65" t="str">
        <f t="shared" si="9"/>
        <v/>
      </c>
      <c r="F624" s="95" t="str">
        <f>IFERROR(VLOOKUP(B624,tblPeople[],14,FALSE),"")</f>
        <v/>
      </c>
      <c r="G624" s="11"/>
      <c r="H624" s="67"/>
      <c r="I624" s="11"/>
      <c r="J624" s="11"/>
      <c r="K624" s="11"/>
      <c r="L624" s="11"/>
      <c r="M624" s="11"/>
      <c r="N624" s="11"/>
      <c r="O624" s="67"/>
      <c r="P624" s="11"/>
    </row>
    <row r="625" spans="1:16" x14ac:dyDescent="0.25">
      <c r="A625" s="65" t="str">
        <f t="shared" si="9"/>
        <v/>
      </c>
      <c r="F625" s="95" t="str">
        <f>IFERROR(VLOOKUP(B625,tblPeople[],14,FALSE),"")</f>
        <v/>
      </c>
      <c r="G625" s="11"/>
      <c r="H625" s="67"/>
      <c r="I625" s="11"/>
      <c r="J625" s="11"/>
      <c r="K625" s="11"/>
      <c r="L625" s="11"/>
      <c r="M625" s="11"/>
      <c r="N625" s="11"/>
      <c r="O625" s="67"/>
      <c r="P625" s="11"/>
    </row>
    <row r="626" spans="1:16" x14ac:dyDescent="0.25">
      <c r="A626" s="65" t="str">
        <f t="shared" si="9"/>
        <v/>
      </c>
      <c r="F626" s="95" t="str">
        <f>IFERROR(VLOOKUP(B626,tblPeople[],14,FALSE),"")</f>
        <v/>
      </c>
      <c r="G626" s="11"/>
      <c r="H626" s="67"/>
      <c r="I626" s="11"/>
      <c r="J626" s="11"/>
      <c r="K626" s="11"/>
      <c r="L626" s="11"/>
      <c r="M626" s="11"/>
      <c r="N626" s="11"/>
      <c r="O626" s="67"/>
      <c r="P626" s="11"/>
    </row>
    <row r="627" spans="1:16" x14ac:dyDescent="0.25">
      <c r="A627" s="65" t="str">
        <f t="shared" si="9"/>
        <v/>
      </c>
      <c r="F627" s="95" t="str">
        <f>IFERROR(VLOOKUP(B627,tblPeople[],14,FALSE),"")</f>
        <v/>
      </c>
      <c r="G627" s="11"/>
      <c r="H627" s="67"/>
      <c r="I627" s="11"/>
      <c r="J627" s="11"/>
      <c r="K627" s="11"/>
      <c r="L627" s="11"/>
      <c r="M627" s="11"/>
      <c r="N627" s="11"/>
      <c r="O627" s="67"/>
      <c r="P627" s="11"/>
    </row>
    <row r="628" spans="1:16" x14ac:dyDescent="0.25">
      <c r="A628" s="65" t="str">
        <f t="shared" si="9"/>
        <v/>
      </c>
      <c r="F628" s="95" t="str">
        <f>IFERROR(VLOOKUP(B628,tblPeople[],14,FALSE),"")</f>
        <v/>
      </c>
      <c r="G628" s="11"/>
      <c r="H628" s="67"/>
      <c r="I628" s="11"/>
      <c r="J628" s="11"/>
      <c r="K628" s="11"/>
      <c r="L628" s="11"/>
      <c r="M628" s="11"/>
      <c r="N628" s="11"/>
      <c r="O628" s="67"/>
      <c r="P628" s="11"/>
    </row>
    <row r="629" spans="1:16" x14ac:dyDescent="0.25">
      <c r="A629" s="65" t="str">
        <f t="shared" si="9"/>
        <v/>
      </c>
      <c r="F629" s="95" t="str">
        <f>IFERROR(VLOOKUP(B629,tblPeople[],14,FALSE),"")</f>
        <v/>
      </c>
      <c r="G629" s="11"/>
      <c r="H629" s="67"/>
      <c r="I629" s="11"/>
      <c r="J629" s="11"/>
      <c r="K629" s="11"/>
      <c r="L629" s="11"/>
      <c r="M629" s="11"/>
      <c r="N629" s="11"/>
      <c r="O629" s="67"/>
      <c r="P629" s="11"/>
    </row>
    <row r="630" spans="1:16" x14ac:dyDescent="0.25">
      <c r="A630" s="65" t="str">
        <f t="shared" si="9"/>
        <v/>
      </c>
      <c r="F630" s="95" t="str">
        <f>IFERROR(VLOOKUP(B630,tblPeople[],14,FALSE),"")</f>
        <v/>
      </c>
      <c r="G630" s="11"/>
      <c r="H630" s="67"/>
      <c r="I630" s="11"/>
      <c r="J630" s="11"/>
      <c r="K630" s="11"/>
      <c r="L630" s="11"/>
      <c r="M630" s="11"/>
      <c r="N630" s="11"/>
      <c r="O630" s="67"/>
      <c r="P630" s="11"/>
    </row>
    <row r="631" spans="1:16" x14ac:dyDescent="0.25">
      <c r="A631" s="65" t="str">
        <f t="shared" si="9"/>
        <v/>
      </c>
      <c r="F631" s="95" t="str">
        <f>IFERROR(VLOOKUP(B631,tblPeople[],14,FALSE),"")</f>
        <v/>
      </c>
      <c r="G631" s="11"/>
      <c r="H631" s="67"/>
      <c r="I631" s="11"/>
      <c r="J631" s="11"/>
      <c r="K631" s="11"/>
      <c r="L631" s="11"/>
      <c r="M631" s="11"/>
      <c r="N631" s="11"/>
      <c r="O631" s="67"/>
      <c r="P631" s="11"/>
    </row>
    <row r="632" spans="1:16" x14ac:dyDescent="0.25">
      <c r="A632" s="65" t="str">
        <f t="shared" si="9"/>
        <v/>
      </c>
      <c r="F632" s="95" t="str">
        <f>IFERROR(VLOOKUP(B632,tblPeople[],14,FALSE),"")</f>
        <v/>
      </c>
      <c r="G632" s="11"/>
      <c r="H632" s="67"/>
      <c r="I632" s="11"/>
      <c r="J632" s="11"/>
      <c r="K632" s="11"/>
      <c r="L632" s="11"/>
      <c r="M632" s="11"/>
      <c r="N632" s="11"/>
      <c r="O632" s="67"/>
      <c r="P632" s="11"/>
    </row>
    <row r="633" spans="1:16" x14ac:dyDescent="0.25">
      <c r="A633" s="65" t="str">
        <f t="shared" si="9"/>
        <v/>
      </c>
      <c r="F633" s="95" t="str">
        <f>IFERROR(VLOOKUP(B633,tblPeople[],14,FALSE),"")</f>
        <v/>
      </c>
      <c r="G633" s="11"/>
      <c r="H633" s="67"/>
      <c r="I633" s="11"/>
      <c r="J633" s="11"/>
      <c r="K633" s="11"/>
      <c r="L633" s="11"/>
      <c r="M633" s="11"/>
      <c r="N633" s="11"/>
      <c r="O633" s="67"/>
      <c r="P633" s="11"/>
    </row>
    <row r="634" spans="1:16" x14ac:dyDescent="0.25">
      <c r="A634" s="65" t="str">
        <f t="shared" si="9"/>
        <v/>
      </c>
      <c r="F634" s="95" t="str">
        <f>IFERROR(VLOOKUP(B634,tblPeople[],14,FALSE),"")</f>
        <v/>
      </c>
      <c r="G634" s="11"/>
      <c r="H634" s="67"/>
      <c r="I634" s="11"/>
      <c r="J634" s="11"/>
      <c r="K634" s="11"/>
      <c r="L634" s="11"/>
      <c r="M634" s="11"/>
      <c r="N634" s="11"/>
      <c r="O634" s="67"/>
      <c r="P634" s="11"/>
    </row>
    <row r="635" spans="1:16" x14ac:dyDescent="0.25">
      <c r="A635" s="65" t="str">
        <f t="shared" si="9"/>
        <v/>
      </c>
      <c r="F635" s="95" t="str">
        <f>IFERROR(VLOOKUP(B635,tblPeople[],14,FALSE),"")</f>
        <v/>
      </c>
      <c r="G635" s="11"/>
      <c r="H635" s="67"/>
      <c r="I635" s="11"/>
      <c r="J635" s="11"/>
      <c r="K635" s="11"/>
      <c r="L635" s="11"/>
      <c r="M635" s="11"/>
      <c r="N635" s="11"/>
      <c r="O635" s="67"/>
      <c r="P635" s="11"/>
    </row>
    <row r="636" spans="1:16" x14ac:dyDescent="0.25">
      <c r="A636" s="65" t="str">
        <f t="shared" si="9"/>
        <v/>
      </c>
      <c r="F636" s="95" t="str">
        <f>IFERROR(VLOOKUP(B636,tblPeople[],14,FALSE),"")</f>
        <v/>
      </c>
      <c r="G636" s="11"/>
      <c r="H636" s="67"/>
      <c r="I636" s="11"/>
      <c r="J636" s="11"/>
      <c r="K636" s="11"/>
      <c r="L636" s="11"/>
      <c r="M636" s="11"/>
      <c r="N636" s="11"/>
      <c r="O636" s="67"/>
      <c r="P636" s="11"/>
    </row>
    <row r="637" spans="1:16" x14ac:dyDescent="0.25">
      <c r="A637" s="65" t="str">
        <f t="shared" si="9"/>
        <v/>
      </c>
      <c r="F637" s="95" t="str">
        <f>IFERROR(VLOOKUP(B637,tblPeople[],14,FALSE),"")</f>
        <v/>
      </c>
      <c r="G637" s="11"/>
      <c r="H637" s="67"/>
      <c r="I637" s="11"/>
      <c r="J637" s="11"/>
      <c r="K637" s="11"/>
      <c r="L637" s="11"/>
      <c r="M637" s="11"/>
      <c r="N637" s="11"/>
      <c r="O637" s="67"/>
      <c r="P637" s="11"/>
    </row>
    <row r="638" spans="1:16" x14ac:dyDescent="0.25">
      <c r="A638" s="65" t="str">
        <f t="shared" si="9"/>
        <v/>
      </c>
      <c r="F638" s="95" t="str">
        <f>IFERROR(VLOOKUP(B638,tblPeople[],14,FALSE),"")</f>
        <v/>
      </c>
      <c r="G638" s="11"/>
      <c r="H638" s="67"/>
      <c r="I638" s="11"/>
      <c r="J638" s="11"/>
      <c r="K638" s="11"/>
      <c r="L638" s="11"/>
      <c r="M638" s="11"/>
      <c r="N638" s="11"/>
      <c r="O638" s="67"/>
      <c r="P638" s="11"/>
    </row>
    <row r="639" spans="1:16" x14ac:dyDescent="0.25">
      <c r="A639" s="65" t="str">
        <f t="shared" si="9"/>
        <v/>
      </c>
      <c r="F639" s="95" t="str">
        <f>IFERROR(VLOOKUP(B639,tblPeople[],14,FALSE),"")</f>
        <v/>
      </c>
      <c r="G639" s="11"/>
      <c r="H639" s="67"/>
      <c r="I639" s="11"/>
      <c r="J639" s="11"/>
      <c r="K639" s="11"/>
      <c r="L639" s="11"/>
      <c r="M639" s="11"/>
      <c r="N639" s="11"/>
      <c r="O639" s="67"/>
      <c r="P639" s="11"/>
    </row>
    <row r="640" spans="1:16" x14ac:dyDescent="0.25">
      <c r="A640" s="65" t="str">
        <f t="shared" si="9"/>
        <v/>
      </c>
      <c r="F640" s="95" t="str">
        <f>IFERROR(VLOOKUP(B640,tblPeople[],14,FALSE),"")</f>
        <v/>
      </c>
      <c r="G640" s="11"/>
      <c r="H640" s="67"/>
      <c r="I640" s="11"/>
      <c r="J640" s="11"/>
      <c r="K640" s="11"/>
      <c r="L640" s="11"/>
      <c r="M640" s="11"/>
      <c r="N640" s="11"/>
      <c r="O640" s="67"/>
      <c r="P640" s="11"/>
    </row>
    <row r="641" spans="1:16" x14ac:dyDescent="0.25">
      <c r="A641" s="65" t="str">
        <f t="shared" si="9"/>
        <v/>
      </c>
      <c r="F641" s="95" t="str">
        <f>IFERROR(VLOOKUP(B641,tblPeople[],14,FALSE),"")</f>
        <v/>
      </c>
      <c r="G641" s="11"/>
      <c r="H641" s="67"/>
      <c r="I641" s="11"/>
      <c r="J641" s="11"/>
      <c r="K641" s="11"/>
      <c r="L641" s="11"/>
      <c r="M641" s="11"/>
      <c r="N641" s="11"/>
      <c r="O641" s="67"/>
      <c r="P641" s="11"/>
    </row>
    <row r="642" spans="1:16" x14ac:dyDescent="0.25">
      <c r="A642" s="65" t="str">
        <f t="shared" si="9"/>
        <v/>
      </c>
      <c r="F642" s="95" t="str">
        <f>IFERROR(VLOOKUP(B642,tblPeople[],14,FALSE),"")</f>
        <v/>
      </c>
      <c r="G642" s="11"/>
      <c r="H642" s="67"/>
      <c r="I642" s="11"/>
      <c r="J642" s="11"/>
      <c r="K642" s="11"/>
      <c r="L642" s="11"/>
      <c r="M642" s="11"/>
      <c r="N642" s="11"/>
      <c r="O642" s="67"/>
      <c r="P642" s="11"/>
    </row>
    <row r="643" spans="1:16" x14ac:dyDescent="0.25">
      <c r="A643" s="65" t="str">
        <f t="shared" si="9"/>
        <v/>
      </c>
      <c r="F643" s="95" t="str">
        <f>IFERROR(VLOOKUP(B643,tblPeople[],14,FALSE),"")</f>
        <v/>
      </c>
      <c r="G643" s="11"/>
      <c r="H643" s="67"/>
      <c r="I643" s="11"/>
      <c r="J643" s="11"/>
      <c r="K643" s="11"/>
      <c r="L643" s="11"/>
      <c r="M643" s="11"/>
      <c r="N643" s="11"/>
      <c r="O643" s="67"/>
      <c r="P643" s="11"/>
    </row>
    <row r="644" spans="1:16" x14ac:dyDescent="0.25">
      <c r="A644" s="65" t="str">
        <f t="shared" si="9"/>
        <v/>
      </c>
      <c r="F644" s="95" t="str">
        <f>IFERROR(VLOOKUP(B644,tblPeople[],14,FALSE),"")</f>
        <v/>
      </c>
      <c r="G644" s="11"/>
      <c r="H644" s="67"/>
      <c r="I644" s="11"/>
      <c r="J644" s="11"/>
      <c r="K644" s="11"/>
      <c r="L644" s="11"/>
      <c r="M644" s="11"/>
      <c r="N644" s="11"/>
      <c r="O644" s="67"/>
      <c r="P644" s="11"/>
    </row>
    <row r="645" spans="1:16" x14ac:dyDescent="0.25">
      <c r="A645" s="65" t="str">
        <f t="shared" si="9"/>
        <v/>
      </c>
      <c r="F645" s="95" t="str">
        <f>IFERROR(VLOOKUP(B645,tblPeople[],14,FALSE),"")</f>
        <v/>
      </c>
      <c r="G645" s="11"/>
      <c r="H645" s="67"/>
      <c r="I645" s="11"/>
      <c r="J645" s="11"/>
      <c r="K645" s="11"/>
      <c r="L645" s="11"/>
      <c r="M645" s="11"/>
      <c r="N645" s="11"/>
      <c r="O645" s="67"/>
      <c r="P645" s="11"/>
    </row>
    <row r="646" spans="1:16" x14ac:dyDescent="0.25">
      <c r="A646" s="65" t="str">
        <f t="shared" si="9"/>
        <v/>
      </c>
      <c r="F646" s="95" t="str">
        <f>IFERROR(VLOOKUP(B646,tblPeople[],14,FALSE),"")</f>
        <v/>
      </c>
      <c r="G646" s="11"/>
      <c r="H646" s="67"/>
      <c r="I646" s="11"/>
      <c r="J646" s="11"/>
      <c r="K646" s="11"/>
      <c r="L646" s="11"/>
      <c r="M646" s="11"/>
      <c r="N646" s="11"/>
      <c r="O646" s="67"/>
      <c r="P646" s="11"/>
    </row>
    <row r="647" spans="1:16" x14ac:dyDescent="0.25">
      <c r="A647" s="65" t="str">
        <f t="shared" si="9"/>
        <v/>
      </c>
      <c r="F647" s="95" t="str">
        <f>IFERROR(VLOOKUP(B647,tblPeople[],14,FALSE),"")</f>
        <v/>
      </c>
      <c r="G647" s="11"/>
      <c r="H647" s="67"/>
      <c r="I647" s="11"/>
      <c r="J647" s="11"/>
      <c r="K647" s="11"/>
      <c r="L647" s="11"/>
      <c r="M647" s="11"/>
      <c r="N647" s="11"/>
      <c r="O647" s="67"/>
      <c r="P647" s="11"/>
    </row>
    <row r="648" spans="1:16" x14ac:dyDescent="0.25">
      <c r="A648" s="65" t="str">
        <f t="shared" si="9"/>
        <v/>
      </c>
      <c r="F648" s="95" t="str">
        <f>IFERROR(VLOOKUP(B648,tblPeople[],14,FALSE),"")</f>
        <v/>
      </c>
      <c r="G648" s="11"/>
      <c r="H648" s="67"/>
      <c r="I648" s="11"/>
      <c r="J648" s="11"/>
      <c r="K648" s="11"/>
      <c r="L648" s="11"/>
      <c r="M648" s="11"/>
      <c r="N648" s="11"/>
      <c r="O648" s="67"/>
      <c r="P648" s="11"/>
    </row>
    <row r="649" spans="1:16" x14ac:dyDescent="0.25">
      <c r="A649" s="65" t="str">
        <f t="shared" si="9"/>
        <v/>
      </c>
      <c r="F649" s="95" t="str">
        <f>IFERROR(VLOOKUP(B649,tblPeople[],14,FALSE),"")</f>
        <v/>
      </c>
      <c r="G649" s="11"/>
      <c r="H649" s="67"/>
      <c r="I649" s="11"/>
      <c r="J649" s="11"/>
      <c r="K649" s="11"/>
      <c r="L649" s="11"/>
      <c r="M649" s="11"/>
      <c r="N649" s="11"/>
      <c r="O649" s="67"/>
      <c r="P649" s="11"/>
    </row>
    <row r="650" spans="1:16" x14ac:dyDescent="0.25">
      <c r="A650" s="65" t="str">
        <f t="shared" si="9"/>
        <v/>
      </c>
      <c r="F650" s="95" t="str">
        <f>IFERROR(VLOOKUP(B650,tblPeople[],14,FALSE),"")</f>
        <v/>
      </c>
      <c r="G650" s="11"/>
      <c r="H650" s="67"/>
      <c r="I650" s="11"/>
      <c r="J650" s="11"/>
      <c r="K650" s="11"/>
      <c r="L650" s="11"/>
      <c r="M650" s="11"/>
      <c r="N650" s="11"/>
      <c r="O650" s="67"/>
      <c r="P650" s="11"/>
    </row>
    <row r="651" spans="1:16" x14ac:dyDescent="0.25">
      <c r="A651" s="65" t="str">
        <f t="shared" si="9"/>
        <v/>
      </c>
      <c r="F651" s="95" t="str">
        <f>IFERROR(VLOOKUP(B651,tblPeople[],14,FALSE),"")</f>
        <v/>
      </c>
      <c r="G651" s="11"/>
      <c r="H651" s="67"/>
      <c r="I651" s="11"/>
      <c r="J651" s="11"/>
      <c r="K651" s="11"/>
      <c r="L651" s="11"/>
      <c r="M651" s="11"/>
      <c r="N651" s="11"/>
      <c r="O651" s="67"/>
      <c r="P651" s="11"/>
    </row>
    <row r="652" spans="1:16" x14ac:dyDescent="0.25">
      <c r="A652" s="65" t="str">
        <f t="shared" si="9"/>
        <v/>
      </c>
      <c r="F652" s="95" t="str">
        <f>IFERROR(VLOOKUP(B652,tblPeople[],14,FALSE),"")</f>
        <v/>
      </c>
      <c r="G652" s="11"/>
      <c r="H652" s="67"/>
      <c r="I652" s="11"/>
      <c r="J652" s="11"/>
      <c r="K652" s="11"/>
      <c r="L652" s="11"/>
      <c r="M652" s="11"/>
      <c r="N652" s="11"/>
      <c r="O652" s="67"/>
      <c r="P652" s="11"/>
    </row>
    <row r="653" spans="1:16" x14ac:dyDescent="0.25">
      <c r="A653" s="65" t="str">
        <f t="shared" si="9"/>
        <v/>
      </c>
      <c r="F653" s="95" t="str">
        <f>IFERROR(VLOOKUP(B653,tblPeople[],14,FALSE),"")</f>
        <v/>
      </c>
      <c r="G653" s="11"/>
      <c r="H653" s="67"/>
      <c r="I653" s="11"/>
      <c r="J653" s="11"/>
      <c r="K653" s="11"/>
      <c r="L653" s="11"/>
      <c r="M653" s="11"/>
      <c r="N653" s="11"/>
      <c r="O653" s="67"/>
      <c r="P653" s="11"/>
    </row>
    <row r="654" spans="1:16" x14ac:dyDescent="0.25">
      <c r="A654" s="65" t="str">
        <f t="shared" si="9"/>
        <v/>
      </c>
      <c r="F654" s="95" t="str">
        <f>IFERROR(VLOOKUP(B654,tblPeople[],14,FALSE),"")</f>
        <v/>
      </c>
      <c r="G654" s="11"/>
      <c r="H654" s="67"/>
      <c r="I654" s="11"/>
      <c r="J654" s="11"/>
      <c r="K654" s="11"/>
      <c r="L654" s="11"/>
      <c r="M654" s="11"/>
      <c r="N654" s="11"/>
      <c r="O654" s="67"/>
      <c r="P654" s="11"/>
    </row>
    <row r="655" spans="1:16" x14ac:dyDescent="0.25">
      <c r="A655" s="65" t="str">
        <f t="shared" si="9"/>
        <v/>
      </c>
      <c r="F655" s="95" t="str">
        <f>IFERROR(VLOOKUP(B655,tblPeople[],14,FALSE),"")</f>
        <v/>
      </c>
      <c r="G655" s="11"/>
      <c r="H655" s="67"/>
      <c r="I655" s="11"/>
      <c r="J655" s="11"/>
      <c r="K655" s="11"/>
      <c r="L655" s="11"/>
      <c r="M655" s="11"/>
      <c r="N655" s="11"/>
      <c r="O655" s="67"/>
      <c r="P655" s="11"/>
    </row>
    <row r="656" spans="1:16" x14ac:dyDescent="0.25">
      <c r="A656" s="65" t="str">
        <f t="shared" si="9"/>
        <v/>
      </c>
      <c r="F656" s="95" t="str">
        <f>IFERROR(VLOOKUP(B656,tblPeople[],14,FALSE),"")</f>
        <v/>
      </c>
      <c r="G656" s="11"/>
      <c r="H656" s="67"/>
      <c r="I656" s="11"/>
      <c r="J656" s="11"/>
      <c r="K656" s="11"/>
      <c r="L656" s="11"/>
      <c r="M656" s="11"/>
      <c r="N656" s="11"/>
      <c r="O656" s="67"/>
      <c r="P656" s="11"/>
    </row>
    <row r="657" spans="1:16" x14ac:dyDescent="0.25">
      <c r="A657" s="65" t="str">
        <f t="shared" si="9"/>
        <v/>
      </c>
      <c r="F657" s="95" t="str">
        <f>IFERROR(VLOOKUP(B657,tblPeople[],14,FALSE),"")</f>
        <v/>
      </c>
      <c r="G657" s="11"/>
      <c r="H657" s="67"/>
      <c r="I657" s="11"/>
      <c r="J657" s="11"/>
      <c r="K657" s="11"/>
      <c r="L657" s="11"/>
      <c r="M657" s="11"/>
      <c r="N657" s="11"/>
      <c r="O657" s="67"/>
      <c r="P657" s="11"/>
    </row>
    <row r="658" spans="1:16" x14ac:dyDescent="0.25">
      <c r="A658" s="65" t="str">
        <f t="shared" ref="A658:A721" si="10">IF(B658=ISBLANK(""),"",A657+1)</f>
        <v/>
      </c>
      <c r="F658" s="95" t="str">
        <f>IFERROR(VLOOKUP(B658,tblPeople[],14,FALSE),"")</f>
        <v/>
      </c>
      <c r="G658" s="11"/>
      <c r="H658" s="67"/>
      <c r="I658" s="11"/>
      <c r="J658" s="11"/>
      <c r="K658" s="11"/>
      <c r="L658" s="11"/>
      <c r="M658" s="11"/>
      <c r="N658" s="11"/>
      <c r="O658" s="67"/>
      <c r="P658" s="11"/>
    </row>
    <row r="659" spans="1:16" x14ac:dyDescent="0.25">
      <c r="A659" s="65" t="str">
        <f t="shared" si="10"/>
        <v/>
      </c>
      <c r="F659" s="95" t="str">
        <f>IFERROR(VLOOKUP(B659,tblPeople[],14,FALSE),"")</f>
        <v/>
      </c>
      <c r="G659" s="11"/>
      <c r="H659" s="67"/>
      <c r="I659" s="11"/>
      <c r="J659" s="11"/>
      <c r="K659" s="11"/>
      <c r="L659" s="11"/>
      <c r="M659" s="11"/>
      <c r="N659" s="11"/>
      <c r="O659" s="67"/>
      <c r="P659" s="11"/>
    </row>
    <row r="660" spans="1:16" x14ac:dyDescent="0.25">
      <c r="A660" s="65" t="str">
        <f t="shared" si="10"/>
        <v/>
      </c>
      <c r="F660" s="95" t="str">
        <f>IFERROR(VLOOKUP(B660,tblPeople[],14,FALSE),"")</f>
        <v/>
      </c>
      <c r="G660" s="11"/>
      <c r="H660" s="67"/>
      <c r="I660" s="11"/>
      <c r="J660" s="11"/>
      <c r="K660" s="11"/>
      <c r="L660" s="11"/>
      <c r="M660" s="11"/>
      <c r="N660" s="11"/>
      <c r="O660" s="67"/>
      <c r="P660" s="11"/>
    </row>
    <row r="661" spans="1:16" x14ac:dyDescent="0.25">
      <c r="A661" s="65" t="str">
        <f t="shared" si="10"/>
        <v/>
      </c>
      <c r="F661" s="95" t="str">
        <f>IFERROR(VLOOKUP(B661,tblPeople[],14,FALSE),"")</f>
        <v/>
      </c>
      <c r="G661" s="11"/>
      <c r="H661" s="67"/>
      <c r="I661" s="11"/>
      <c r="J661" s="11"/>
      <c r="K661" s="11"/>
      <c r="L661" s="11"/>
      <c r="M661" s="11"/>
      <c r="N661" s="11"/>
      <c r="O661" s="67"/>
      <c r="P661" s="11"/>
    </row>
    <row r="662" spans="1:16" x14ac:dyDescent="0.25">
      <c r="A662" s="65" t="str">
        <f t="shared" si="10"/>
        <v/>
      </c>
      <c r="F662" s="95" t="str">
        <f>IFERROR(VLOOKUP(B662,tblPeople[],14,FALSE),"")</f>
        <v/>
      </c>
      <c r="G662" s="11"/>
      <c r="H662" s="67"/>
      <c r="I662" s="11"/>
      <c r="J662" s="11"/>
      <c r="K662" s="11"/>
      <c r="L662" s="11"/>
      <c r="M662" s="11"/>
      <c r="N662" s="11"/>
      <c r="O662" s="67"/>
      <c r="P662" s="11"/>
    </row>
    <row r="663" spans="1:16" x14ac:dyDescent="0.25">
      <c r="A663" s="65" t="str">
        <f t="shared" si="10"/>
        <v/>
      </c>
      <c r="F663" s="95" t="str">
        <f>IFERROR(VLOOKUP(B663,tblPeople[],14,FALSE),"")</f>
        <v/>
      </c>
      <c r="G663" s="11"/>
      <c r="H663" s="67"/>
      <c r="I663" s="11"/>
      <c r="J663" s="11"/>
      <c r="K663" s="11"/>
      <c r="L663" s="11"/>
      <c r="M663" s="11"/>
      <c r="N663" s="11"/>
      <c r="O663" s="67"/>
      <c r="P663" s="11"/>
    </row>
    <row r="664" spans="1:16" x14ac:dyDescent="0.25">
      <c r="A664" s="65" t="str">
        <f t="shared" si="10"/>
        <v/>
      </c>
      <c r="F664" s="95" t="str">
        <f>IFERROR(VLOOKUP(B664,tblPeople[],14,FALSE),"")</f>
        <v/>
      </c>
      <c r="G664" s="11"/>
      <c r="H664" s="67"/>
      <c r="I664" s="11"/>
      <c r="J664" s="11"/>
      <c r="K664" s="11"/>
      <c r="L664" s="11"/>
      <c r="M664" s="11"/>
      <c r="N664" s="11"/>
      <c r="O664" s="67"/>
      <c r="P664" s="11"/>
    </row>
    <row r="665" spans="1:16" x14ac:dyDescent="0.25">
      <c r="A665" s="65" t="str">
        <f t="shared" si="10"/>
        <v/>
      </c>
      <c r="F665" s="95" t="str">
        <f>IFERROR(VLOOKUP(B665,tblPeople[],14,FALSE),"")</f>
        <v/>
      </c>
      <c r="G665" s="11"/>
      <c r="H665" s="67"/>
      <c r="I665" s="11"/>
      <c r="J665" s="11"/>
      <c r="K665" s="11"/>
      <c r="L665" s="11"/>
      <c r="M665" s="11"/>
      <c r="N665" s="11"/>
      <c r="O665" s="67"/>
      <c r="P665" s="11"/>
    </row>
    <row r="666" spans="1:16" x14ac:dyDescent="0.25">
      <c r="A666" s="65" t="str">
        <f t="shared" si="10"/>
        <v/>
      </c>
      <c r="F666" s="95" t="str">
        <f>IFERROR(VLOOKUP(B666,tblPeople[],14,FALSE),"")</f>
        <v/>
      </c>
      <c r="G666" s="11"/>
      <c r="H666" s="67"/>
      <c r="I666" s="11"/>
      <c r="J666" s="11"/>
      <c r="K666" s="11"/>
      <c r="L666" s="11"/>
      <c r="M666" s="11"/>
      <c r="N666" s="11"/>
      <c r="O666" s="67"/>
      <c r="P666" s="11"/>
    </row>
    <row r="667" spans="1:16" x14ac:dyDescent="0.25">
      <c r="A667" s="65" t="str">
        <f t="shared" si="10"/>
        <v/>
      </c>
      <c r="F667" s="95" t="str">
        <f>IFERROR(VLOOKUP(B667,tblPeople[],14,FALSE),"")</f>
        <v/>
      </c>
      <c r="G667" s="11"/>
      <c r="H667" s="67"/>
      <c r="I667" s="11"/>
      <c r="J667" s="11"/>
      <c r="K667" s="11"/>
      <c r="L667" s="11"/>
      <c r="M667" s="11"/>
      <c r="N667" s="11"/>
      <c r="O667" s="67"/>
      <c r="P667" s="11"/>
    </row>
    <row r="668" spans="1:16" x14ac:dyDescent="0.25">
      <c r="A668" s="65" t="str">
        <f t="shared" si="10"/>
        <v/>
      </c>
      <c r="F668" s="95" t="str">
        <f>IFERROR(VLOOKUP(B668,tblPeople[],14,FALSE),"")</f>
        <v/>
      </c>
      <c r="G668" s="11"/>
      <c r="H668" s="67"/>
      <c r="I668" s="11"/>
      <c r="J668" s="11"/>
      <c r="K668" s="11"/>
      <c r="L668" s="11"/>
      <c r="M668" s="11"/>
      <c r="N668" s="11"/>
      <c r="O668" s="67"/>
      <c r="P668" s="11"/>
    </row>
    <row r="669" spans="1:16" x14ac:dyDescent="0.25">
      <c r="A669" s="65" t="str">
        <f t="shared" si="10"/>
        <v/>
      </c>
      <c r="F669" s="95" t="str">
        <f>IFERROR(VLOOKUP(B669,tblPeople[],14,FALSE),"")</f>
        <v/>
      </c>
      <c r="G669" s="11"/>
      <c r="H669" s="67"/>
      <c r="I669" s="11"/>
      <c r="J669" s="11"/>
      <c r="K669" s="11"/>
      <c r="L669" s="11"/>
      <c r="M669" s="11"/>
      <c r="N669" s="11"/>
      <c r="O669" s="67"/>
      <c r="P669" s="11"/>
    </row>
    <row r="670" spans="1:16" x14ac:dyDescent="0.25">
      <c r="A670" s="65" t="str">
        <f t="shared" si="10"/>
        <v/>
      </c>
      <c r="F670" s="95" t="str">
        <f>IFERROR(VLOOKUP(B670,tblPeople[],14,FALSE),"")</f>
        <v/>
      </c>
      <c r="G670" s="11"/>
      <c r="H670" s="67"/>
      <c r="I670" s="11"/>
      <c r="J670" s="11"/>
      <c r="K670" s="11"/>
      <c r="L670" s="11"/>
      <c r="M670" s="11"/>
      <c r="N670" s="11"/>
      <c r="O670" s="67"/>
      <c r="P670" s="11"/>
    </row>
    <row r="671" spans="1:16" x14ac:dyDescent="0.25">
      <c r="A671" s="65" t="str">
        <f t="shared" si="10"/>
        <v/>
      </c>
      <c r="F671" s="95" t="str">
        <f>IFERROR(VLOOKUP(B671,tblPeople[],14,FALSE),"")</f>
        <v/>
      </c>
      <c r="G671" s="11"/>
      <c r="H671" s="67"/>
      <c r="I671" s="11"/>
      <c r="J671" s="11"/>
      <c r="K671" s="11"/>
      <c r="L671" s="11"/>
      <c r="M671" s="11"/>
      <c r="N671" s="11"/>
      <c r="O671" s="67"/>
      <c r="P671" s="11"/>
    </row>
    <row r="672" spans="1:16" x14ac:dyDescent="0.25">
      <c r="A672" s="65" t="str">
        <f t="shared" si="10"/>
        <v/>
      </c>
      <c r="F672" s="95" t="str">
        <f>IFERROR(VLOOKUP(B672,tblPeople[],14,FALSE),"")</f>
        <v/>
      </c>
      <c r="G672" s="11"/>
      <c r="H672" s="67"/>
      <c r="I672" s="11"/>
      <c r="J672" s="11"/>
      <c r="K672" s="11"/>
      <c r="L672" s="11"/>
      <c r="M672" s="11"/>
      <c r="N672" s="11"/>
      <c r="O672" s="67"/>
      <c r="P672" s="11"/>
    </row>
    <row r="673" spans="1:16" x14ac:dyDescent="0.25">
      <c r="A673" s="65" t="str">
        <f t="shared" si="10"/>
        <v/>
      </c>
      <c r="F673" s="95" t="str">
        <f>IFERROR(VLOOKUP(B673,tblPeople[],14,FALSE),"")</f>
        <v/>
      </c>
      <c r="G673" s="11"/>
      <c r="H673" s="67"/>
      <c r="I673" s="11"/>
      <c r="J673" s="11"/>
      <c r="K673" s="11"/>
      <c r="L673" s="11"/>
      <c r="M673" s="11"/>
      <c r="N673" s="11"/>
      <c r="O673" s="67"/>
      <c r="P673" s="11"/>
    </row>
    <row r="674" spans="1:16" x14ac:dyDescent="0.25">
      <c r="A674" s="65" t="str">
        <f t="shared" si="10"/>
        <v/>
      </c>
      <c r="F674" s="95" t="str">
        <f>IFERROR(VLOOKUP(B674,tblPeople[],14,FALSE),"")</f>
        <v/>
      </c>
      <c r="G674" s="11"/>
      <c r="H674" s="67"/>
      <c r="I674" s="11"/>
      <c r="J674" s="11"/>
      <c r="K674" s="11"/>
      <c r="L674" s="11"/>
      <c r="M674" s="11"/>
      <c r="N674" s="11"/>
      <c r="O674" s="67"/>
      <c r="P674" s="11"/>
    </row>
    <row r="675" spans="1:16" x14ac:dyDescent="0.25">
      <c r="A675" s="65" t="str">
        <f t="shared" si="10"/>
        <v/>
      </c>
      <c r="F675" s="95" t="str">
        <f>IFERROR(VLOOKUP(B675,tblPeople[],14,FALSE),"")</f>
        <v/>
      </c>
      <c r="G675" s="11"/>
      <c r="H675" s="67"/>
      <c r="I675" s="11"/>
      <c r="J675" s="11"/>
      <c r="K675" s="11"/>
      <c r="L675" s="11"/>
      <c r="M675" s="11"/>
      <c r="N675" s="11"/>
      <c r="O675" s="67"/>
      <c r="P675" s="11"/>
    </row>
    <row r="676" spans="1:16" x14ac:dyDescent="0.25">
      <c r="A676" s="65" t="str">
        <f t="shared" si="10"/>
        <v/>
      </c>
      <c r="F676" s="95" t="str">
        <f>IFERROR(VLOOKUP(B676,tblPeople[],14,FALSE),"")</f>
        <v/>
      </c>
      <c r="G676" s="11"/>
      <c r="H676" s="67"/>
      <c r="I676" s="11"/>
      <c r="J676" s="11"/>
      <c r="K676" s="11"/>
      <c r="L676" s="11"/>
      <c r="M676" s="11"/>
      <c r="N676" s="11"/>
      <c r="O676" s="67"/>
      <c r="P676" s="11"/>
    </row>
    <row r="677" spans="1:16" x14ac:dyDescent="0.25">
      <c r="A677" s="65" t="str">
        <f t="shared" si="10"/>
        <v/>
      </c>
      <c r="F677" s="95" t="str">
        <f>IFERROR(VLOOKUP(B677,tblPeople[],14,FALSE),"")</f>
        <v/>
      </c>
      <c r="G677" s="11"/>
      <c r="H677" s="67"/>
      <c r="I677" s="11"/>
      <c r="J677" s="11"/>
      <c r="K677" s="11"/>
      <c r="L677" s="11"/>
      <c r="M677" s="11"/>
      <c r="N677" s="11"/>
      <c r="O677" s="67"/>
      <c r="P677" s="11"/>
    </row>
    <row r="678" spans="1:16" x14ac:dyDescent="0.25">
      <c r="A678" s="65" t="str">
        <f t="shared" si="10"/>
        <v/>
      </c>
      <c r="F678" s="95" t="str">
        <f>IFERROR(VLOOKUP(B678,tblPeople[],14,FALSE),"")</f>
        <v/>
      </c>
      <c r="G678" s="11"/>
      <c r="H678" s="67"/>
      <c r="I678" s="11"/>
      <c r="J678" s="11"/>
      <c r="K678" s="11"/>
      <c r="L678" s="11"/>
      <c r="M678" s="11"/>
      <c r="N678" s="11"/>
      <c r="O678" s="67"/>
      <c r="P678" s="11"/>
    </row>
    <row r="679" spans="1:16" x14ac:dyDescent="0.25">
      <c r="A679" s="65" t="str">
        <f t="shared" si="10"/>
        <v/>
      </c>
      <c r="F679" s="95" t="str">
        <f>IFERROR(VLOOKUP(B679,tblPeople[],14,FALSE),"")</f>
        <v/>
      </c>
      <c r="G679" s="11"/>
      <c r="H679" s="67"/>
      <c r="I679" s="11"/>
      <c r="J679" s="11"/>
      <c r="K679" s="11"/>
      <c r="L679" s="11"/>
      <c r="M679" s="11"/>
      <c r="N679" s="11"/>
      <c r="O679" s="67"/>
      <c r="P679" s="11"/>
    </row>
    <row r="680" spans="1:16" x14ac:dyDescent="0.25">
      <c r="A680" s="65" t="str">
        <f t="shared" si="10"/>
        <v/>
      </c>
      <c r="F680" s="95" t="str">
        <f>IFERROR(VLOOKUP(B680,tblPeople[],14,FALSE),"")</f>
        <v/>
      </c>
      <c r="G680" s="11"/>
      <c r="H680" s="67"/>
      <c r="I680" s="11"/>
      <c r="J680" s="11"/>
      <c r="K680" s="11"/>
      <c r="L680" s="11"/>
      <c r="M680" s="11"/>
      <c r="N680" s="11"/>
      <c r="O680" s="67"/>
      <c r="P680" s="11"/>
    </row>
    <row r="681" spans="1:16" x14ac:dyDescent="0.25">
      <c r="A681" s="65" t="str">
        <f t="shared" si="10"/>
        <v/>
      </c>
      <c r="F681" s="95" t="str">
        <f>IFERROR(VLOOKUP(B681,tblPeople[],14,FALSE),"")</f>
        <v/>
      </c>
      <c r="G681" s="11"/>
      <c r="H681" s="67"/>
      <c r="I681" s="11"/>
      <c r="J681" s="11"/>
      <c r="K681" s="11"/>
      <c r="L681" s="11"/>
      <c r="M681" s="11"/>
      <c r="N681" s="11"/>
      <c r="O681" s="67"/>
      <c r="P681" s="11"/>
    </row>
    <row r="682" spans="1:16" x14ac:dyDescent="0.25">
      <c r="A682" s="65" t="str">
        <f t="shared" si="10"/>
        <v/>
      </c>
      <c r="F682" s="95" t="str">
        <f>IFERROR(VLOOKUP(B682,tblPeople[],14,FALSE),"")</f>
        <v/>
      </c>
      <c r="G682" s="11"/>
      <c r="H682" s="67"/>
      <c r="I682" s="11"/>
      <c r="J682" s="11"/>
      <c r="K682" s="11"/>
      <c r="L682" s="11"/>
      <c r="M682" s="11"/>
      <c r="N682" s="11"/>
      <c r="O682" s="67"/>
      <c r="P682" s="11"/>
    </row>
    <row r="683" spans="1:16" x14ac:dyDescent="0.25">
      <c r="A683" s="65" t="str">
        <f t="shared" si="10"/>
        <v/>
      </c>
      <c r="F683" s="95" t="str">
        <f>IFERROR(VLOOKUP(B683,tblPeople[],14,FALSE),"")</f>
        <v/>
      </c>
      <c r="G683" s="11"/>
      <c r="H683" s="67"/>
      <c r="I683" s="11"/>
      <c r="J683" s="11"/>
      <c r="K683" s="11"/>
      <c r="L683" s="11"/>
      <c r="M683" s="11"/>
      <c r="N683" s="11"/>
      <c r="O683" s="67"/>
      <c r="P683" s="11"/>
    </row>
    <row r="684" spans="1:16" x14ac:dyDescent="0.25">
      <c r="A684" s="65" t="str">
        <f t="shared" si="10"/>
        <v/>
      </c>
      <c r="F684" s="95" t="str">
        <f>IFERROR(VLOOKUP(B684,tblPeople[],14,FALSE),"")</f>
        <v/>
      </c>
      <c r="G684" s="11"/>
      <c r="H684" s="67"/>
      <c r="I684" s="11"/>
      <c r="J684" s="11"/>
      <c r="K684" s="11"/>
      <c r="L684" s="11"/>
      <c r="M684" s="11"/>
      <c r="N684" s="11"/>
      <c r="O684" s="67"/>
      <c r="P684" s="11"/>
    </row>
    <row r="685" spans="1:16" x14ac:dyDescent="0.25">
      <c r="A685" s="65" t="str">
        <f t="shared" si="10"/>
        <v/>
      </c>
      <c r="F685" s="95" t="str">
        <f>IFERROR(VLOOKUP(B685,tblPeople[],14,FALSE),"")</f>
        <v/>
      </c>
      <c r="G685" s="11"/>
      <c r="H685" s="67"/>
      <c r="I685" s="11"/>
      <c r="J685" s="11"/>
      <c r="K685" s="11"/>
      <c r="L685" s="11"/>
      <c r="M685" s="11"/>
      <c r="N685" s="11"/>
      <c r="O685" s="67"/>
      <c r="P685" s="11"/>
    </row>
    <row r="686" spans="1:16" x14ac:dyDescent="0.25">
      <c r="A686" s="65" t="str">
        <f t="shared" si="10"/>
        <v/>
      </c>
      <c r="F686" s="95" t="str">
        <f>IFERROR(VLOOKUP(B686,tblPeople[],14,FALSE),"")</f>
        <v/>
      </c>
      <c r="G686" s="11"/>
      <c r="H686" s="67"/>
      <c r="I686" s="11"/>
      <c r="J686" s="11"/>
      <c r="K686" s="11"/>
      <c r="L686" s="11"/>
      <c r="M686" s="11"/>
      <c r="N686" s="11"/>
      <c r="O686" s="67"/>
      <c r="P686" s="11"/>
    </row>
    <row r="687" spans="1:16" x14ac:dyDescent="0.25">
      <c r="A687" s="65" t="str">
        <f t="shared" si="10"/>
        <v/>
      </c>
      <c r="F687" s="95" t="str">
        <f>IFERROR(VLOOKUP(B687,tblPeople[],14,FALSE),"")</f>
        <v/>
      </c>
      <c r="G687" s="11"/>
      <c r="H687" s="67"/>
      <c r="I687" s="11"/>
      <c r="J687" s="11"/>
      <c r="K687" s="11"/>
      <c r="L687" s="11"/>
      <c r="M687" s="11"/>
      <c r="N687" s="11"/>
      <c r="O687" s="67"/>
      <c r="P687" s="11"/>
    </row>
    <row r="688" spans="1:16" x14ac:dyDescent="0.25">
      <c r="A688" s="65" t="str">
        <f t="shared" si="10"/>
        <v/>
      </c>
      <c r="F688" s="95" t="str">
        <f>IFERROR(VLOOKUP(B688,tblPeople[],14,FALSE),"")</f>
        <v/>
      </c>
      <c r="G688" s="11"/>
      <c r="H688" s="67"/>
      <c r="I688" s="11"/>
      <c r="J688" s="11"/>
      <c r="K688" s="11"/>
      <c r="L688" s="11"/>
      <c r="M688" s="11"/>
      <c r="N688" s="11"/>
      <c r="O688" s="67"/>
      <c r="P688" s="11"/>
    </row>
    <row r="689" spans="1:16" x14ac:dyDescent="0.25">
      <c r="A689" s="65" t="str">
        <f t="shared" si="10"/>
        <v/>
      </c>
      <c r="F689" s="95" t="str">
        <f>IFERROR(VLOOKUP(B689,tblPeople[],14,FALSE),"")</f>
        <v/>
      </c>
      <c r="G689" s="11"/>
      <c r="H689" s="67"/>
      <c r="I689" s="11"/>
      <c r="J689" s="11"/>
      <c r="K689" s="11"/>
      <c r="L689" s="11"/>
      <c r="M689" s="11"/>
      <c r="N689" s="11"/>
      <c r="O689" s="67"/>
      <c r="P689" s="11"/>
    </row>
    <row r="690" spans="1:16" x14ac:dyDescent="0.25">
      <c r="A690" s="65" t="str">
        <f t="shared" si="10"/>
        <v/>
      </c>
      <c r="F690" s="95" t="str">
        <f>IFERROR(VLOOKUP(B690,tblPeople[],14,FALSE),"")</f>
        <v/>
      </c>
      <c r="G690" s="11"/>
      <c r="H690" s="67"/>
      <c r="I690" s="11"/>
      <c r="J690" s="11"/>
      <c r="K690" s="11"/>
      <c r="L690" s="11"/>
      <c r="M690" s="11"/>
      <c r="N690" s="11"/>
      <c r="O690" s="67"/>
      <c r="P690" s="11"/>
    </row>
    <row r="691" spans="1:16" x14ac:dyDescent="0.25">
      <c r="A691" s="65" t="str">
        <f t="shared" si="10"/>
        <v/>
      </c>
      <c r="F691" s="95" t="str">
        <f>IFERROR(VLOOKUP(B691,tblPeople[],14,FALSE),"")</f>
        <v/>
      </c>
      <c r="G691" s="11"/>
      <c r="H691" s="67"/>
      <c r="I691" s="11"/>
      <c r="J691" s="11"/>
      <c r="K691" s="11"/>
      <c r="L691" s="11"/>
      <c r="M691" s="11"/>
      <c r="N691" s="11"/>
      <c r="O691" s="67"/>
      <c r="P691" s="11"/>
    </row>
    <row r="692" spans="1:16" x14ac:dyDescent="0.25">
      <c r="A692" s="65" t="str">
        <f t="shared" si="10"/>
        <v/>
      </c>
      <c r="F692" s="95" t="str">
        <f>IFERROR(VLOOKUP(B692,tblPeople[],14,FALSE),"")</f>
        <v/>
      </c>
      <c r="G692" s="11"/>
      <c r="H692" s="67"/>
      <c r="I692" s="11"/>
      <c r="J692" s="11"/>
      <c r="K692" s="11"/>
      <c r="L692" s="11"/>
      <c r="M692" s="11"/>
      <c r="N692" s="11"/>
      <c r="O692" s="67"/>
      <c r="P692" s="11"/>
    </row>
    <row r="693" spans="1:16" x14ac:dyDescent="0.25">
      <c r="A693" s="65" t="str">
        <f t="shared" si="10"/>
        <v/>
      </c>
      <c r="F693" s="95" t="str">
        <f>IFERROR(VLOOKUP(B693,tblPeople[],14,FALSE),"")</f>
        <v/>
      </c>
      <c r="G693" s="11"/>
      <c r="H693" s="67"/>
      <c r="I693" s="11"/>
      <c r="J693" s="11"/>
      <c r="K693" s="11"/>
      <c r="L693" s="11"/>
      <c r="M693" s="11"/>
      <c r="N693" s="11"/>
      <c r="O693" s="67"/>
      <c r="P693" s="11"/>
    </row>
    <row r="694" spans="1:16" x14ac:dyDescent="0.25">
      <c r="A694" s="65" t="str">
        <f t="shared" si="10"/>
        <v/>
      </c>
      <c r="F694" s="95" t="str">
        <f>IFERROR(VLOOKUP(B694,tblPeople[],14,FALSE),"")</f>
        <v/>
      </c>
      <c r="G694" s="11"/>
      <c r="H694" s="67"/>
      <c r="I694" s="11"/>
      <c r="J694" s="11"/>
      <c r="K694" s="11"/>
      <c r="L694" s="11"/>
      <c r="M694" s="11"/>
      <c r="N694" s="11"/>
      <c r="O694" s="67"/>
      <c r="P694" s="11"/>
    </row>
    <row r="695" spans="1:16" x14ac:dyDescent="0.25">
      <c r="A695" s="65" t="str">
        <f t="shared" si="10"/>
        <v/>
      </c>
      <c r="F695" s="95" t="str">
        <f>IFERROR(VLOOKUP(B695,tblPeople[],14,FALSE),"")</f>
        <v/>
      </c>
      <c r="G695" s="11"/>
      <c r="H695" s="67"/>
      <c r="I695" s="11"/>
      <c r="J695" s="11"/>
      <c r="K695" s="11"/>
      <c r="L695" s="11"/>
      <c r="M695" s="11"/>
      <c r="N695" s="11"/>
      <c r="O695" s="67"/>
      <c r="P695" s="11"/>
    </row>
    <row r="696" spans="1:16" x14ac:dyDescent="0.25">
      <c r="A696" s="65" t="str">
        <f t="shared" si="10"/>
        <v/>
      </c>
      <c r="F696" s="95" t="str">
        <f>IFERROR(VLOOKUP(B696,tblPeople[],14,FALSE),"")</f>
        <v/>
      </c>
      <c r="G696" s="11"/>
      <c r="H696" s="67"/>
      <c r="I696" s="11"/>
      <c r="J696" s="11"/>
      <c r="K696" s="11"/>
      <c r="L696" s="11"/>
      <c r="M696" s="11"/>
      <c r="N696" s="11"/>
      <c r="O696" s="67"/>
      <c r="P696" s="11"/>
    </row>
    <row r="697" spans="1:16" x14ac:dyDescent="0.25">
      <c r="A697" s="65" t="str">
        <f t="shared" si="10"/>
        <v/>
      </c>
      <c r="F697" s="95" t="str">
        <f>IFERROR(VLOOKUP(B697,tblPeople[],14,FALSE),"")</f>
        <v/>
      </c>
      <c r="G697" s="11"/>
      <c r="H697" s="67"/>
      <c r="I697" s="11"/>
      <c r="J697" s="11"/>
      <c r="K697" s="11"/>
      <c r="L697" s="11"/>
      <c r="M697" s="11"/>
      <c r="N697" s="11"/>
      <c r="O697" s="67"/>
      <c r="P697" s="11"/>
    </row>
    <row r="698" spans="1:16" x14ac:dyDescent="0.25">
      <c r="A698" s="65" t="str">
        <f t="shared" si="10"/>
        <v/>
      </c>
      <c r="F698" s="95" t="str">
        <f>IFERROR(VLOOKUP(B698,tblPeople[],14,FALSE),"")</f>
        <v/>
      </c>
      <c r="G698" s="11"/>
      <c r="H698" s="67"/>
      <c r="I698" s="11"/>
      <c r="J698" s="11"/>
      <c r="K698" s="11"/>
      <c r="L698" s="11"/>
      <c r="M698" s="11"/>
      <c r="N698" s="11"/>
      <c r="O698" s="67"/>
      <c r="P698" s="11"/>
    </row>
    <row r="699" spans="1:16" x14ac:dyDescent="0.25">
      <c r="A699" s="65" t="str">
        <f t="shared" si="10"/>
        <v/>
      </c>
      <c r="F699" s="95" t="str">
        <f>IFERROR(VLOOKUP(B699,tblPeople[],14,FALSE),"")</f>
        <v/>
      </c>
      <c r="G699" s="11"/>
      <c r="H699" s="67"/>
      <c r="I699" s="11"/>
      <c r="J699" s="11"/>
      <c r="K699" s="11"/>
      <c r="L699" s="11"/>
      <c r="M699" s="11"/>
      <c r="N699" s="11"/>
      <c r="O699" s="67"/>
      <c r="P699" s="11"/>
    </row>
    <row r="700" spans="1:16" x14ac:dyDescent="0.25">
      <c r="A700" s="65" t="str">
        <f t="shared" si="10"/>
        <v/>
      </c>
      <c r="F700" s="95" t="str">
        <f>IFERROR(VLOOKUP(B700,tblPeople[],14,FALSE),"")</f>
        <v/>
      </c>
      <c r="G700" s="11"/>
      <c r="H700" s="67"/>
      <c r="I700" s="11"/>
      <c r="J700" s="11"/>
      <c r="K700" s="11"/>
      <c r="L700" s="11"/>
      <c r="M700" s="11"/>
      <c r="N700" s="11"/>
      <c r="O700" s="67"/>
      <c r="P700" s="11"/>
    </row>
    <row r="701" spans="1:16" x14ac:dyDescent="0.25">
      <c r="A701" s="65" t="str">
        <f t="shared" si="10"/>
        <v/>
      </c>
      <c r="F701" s="95" t="str">
        <f>IFERROR(VLOOKUP(B701,tblPeople[],14,FALSE),"")</f>
        <v/>
      </c>
      <c r="G701" s="11"/>
      <c r="H701" s="67"/>
      <c r="I701" s="11"/>
      <c r="J701" s="11"/>
      <c r="K701" s="11"/>
      <c r="L701" s="11"/>
      <c r="M701" s="11"/>
      <c r="N701" s="11"/>
      <c r="O701" s="67"/>
      <c r="P701" s="11"/>
    </row>
    <row r="702" spans="1:16" x14ac:dyDescent="0.25">
      <c r="A702" s="65" t="str">
        <f t="shared" si="10"/>
        <v/>
      </c>
      <c r="F702" s="95" t="str">
        <f>IFERROR(VLOOKUP(B702,tblPeople[],14,FALSE),"")</f>
        <v/>
      </c>
      <c r="G702" s="11"/>
      <c r="H702" s="67"/>
      <c r="I702" s="11"/>
      <c r="J702" s="11"/>
      <c r="K702" s="11"/>
      <c r="L702" s="11"/>
      <c r="M702" s="11"/>
      <c r="N702" s="11"/>
      <c r="O702" s="67"/>
      <c r="P702" s="11"/>
    </row>
    <row r="703" spans="1:16" x14ac:dyDescent="0.25">
      <c r="A703" s="65" t="str">
        <f t="shared" si="10"/>
        <v/>
      </c>
      <c r="F703" s="95" t="str">
        <f>IFERROR(VLOOKUP(B703,tblPeople[],14,FALSE),"")</f>
        <v/>
      </c>
      <c r="G703" s="11"/>
      <c r="H703" s="67"/>
      <c r="I703" s="11"/>
      <c r="J703" s="11"/>
      <c r="K703" s="11"/>
      <c r="L703" s="11"/>
      <c r="M703" s="11"/>
      <c r="N703" s="11"/>
      <c r="O703" s="67"/>
      <c r="P703" s="11"/>
    </row>
    <row r="704" spans="1:16" x14ac:dyDescent="0.25">
      <c r="A704" s="65" t="str">
        <f t="shared" si="10"/>
        <v/>
      </c>
      <c r="F704" s="95" t="str">
        <f>IFERROR(VLOOKUP(B704,tblPeople[],14,FALSE),"")</f>
        <v/>
      </c>
      <c r="G704" s="11"/>
      <c r="H704" s="67"/>
      <c r="I704" s="11"/>
      <c r="J704" s="11"/>
      <c r="K704" s="11"/>
      <c r="L704" s="11"/>
      <c r="M704" s="11"/>
      <c r="N704" s="11"/>
      <c r="O704" s="67"/>
      <c r="P704" s="11"/>
    </row>
    <row r="705" spans="1:16" x14ac:dyDescent="0.25">
      <c r="A705" s="65" t="str">
        <f t="shared" si="10"/>
        <v/>
      </c>
      <c r="F705" s="95" t="str">
        <f>IFERROR(VLOOKUP(B705,tblPeople[],14,FALSE),"")</f>
        <v/>
      </c>
      <c r="G705" s="11"/>
      <c r="H705" s="67"/>
      <c r="I705" s="11"/>
      <c r="J705" s="11"/>
      <c r="K705" s="11"/>
      <c r="L705" s="11"/>
      <c r="M705" s="11"/>
      <c r="N705" s="11"/>
      <c r="O705" s="67"/>
      <c r="P705" s="11"/>
    </row>
    <row r="706" spans="1:16" x14ac:dyDescent="0.25">
      <c r="A706" s="65" t="str">
        <f t="shared" si="10"/>
        <v/>
      </c>
      <c r="F706" s="95" t="str">
        <f>IFERROR(VLOOKUP(B706,tblPeople[],14,FALSE),"")</f>
        <v/>
      </c>
      <c r="G706" s="11"/>
      <c r="H706" s="67"/>
      <c r="I706" s="11"/>
      <c r="J706" s="11"/>
      <c r="K706" s="11"/>
      <c r="L706" s="11"/>
      <c r="M706" s="11"/>
      <c r="N706" s="11"/>
      <c r="O706" s="67"/>
      <c r="P706" s="11"/>
    </row>
    <row r="707" spans="1:16" x14ac:dyDescent="0.25">
      <c r="A707" s="65" t="str">
        <f t="shared" si="10"/>
        <v/>
      </c>
      <c r="F707" s="95" t="str">
        <f>IFERROR(VLOOKUP(B707,tblPeople[],14,FALSE),"")</f>
        <v/>
      </c>
      <c r="G707" s="11"/>
      <c r="H707" s="67"/>
      <c r="I707" s="11"/>
      <c r="J707" s="11"/>
      <c r="K707" s="11"/>
      <c r="L707" s="11"/>
      <c r="M707" s="11"/>
      <c r="N707" s="11"/>
      <c r="O707" s="67"/>
      <c r="P707" s="11"/>
    </row>
    <row r="708" spans="1:16" x14ac:dyDescent="0.25">
      <c r="A708" s="65" t="str">
        <f t="shared" si="10"/>
        <v/>
      </c>
      <c r="F708" s="95" t="str">
        <f>IFERROR(VLOOKUP(B708,tblPeople[],14,FALSE),"")</f>
        <v/>
      </c>
      <c r="G708" s="11"/>
      <c r="H708" s="67"/>
      <c r="I708" s="11"/>
      <c r="J708" s="11"/>
      <c r="K708" s="11"/>
      <c r="L708" s="11"/>
      <c r="M708" s="11"/>
      <c r="N708" s="11"/>
      <c r="O708" s="67"/>
      <c r="P708" s="11"/>
    </row>
    <row r="709" spans="1:16" x14ac:dyDescent="0.25">
      <c r="A709" s="65" t="str">
        <f t="shared" si="10"/>
        <v/>
      </c>
      <c r="F709" s="95" t="str">
        <f>IFERROR(VLOOKUP(B709,tblPeople[],14,FALSE),"")</f>
        <v/>
      </c>
      <c r="G709" s="11"/>
      <c r="H709" s="67"/>
      <c r="I709" s="11"/>
      <c r="J709" s="11"/>
      <c r="K709" s="11"/>
      <c r="L709" s="11"/>
      <c r="M709" s="11"/>
      <c r="N709" s="11"/>
      <c r="O709" s="67"/>
      <c r="P709" s="11"/>
    </row>
    <row r="710" spans="1:16" x14ac:dyDescent="0.25">
      <c r="A710" s="65" t="str">
        <f t="shared" si="10"/>
        <v/>
      </c>
      <c r="F710" s="95" t="str">
        <f>IFERROR(VLOOKUP(B710,tblPeople[],14,FALSE),"")</f>
        <v/>
      </c>
      <c r="G710" s="11"/>
      <c r="H710" s="67"/>
      <c r="I710" s="11"/>
      <c r="J710" s="11"/>
      <c r="K710" s="11"/>
      <c r="L710" s="11"/>
      <c r="M710" s="11"/>
      <c r="N710" s="11"/>
      <c r="O710" s="67"/>
      <c r="P710" s="11"/>
    </row>
    <row r="711" spans="1:16" x14ac:dyDescent="0.25">
      <c r="A711" s="65" t="str">
        <f t="shared" si="10"/>
        <v/>
      </c>
      <c r="F711" s="95" t="str">
        <f>IFERROR(VLOOKUP(B711,tblPeople[],14,FALSE),"")</f>
        <v/>
      </c>
      <c r="G711" s="11"/>
      <c r="H711" s="67"/>
      <c r="I711" s="11"/>
      <c r="J711" s="11"/>
      <c r="K711" s="11"/>
      <c r="L711" s="11"/>
      <c r="M711" s="11"/>
      <c r="N711" s="11"/>
      <c r="O711" s="67"/>
      <c r="P711" s="11"/>
    </row>
    <row r="712" spans="1:16" x14ac:dyDescent="0.25">
      <c r="A712" s="65" t="str">
        <f t="shared" si="10"/>
        <v/>
      </c>
      <c r="F712" s="95" t="str">
        <f>IFERROR(VLOOKUP(B712,tblPeople[],14,FALSE),"")</f>
        <v/>
      </c>
      <c r="G712" s="11"/>
      <c r="H712" s="67"/>
      <c r="I712" s="11"/>
      <c r="J712" s="11"/>
      <c r="K712" s="11"/>
      <c r="L712" s="11"/>
      <c r="M712" s="11"/>
      <c r="N712" s="11"/>
      <c r="O712" s="67"/>
      <c r="P712" s="11"/>
    </row>
    <row r="713" spans="1:16" x14ac:dyDescent="0.25">
      <c r="A713" s="65" t="str">
        <f t="shared" si="10"/>
        <v/>
      </c>
      <c r="F713" s="95" t="str">
        <f>IFERROR(VLOOKUP(B713,tblPeople[],14,FALSE),"")</f>
        <v/>
      </c>
      <c r="G713" s="11"/>
      <c r="H713" s="67"/>
      <c r="I713" s="11"/>
      <c r="J713" s="11"/>
      <c r="K713" s="11"/>
      <c r="L713" s="11"/>
      <c r="M713" s="11"/>
      <c r="N713" s="11"/>
      <c r="O713" s="67"/>
      <c r="P713" s="11"/>
    </row>
    <row r="714" spans="1:16" x14ac:dyDescent="0.25">
      <c r="A714" s="65" t="str">
        <f t="shared" si="10"/>
        <v/>
      </c>
      <c r="F714" s="95" t="str">
        <f>IFERROR(VLOOKUP(B714,tblPeople[],14,FALSE),"")</f>
        <v/>
      </c>
      <c r="G714" s="11"/>
      <c r="H714" s="67"/>
      <c r="I714" s="11"/>
      <c r="J714" s="11"/>
      <c r="K714" s="11"/>
      <c r="L714" s="11"/>
      <c r="M714" s="11"/>
      <c r="N714" s="11"/>
      <c r="O714" s="67"/>
      <c r="P714" s="11"/>
    </row>
    <row r="715" spans="1:16" x14ac:dyDescent="0.25">
      <c r="A715" s="65" t="str">
        <f t="shared" si="10"/>
        <v/>
      </c>
      <c r="F715" s="95" t="str">
        <f>IFERROR(VLOOKUP(B715,tblPeople[],14,FALSE),"")</f>
        <v/>
      </c>
      <c r="G715" s="11"/>
      <c r="H715" s="67"/>
      <c r="I715" s="11"/>
      <c r="J715" s="11"/>
      <c r="K715" s="11"/>
      <c r="L715" s="11"/>
      <c r="M715" s="11"/>
      <c r="N715" s="11"/>
      <c r="O715" s="67"/>
      <c r="P715" s="11"/>
    </row>
    <row r="716" spans="1:16" x14ac:dyDescent="0.25">
      <c r="A716" s="65" t="str">
        <f t="shared" si="10"/>
        <v/>
      </c>
      <c r="F716" s="95" t="str">
        <f>IFERROR(VLOOKUP(B716,tblPeople[],14,FALSE),"")</f>
        <v/>
      </c>
      <c r="G716" s="11"/>
      <c r="H716" s="67"/>
      <c r="I716" s="11"/>
      <c r="J716" s="11"/>
      <c r="K716" s="11"/>
      <c r="L716" s="11"/>
      <c r="M716" s="11"/>
      <c r="N716" s="11"/>
      <c r="O716" s="67"/>
      <c r="P716" s="11"/>
    </row>
    <row r="717" spans="1:16" x14ac:dyDescent="0.25">
      <c r="A717" s="65" t="str">
        <f t="shared" si="10"/>
        <v/>
      </c>
      <c r="F717" s="95" t="str">
        <f>IFERROR(VLOOKUP(B717,tblPeople[],14,FALSE),"")</f>
        <v/>
      </c>
      <c r="G717" s="11"/>
      <c r="H717" s="67"/>
      <c r="I717" s="11"/>
      <c r="J717" s="11"/>
      <c r="K717" s="11"/>
      <c r="L717" s="11"/>
      <c r="M717" s="11"/>
      <c r="N717" s="11"/>
      <c r="O717" s="67"/>
      <c r="P717" s="11"/>
    </row>
    <row r="718" spans="1:16" x14ac:dyDescent="0.25">
      <c r="A718" s="65" t="str">
        <f t="shared" si="10"/>
        <v/>
      </c>
      <c r="F718" s="95" t="str">
        <f>IFERROR(VLOOKUP(B718,tblPeople[],14,FALSE),"")</f>
        <v/>
      </c>
      <c r="G718" s="11"/>
      <c r="H718" s="67"/>
      <c r="I718" s="11"/>
      <c r="J718" s="11"/>
      <c r="K718" s="11"/>
      <c r="L718" s="11"/>
      <c r="M718" s="11"/>
      <c r="N718" s="11"/>
      <c r="O718" s="67"/>
      <c r="P718" s="11"/>
    </row>
    <row r="719" spans="1:16" x14ac:dyDescent="0.25">
      <c r="A719" s="65" t="str">
        <f t="shared" si="10"/>
        <v/>
      </c>
      <c r="F719" s="95" t="str">
        <f>IFERROR(VLOOKUP(B719,tblPeople[],14,FALSE),"")</f>
        <v/>
      </c>
      <c r="G719" s="11"/>
      <c r="H719" s="67"/>
      <c r="I719" s="11"/>
      <c r="J719" s="11"/>
      <c r="K719" s="11"/>
      <c r="L719" s="11"/>
      <c r="M719" s="11"/>
      <c r="N719" s="11"/>
      <c r="O719" s="67"/>
      <c r="P719" s="11"/>
    </row>
    <row r="720" spans="1:16" x14ac:dyDescent="0.25">
      <c r="A720" s="65" t="str">
        <f t="shared" si="10"/>
        <v/>
      </c>
      <c r="F720" s="95" t="str">
        <f>IFERROR(VLOOKUP(B720,tblPeople[],14,FALSE),"")</f>
        <v/>
      </c>
      <c r="G720" s="11"/>
      <c r="H720" s="67"/>
      <c r="I720" s="11"/>
      <c r="J720" s="11"/>
      <c r="K720" s="11"/>
      <c r="L720" s="11"/>
      <c r="M720" s="11"/>
      <c r="N720" s="11"/>
      <c r="O720" s="67"/>
      <c r="P720" s="11"/>
    </row>
    <row r="721" spans="1:16" x14ac:dyDescent="0.25">
      <c r="A721" s="65" t="str">
        <f t="shared" si="10"/>
        <v/>
      </c>
      <c r="F721" s="95" t="str">
        <f>IFERROR(VLOOKUP(B721,tblPeople[],14,FALSE),"")</f>
        <v/>
      </c>
      <c r="G721" s="11"/>
      <c r="H721" s="67"/>
      <c r="I721" s="11"/>
      <c r="J721" s="11"/>
      <c r="K721" s="11"/>
      <c r="L721" s="11"/>
      <c r="M721" s="11"/>
      <c r="N721" s="11"/>
      <c r="O721" s="67"/>
      <c r="P721" s="11"/>
    </row>
    <row r="722" spans="1:16" x14ac:dyDescent="0.25">
      <c r="A722" s="65" t="str">
        <f t="shared" ref="A722:A785" si="11">IF(B722=ISBLANK(""),"",A721+1)</f>
        <v/>
      </c>
      <c r="F722" s="95" t="str">
        <f>IFERROR(VLOOKUP(B722,tblPeople[],14,FALSE),"")</f>
        <v/>
      </c>
      <c r="G722" s="11"/>
      <c r="H722" s="67"/>
      <c r="I722" s="11"/>
      <c r="J722" s="11"/>
      <c r="K722" s="11"/>
      <c r="L722" s="11"/>
      <c r="M722" s="11"/>
      <c r="N722" s="11"/>
      <c r="O722" s="67"/>
      <c r="P722" s="11"/>
    </row>
    <row r="723" spans="1:16" x14ac:dyDescent="0.25">
      <c r="A723" s="65" t="str">
        <f t="shared" si="11"/>
        <v/>
      </c>
      <c r="F723" s="95" t="str">
        <f>IFERROR(VLOOKUP(B723,tblPeople[],14,FALSE),"")</f>
        <v/>
      </c>
      <c r="G723" s="11"/>
      <c r="H723" s="67"/>
      <c r="I723" s="11"/>
      <c r="J723" s="11"/>
      <c r="K723" s="11"/>
      <c r="L723" s="11"/>
      <c r="M723" s="11"/>
      <c r="N723" s="11"/>
      <c r="O723" s="67"/>
      <c r="P723" s="11"/>
    </row>
    <row r="724" spans="1:16" x14ac:dyDescent="0.25">
      <c r="A724" s="65" t="str">
        <f t="shared" si="11"/>
        <v/>
      </c>
      <c r="F724" s="95" t="str">
        <f>IFERROR(VLOOKUP(B724,tblPeople[],14,FALSE),"")</f>
        <v/>
      </c>
      <c r="G724" s="11"/>
      <c r="H724" s="67"/>
      <c r="I724" s="11"/>
      <c r="J724" s="11"/>
      <c r="K724" s="11"/>
      <c r="L724" s="11"/>
      <c r="M724" s="11"/>
      <c r="N724" s="11"/>
      <c r="O724" s="67"/>
      <c r="P724" s="11"/>
    </row>
    <row r="725" spans="1:16" x14ac:dyDescent="0.25">
      <c r="A725" s="65" t="str">
        <f t="shared" si="11"/>
        <v/>
      </c>
      <c r="F725" s="95" t="str">
        <f>IFERROR(VLOOKUP(B725,tblPeople[],14,FALSE),"")</f>
        <v/>
      </c>
      <c r="G725" s="11"/>
      <c r="H725" s="67"/>
      <c r="I725" s="11"/>
      <c r="J725" s="11"/>
      <c r="K725" s="11"/>
      <c r="L725" s="11"/>
      <c r="M725" s="11"/>
      <c r="N725" s="11"/>
      <c r="O725" s="67"/>
      <c r="P725" s="11"/>
    </row>
    <row r="726" spans="1:16" x14ac:dyDescent="0.25">
      <c r="A726" s="65" t="str">
        <f t="shared" si="11"/>
        <v/>
      </c>
      <c r="F726" s="95" t="str">
        <f>IFERROR(VLOOKUP(B726,tblPeople[],14,FALSE),"")</f>
        <v/>
      </c>
      <c r="G726" s="11"/>
      <c r="H726" s="67"/>
      <c r="I726" s="11"/>
      <c r="J726" s="11"/>
      <c r="K726" s="11"/>
      <c r="L726" s="11"/>
      <c r="M726" s="11"/>
      <c r="N726" s="11"/>
      <c r="O726" s="67"/>
      <c r="P726" s="11"/>
    </row>
    <row r="727" spans="1:16" x14ac:dyDescent="0.25">
      <c r="A727" s="65" t="str">
        <f t="shared" si="11"/>
        <v/>
      </c>
      <c r="F727" s="95" t="str">
        <f>IFERROR(VLOOKUP(B727,tblPeople[],14,FALSE),"")</f>
        <v/>
      </c>
      <c r="G727" s="11"/>
      <c r="H727" s="67"/>
      <c r="I727" s="11"/>
      <c r="J727" s="11"/>
      <c r="K727" s="11"/>
      <c r="L727" s="11"/>
      <c r="M727" s="11"/>
      <c r="N727" s="11"/>
      <c r="O727" s="67"/>
      <c r="P727" s="11"/>
    </row>
    <row r="728" spans="1:16" x14ac:dyDescent="0.25">
      <c r="A728" s="65" t="str">
        <f t="shared" si="11"/>
        <v/>
      </c>
      <c r="F728" s="95" t="str">
        <f>IFERROR(VLOOKUP(B728,tblPeople[],14,FALSE),"")</f>
        <v/>
      </c>
      <c r="G728" s="11"/>
      <c r="H728" s="67"/>
      <c r="I728" s="11"/>
      <c r="J728" s="11"/>
      <c r="K728" s="11"/>
      <c r="L728" s="11"/>
      <c r="M728" s="11"/>
      <c r="N728" s="11"/>
      <c r="O728" s="67"/>
      <c r="P728" s="11"/>
    </row>
    <row r="729" spans="1:16" x14ac:dyDescent="0.25">
      <c r="A729" s="65" t="str">
        <f t="shared" si="11"/>
        <v/>
      </c>
      <c r="F729" s="95" t="str">
        <f>IFERROR(VLOOKUP(B729,tblPeople[],14,FALSE),"")</f>
        <v/>
      </c>
      <c r="G729" s="11"/>
      <c r="H729" s="67"/>
      <c r="I729" s="11"/>
      <c r="J729" s="11"/>
      <c r="K729" s="11"/>
      <c r="L729" s="11"/>
      <c r="M729" s="11"/>
      <c r="N729" s="11"/>
      <c r="O729" s="67"/>
      <c r="P729" s="11"/>
    </row>
    <row r="730" spans="1:16" x14ac:dyDescent="0.25">
      <c r="A730" s="65" t="str">
        <f t="shared" si="11"/>
        <v/>
      </c>
      <c r="F730" s="95" t="str">
        <f>IFERROR(VLOOKUP(B730,tblPeople[],14,FALSE),"")</f>
        <v/>
      </c>
      <c r="G730" s="11"/>
      <c r="H730" s="67"/>
      <c r="I730" s="11"/>
      <c r="J730" s="11"/>
      <c r="K730" s="11"/>
      <c r="L730" s="11"/>
      <c r="M730" s="11"/>
      <c r="N730" s="11"/>
      <c r="O730" s="67"/>
      <c r="P730" s="11"/>
    </row>
    <row r="731" spans="1:16" x14ac:dyDescent="0.25">
      <c r="A731" s="65" t="str">
        <f t="shared" si="11"/>
        <v/>
      </c>
      <c r="F731" s="95" t="str">
        <f>IFERROR(VLOOKUP(B731,tblPeople[],14,FALSE),"")</f>
        <v/>
      </c>
      <c r="G731" s="11"/>
      <c r="H731" s="67"/>
      <c r="I731" s="11"/>
      <c r="J731" s="11"/>
      <c r="K731" s="11"/>
      <c r="L731" s="11"/>
      <c r="M731" s="11"/>
      <c r="N731" s="11"/>
      <c r="O731" s="67"/>
      <c r="P731" s="11"/>
    </row>
    <row r="732" spans="1:16" x14ac:dyDescent="0.25">
      <c r="A732" s="65" t="str">
        <f t="shared" si="11"/>
        <v/>
      </c>
      <c r="F732" s="95" t="str">
        <f>IFERROR(VLOOKUP(B732,tblPeople[],14,FALSE),"")</f>
        <v/>
      </c>
      <c r="G732" s="11"/>
      <c r="H732" s="67"/>
      <c r="I732" s="11"/>
      <c r="J732" s="11"/>
      <c r="K732" s="11"/>
      <c r="L732" s="11"/>
      <c r="M732" s="11"/>
      <c r="N732" s="11"/>
      <c r="O732" s="67"/>
      <c r="P732" s="11"/>
    </row>
    <row r="733" spans="1:16" x14ac:dyDescent="0.25">
      <c r="A733" s="65" t="str">
        <f t="shared" si="11"/>
        <v/>
      </c>
      <c r="F733" s="95" t="str">
        <f>IFERROR(VLOOKUP(B733,tblPeople[],14,FALSE),"")</f>
        <v/>
      </c>
      <c r="G733" s="11"/>
      <c r="H733" s="67"/>
      <c r="I733" s="11"/>
      <c r="J733" s="11"/>
      <c r="K733" s="11"/>
      <c r="L733" s="11"/>
      <c r="M733" s="11"/>
      <c r="N733" s="11"/>
      <c r="O733" s="67"/>
      <c r="P733" s="11"/>
    </row>
    <row r="734" spans="1:16" x14ac:dyDescent="0.25">
      <c r="A734" s="65" t="str">
        <f t="shared" si="11"/>
        <v/>
      </c>
      <c r="F734" s="95" t="str">
        <f>IFERROR(VLOOKUP(B734,tblPeople[],14,FALSE),"")</f>
        <v/>
      </c>
      <c r="G734" s="11"/>
      <c r="H734" s="67"/>
      <c r="I734" s="11"/>
      <c r="J734" s="11"/>
      <c r="K734" s="11"/>
      <c r="L734" s="11"/>
      <c r="M734" s="11"/>
      <c r="N734" s="11"/>
      <c r="O734" s="67"/>
      <c r="P734" s="11"/>
    </row>
    <row r="735" spans="1:16" x14ac:dyDescent="0.25">
      <c r="A735" s="65" t="str">
        <f t="shared" si="11"/>
        <v/>
      </c>
      <c r="F735" s="95" t="str">
        <f>IFERROR(VLOOKUP(B735,tblPeople[],14,FALSE),"")</f>
        <v/>
      </c>
      <c r="G735" s="11"/>
      <c r="H735" s="67"/>
      <c r="I735" s="11"/>
      <c r="J735" s="11"/>
      <c r="K735" s="11"/>
      <c r="L735" s="11"/>
      <c r="M735" s="11"/>
      <c r="N735" s="11"/>
      <c r="O735" s="67"/>
      <c r="P735" s="11"/>
    </row>
    <row r="736" spans="1:16" x14ac:dyDescent="0.25">
      <c r="A736" s="65" t="str">
        <f t="shared" si="11"/>
        <v/>
      </c>
      <c r="F736" s="95" t="str">
        <f>IFERROR(VLOOKUP(B736,tblPeople[],14,FALSE),"")</f>
        <v/>
      </c>
      <c r="G736" s="11"/>
      <c r="H736" s="67"/>
      <c r="I736" s="11"/>
      <c r="J736" s="11"/>
      <c r="K736" s="11"/>
      <c r="L736" s="11"/>
      <c r="M736" s="11"/>
      <c r="N736" s="11"/>
      <c r="O736" s="67"/>
      <c r="P736" s="11"/>
    </row>
    <row r="737" spans="1:16" x14ac:dyDescent="0.25">
      <c r="A737" s="65" t="str">
        <f t="shared" si="11"/>
        <v/>
      </c>
      <c r="F737" s="95" t="str">
        <f>IFERROR(VLOOKUP(B737,tblPeople[],14,FALSE),"")</f>
        <v/>
      </c>
      <c r="G737" s="11"/>
      <c r="H737" s="67"/>
      <c r="I737" s="11"/>
      <c r="J737" s="11"/>
      <c r="K737" s="11"/>
      <c r="L737" s="11"/>
      <c r="M737" s="11"/>
      <c r="N737" s="11"/>
      <c r="O737" s="67"/>
      <c r="P737" s="11"/>
    </row>
    <row r="738" spans="1:16" x14ac:dyDescent="0.25">
      <c r="A738" s="65" t="str">
        <f t="shared" si="11"/>
        <v/>
      </c>
      <c r="F738" s="95" t="str">
        <f>IFERROR(VLOOKUP(B738,tblPeople[],14,FALSE),"")</f>
        <v/>
      </c>
      <c r="G738" s="11"/>
      <c r="H738" s="67"/>
      <c r="I738" s="11"/>
      <c r="J738" s="11"/>
      <c r="K738" s="11"/>
      <c r="L738" s="11"/>
      <c r="M738" s="11"/>
      <c r="N738" s="11"/>
      <c r="O738" s="67"/>
      <c r="P738" s="11"/>
    </row>
    <row r="739" spans="1:16" x14ac:dyDescent="0.25">
      <c r="A739" s="65" t="str">
        <f t="shared" si="11"/>
        <v/>
      </c>
      <c r="F739" s="95" t="str">
        <f>IFERROR(VLOOKUP(B739,tblPeople[],14,FALSE),"")</f>
        <v/>
      </c>
      <c r="G739" s="11"/>
      <c r="H739" s="67"/>
      <c r="I739" s="11"/>
      <c r="J739" s="11"/>
      <c r="K739" s="11"/>
      <c r="L739" s="11"/>
      <c r="M739" s="11"/>
      <c r="N739" s="11"/>
      <c r="O739" s="67"/>
      <c r="P739" s="11"/>
    </row>
    <row r="740" spans="1:16" x14ac:dyDescent="0.25">
      <c r="A740" s="65" t="str">
        <f t="shared" si="11"/>
        <v/>
      </c>
      <c r="F740" s="95" t="str">
        <f>IFERROR(VLOOKUP(B740,tblPeople[],14,FALSE),"")</f>
        <v/>
      </c>
      <c r="G740" s="11"/>
      <c r="H740" s="67"/>
      <c r="I740" s="11"/>
      <c r="J740" s="11"/>
      <c r="K740" s="11"/>
      <c r="L740" s="11"/>
      <c r="M740" s="11"/>
      <c r="N740" s="11"/>
      <c r="O740" s="67"/>
      <c r="P740" s="11"/>
    </row>
    <row r="741" spans="1:16" x14ac:dyDescent="0.25">
      <c r="A741" s="65" t="str">
        <f t="shared" si="11"/>
        <v/>
      </c>
      <c r="F741" s="95" t="str">
        <f>IFERROR(VLOOKUP(B741,tblPeople[],14,FALSE),"")</f>
        <v/>
      </c>
      <c r="G741" s="11"/>
      <c r="H741" s="67"/>
      <c r="I741" s="11"/>
      <c r="J741" s="11"/>
      <c r="K741" s="11"/>
      <c r="L741" s="11"/>
      <c r="M741" s="11"/>
      <c r="N741" s="11"/>
      <c r="O741" s="67"/>
      <c r="P741" s="11"/>
    </row>
    <row r="742" spans="1:16" x14ac:dyDescent="0.25">
      <c r="A742" s="65" t="str">
        <f t="shared" si="11"/>
        <v/>
      </c>
      <c r="F742" s="95" t="str">
        <f>IFERROR(VLOOKUP(B742,tblPeople[],14,FALSE),"")</f>
        <v/>
      </c>
      <c r="G742" s="11"/>
      <c r="H742" s="67"/>
      <c r="I742" s="11"/>
      <c r="J742" s="11"/>
      <c r="K742" s="11"/>
      <c r="L742" s="11"/>
      <c r="M742" s="11"/>
      <c r="N742" s="11"/>
      <c r="O742" s="67"/>
      <c r="P742" s="11"/>
    </row>
    <row r="743" spans="1:16" x14ac:dyDescent="0.25">
      <c r="A743" s="65" t="str">
        <f t="shared" si="11"/>
        <v/>
      </c>
      <c r="F743" s="95" t="str">
        <f>IFERROR(VLOOKUP(B743,tblPeople[],14,FALSE),"")</f>
        <v/>
      </c>
      <c r="G743" s="11"/>
      <c r="H743" s="67"/>
      <c r="I743" s="11"/>
      <c r="J743" s="11"/>
      <c r="K743" s="11"/>
      <c r="L743" s="11"/>
      <c r="M743" s="11"/>
      <c r="N743" s="11"/>
      <c r="O743" s="67"/>
      <c r="P743" s="11"/>
    </row>
    <row r="744" spans="1:16" x14ac:dyDescent="0.25">
      <c r="A744" s="65" t="str">
        <f t="shared" si="11"/>
        <v/>
      </c>
      <c r="F744" s="95" t="str">
        <f>IFERROR(VLOOKUP(B744,tblPeople[],14,FALSE),"")</f>
        <v/>
      </c>
      <c r="G744" s="11"/>
      <c r="H744" s="67"/>
      <c r="I744" s="11"/>
      <c r="J744" s="11"/>
      <c r="K744" s="11"/>
      <c r="L744" s="11"/>
      <c r="M744" s="11"/>
      <c r="N744" s="11"/>
      <c r="O744" s="67"/>
      <c r="P744" s="11"/>
    </row>
    <row r="745" spans="1:16" x14ac:dyDescent="0.25">
      <c r="A745" s="65" t="str">
        <f t="shared" si="11"/>
        <v/>
      </c>
      <c r="F745" s="95" t="str">
        <f>IFERROR(VLOOKUP(B745,tblPeople[],14,FALSE),"")</f>
        <v/>
      </c>
      <c r="G745" s="11"/>
      <c r="H745" s="67"/>
      <c r="I745" s="11"/>
      <c r="J745" s="11"/>
      <c r="K745" s="11"/>
      <c r="L745" s="11"/>
      <c r="M745" s="11"/>
      <c r="N745" s="11"/>
      <c r="O745" s="67"/>
      <c r="P745" s="11"/>
    </row>
    <row r="746" spans="1:16" x14ac:dyDescent="0.25">
      <c r="A746" s="65" t="str">
        <f t="shared" si="11"/>
        <v/>
      </c>
      <c r="F746" s="95" t="str">
        <f>IFERROR(VLOOKUP(B746,tblPeople[],14,FALSE),"")</f>
        <v/>
      </c>
      <c r="G746" s="11"/>
      <c r="H746" s="67"/>
      <c r="I746" s="11"/>
      <c r="J746" s="11"/>
      <c r="K746" s="11"/>
      <c r="L746" s="11"/>
      <c r="M746" s="11"/>
      <c r="N746" s="11"/>
      <c r="O746" s="67"/>
      <c r="P746" s="11"/>
    </row>
    <row r="747" spans="1:16" x14ac:dyDescent="0.25">
      <c r="A747" s="65" t="str">
        <f t="shared" si="11"/>
        <v/>
      </c>
      <c r="F747" s="95" t="str">
        <f>IFERROR(VLOOKUP(B747,tblPeople[],14,FALSE),"")</f>
        <v/>
      </c>
      <c r="G747" s="11"/>
      <c r="H747" s="67"/>
      <c r="I747" s="11"/>
      <c r="J747" s="11"/>
      <c r="K747" s="11"/>
      <c r="L747" s="11"/>
      <c r="M747" s="11"/>
      <c r="N747" s="11"/>
      <c r="O747" s="67"/>
      <c r="P747" s="11"/>
    </row>
    <row r="748" spans="1:16" x14ac:dyDescent="0.25">
      <c r="A748" s="65" t="str">
        <f t="shared" si="11"/>
        <v/>
      </c>
      <c r="F748" s="95" t="str">
        <f>IFERROR(VLOOKUP(B748,tblPeople[],14,FALSE),"")</f>
        <v/>
      </c>
      <c r="G748" s="11"/>
      <c r="H748" s="67"/>
      <c r="I748" s="11"/>
      <c r="J748" s="11"/>
      <c r="K748" s="11"/>
      <c r="L748" s="11"/>
      <c r="M748" s="11"/>
      <c r="N748" s="11"/>
      <c r="O748" s="67"/>
      <c r="P748" s="11"/>
    </row>
    <row r="749" spans="1:16" x14ac:dyDescent="0.25">
      <c r="A749" s="65" t="str">
        <f t="shared" si="11"/>
        <v/>
      </c>
      <c r="F749" s="95" t="str">
        <f>IFERROR(VLOOKUP(B749,tblPeople[],14,FALSE),"")</f>
        <v/>
      </c>
      <c r="G749" s="11"/>
      <c r="H749" s="67"/>
      <c r="I749" s="11"/>
      <c r="J749" s="11"/>
      <c r="K749" s="11"/>
      <c r="L749" s="11"/>
      <c r="M749" s="11"/>
      <c r="N749" s="11"/>
      <c r="O749" s="67"/>
      <c r="P749" s="11"/>
    </row>
    <row r="750" spans="1:16" x14ac:dyDescent="0.25">
      <c r="A750" s="65" t="str">
        <f t="shared" si="11"/>
        <v/>
      </c>
      <c r="F750" s="95" t="str">
        <f>IFERROR(VLOOKUP(B750,tblPeople[],14,FALSE),"")</f>
        <v/>
      </c>
      <c r="G750" s="11"/>
      <c r="H750" s="67"/>
      <c r="I750" s="11"/>
      <c r="J750" s="11"/>
      <c r="K750" s="11"/>
      <c r="L750" s="11"/>
      <c r="M750" s="11"/>
      <c r="N750" s="11"/>
      <c r="O750" s="67"/>
      <c r="P750" s="11"/>
    </row>
    <row r="751" spans="1:16" x14ac:dyDescent="0.25">
      <c r="A751" s="65" t="str">
        <f t="shared" si="11"/>
        <v/>
      </c>
      <c r="F751" s="95" t="str">
        <f>IFERROR(VLOOKUP(B751,tblPeople[],14,FALSE),"")</f>
        <v/>
      </c>
      <c r="G751" s="11"/>
      <c r="H751" s="67"/>
      <c r="I751" s="11"/>
      <c r="J751" s="11"/>
      <c r="K751" s="11"/>
      <c r="L751" s="11"/>
      <c r="M751" s="11"/>
      <c r="N751" s="11"/>
      <c r="O751" s="67"/>
      <c r="P751" s="11"/>
    </row>
    <row r="752" spans="1:16" x14ac:dyDescent="0.25">
      <c r="A752" s="65" t="str">
        <f t="shared" si="11"/>
        <v/>
      </c>
      <c r="F752" s="95" t="str">
        <f>IFERROR(VLOOKUP(B752,tblPeople[],14,FALSE),"")</f>
        <v/>
      </c>
      <c r="G752" s="11"/>
      <c r="H752" s="67"/>
      <c r="I752" s="11"/>
      <c r="J752" s="11"/>
      <c r="K752" s="11"/>
      <c r="L752" s="11"/>
      <c r="M752" s="11"/>
      <c r="N752" s="11"/>
      <c r="O752" s="67"/>
      <c r="P752" s="11"/>
    </row>
    <row r="753" spans="1:16" x14ac:dyDescent="0.25">
      <c r="A753" s="65" t="str">
        <f t="shared" si="11"/>
        <v/>
      </c>
      <c r="F753" s="95" t="str">
        <f>IFERROR(VLOOKUP(B753,tblPeople[],14,FALSE),"")</f>
        <v/>
      </c>
      <c r="G753" s="11"/>
      <c r="H753" s="67"/>
      <c r="I753" s="11"/>
      <c r="J753" s="11"/>
      <c r="K753" s="11"/>
      <c r="L753" s="11"/>
      <c r="M753" s="11"/>
      <c r="N753" s="11"/>
      <c r="O753" s="67"/>
      <c r="P753" s="11"/>
    </row>
    <row r="754" spans="1:16" x14ac:dyDescent="0.25">
      <c r="A754" s="65" t="str">
        <f t="shared" si="11"/>
        <v/>
      </c>
      <c r="F754" s="95" t="str">
        <f>IFERROR(VLOOKUP(B754,tblPeople[],14,FALSE),"")</f>
        <v/>
      </c>
      <c r="G754" s="11"/>
      <c r="H754" s="67"/>
      <c r="I754" s="11"/>
      <c r="J754" s="11"/>
      <c r="K754" s="11"/>
      <c r="L754" s="11"/>
      <c r="M754" s="11"/>
      <c r="N754" s="11"/>
      <c r="O754" s="67"/>
      <c r="P754" s="11"/>
    </row>
    <row r="755" spans="1:16" x14ac:dyDescent="0.25">
      <c r="A755" s="65" t="str">
        <f t="shared" si="11"/>
        <v/>
      </c>
      <c r="F755" s="95" t="str">
        <f>IFERROR(VLOOKUP(B755,tblPeople[],14,FALSE),"")</f>
        <v/>
      </c>
      <c r="G755" s="11"/>
      <c r="H755" s="67"/>
      <c r="I755" s="11"/>
      <c r="J755" s="11"/>
      <c r="K755" s="11"/>
      <c r="L755" s="11"/>
      <c r="M755" s="11"/>
      <c r="N755" s="11"/>
      <c r="O755" s="67"/>
      <c r="P755" s="11"/>
    </row>
    <row r="756" spans="1:16" x14ac:dyDescent="0.25">
      <c r="A756" s="65" t="str">
        <f t="shared" si="11"/>
        <v/>
      </c>
      <c r="F756" s="95" t="str">
        <f>IFERROR(VLOOKUP(B756,tblPeople[],14,FALSE),"")</f>
        <v/>
      </c>
      <c r="G756" s="11"/>
      <c r="H756" s="67"/>
      <c r="I756" s="11"/>
      <c r="J756" s="11"/>
      <c r="K756" s="11"/>
      <c r="L756" s="11"/>
      <c r="M756" s="11"/>
      <c r="N756" s="11"/>
      <c r="O756" s="67"/>
      <c r="P756" s="11"/>
    </row>
    <row r="757" spans="1:16" x14ac:dyDescent="0.25">
      <c r="A757" s="65" t="str">
        <f t="shared" si="11"/>
        <v/>
      </c>
      <c r="F757" s="95" t="str">
        <f>IFERROR(VLOOKUP(B757,tblPeople[],14,FALSE),"")</f>
        <v/>
      </c>
      <c r="G757" s="11"/>
      <c r="H757" s="67"/>
      <c r="I757" s="11"/>
      <c r="J757" s="11"/>
      <c r="K757" s="11"/>
      <c r="L757" s="11"/>
      <c r="M757" s="11"/>
      <c r="N757" s="11"/>
      <c r="O757" s="67"/>
      <c r="P757" s="11"/>
    </row>
    <row r="758" spans="1:16" x14ac:dyDescent="0.25">
      <c r="A758" s="65" t="str">
        <f t="shared" si="11"/>
        <v/>
      </c>
      <c r="F758" s="95" t="str">
        <f>IFERROR(VLOOKUP(B758,tblPeople[],14,FALSE),"")</f>
        <v/>
      </c>
      <c r="G758" s="11"/>
      <c r="H758" s="67"/>
      <c r="I758" s="11"/>
      <c r="J758" s="11"/>
      <c r="K758" s="11"/>
      <c r="L758" s="11"/>
      <c r="M758" s="11"/>
      <c r="N758" s="11"/>
      <c r="O758" s="67"/>
      <c r="P758" s="11"/>
    </row>
    <row r="759" spans="1:16" x14ac:dyDescent="0.25">
      <c r="A759" s="65" t="str">
        <f t="shared" si="11"/>
        <v/>
      </c>
      <c r="F759" s="95" t="str">
        <f>IFERROR(VLOOKUP(B759,tblPeople[],14,FALSE),"")</f>
        <v/>
      </c>
      <c r="G759" s="11"/>
      <c r="H759" s="67"/>
      <c r="I759" s="11"/>
      <c r="J759" s="11"/>
      <c r="K759" s="11"/>
      <c r="L759" s="11"/>
      <c r="M759" s="11"/>
      <c r="N759" s="11"/>
      <c r="O759" s="67"/>
      <c r="P759" s="11"/>
    </row>
    <row r="760" spans="1:16" x14ac:dyDescent="0.25">
      <c r="A760" s="65" t="str">
        <f t="shared" si="11"/>
        <v/>
      </c>
      <c r="F760" s="95" t="str">
        <f>IFERROR(VLOOKUP(B760,tblPeople[],14,FALSE),"")</f>
        <v/>
      </c>
      <c r="G760" s="11"/>
      <c r="H760" s="67"/>
      <c r="I760" s="11"/>
      <c r="J760" s="11"/>
      <c r="K760" s="11"/>
      <c r="L760" s="11"/>
      <c r="M760" s="11"/>
      <c r="N760" s="11"/>
      <c r="O760" s="67"/>
      <c r="P760" s="11"/>
    </row>
    <row r="761" spans="1:16" x14ac:dyDescent="0.25">
      <c r="A761" s="65" t="str">
        <f t="shared" si="11"/>
        <v/>
      </c>
      <c r="F761" s="95" t="str">
        <f>IFERROR(VLOOKUP(B761,tblPeople[],14,FALSE),"")</f>
        <v/>
      </c>
      <c r="G761" s="11"/>
      <c r="H761" s="67"/>
      <c r="I761" s="11"/>
      <c r="J761" s="11"/>
      <c r="K761" s="11"/>
      <c r="L761" s="11"/>
      <c r="M761" s="11"/>
      <c r="N761" s="11"/>
      <c r="O761" s="67"/>
      <c r="P761" s="11"/>
    </row>
    <row r="762" spans="1:16" x14ac:dyDescent="0.25">
      <c r="A762" s="65" t="str">
        <f t="shared" si="11"/>
        <v/>
      </c>
      <c r="F762" s="95" t="str">
        <f>IFERROR(VLOOKUP(B762,tblPeople[],14,FALSE),"")</f>
        <v/>
      </c>
      <c r="G762" s="11"/>
      <c r="H762" s="67"/>
      <c r="I762" s="11"/>
      <c r="J762" s="11"/>
      <c r="K762" s="11"/>
      <c r="L762" s="11"/>
      <c r="M762" s="11"/>
      <c r="N762" s="11"/>
      <c r="O762" s="67"/>
      <c r="P762" s="11"/>
    </row>
    <row r="763" spans="1:16" x14ac:dyDescent="0.25">
      <c r="A763" s="65" t="str">
        <f t="shared" si="11"/>
        <v/>
      </c>
      <c r="F763" s="95" t="str">
        <f>IFERROR(VLOOKUP(B763,tblPeople[],14,FALSE),"")</f>
        <v/>
      </c>
      <c r="G763" s="11"/>
      <c r="H763" s="67"/>
      <c r="I763" s="11"/>
      <c r="J763" s="11"/>
      <c r="K763" s="11"/>
      <c r="L763" s="11"/>
      <c r="M763" s="11"/>
      <c r="N763" s="11"/>
      <c r="O763" s="67"/>
      <c r="P763" s="11"/>
    </row>
    <row r="764" spans="1:16" x14ac:dyDescent="0.25">
      <c r="A764" s="65" t="str">
        <f t="shared" si="11"/>
        <v/>
      </c>
      <c r="F764" s="95" t="str">
        <f>IFERROR(VLOOKUP(B764,tblPeople[],14,FALSE),"")</f>
        <v/>
      </c>
      <c r="G764" s="11"/>
      <c r="H764" s="67"/>
      <c r="I764" s="11"/>
      <c r="J764" s="11"/>
      <c r="K764" s="11"/>
      <c r="L764" s="11"/>
      <c r="M764" s="11"/>
      <c r="N764" s="11"/>
      <c r="O764" s="67"/>
      <c r="P764" s="11"/>
    </row>
    <row r="765" spans="1:16" x14ac:dyDescent="0.25">
      <c r="A765" s="65" t="str">
        <f t="shared" si="11"/>
        <v/>
      </c>
      <c r="F765" s="95" t="str">
        <f>IFERROR(VLOOKUP(B765,tblPeople[],14,FALSE),"")</f>
        <v/>
      </c>
      <c r="G765" s="11"/>
      <c r="H765" s="67"/>
      <c r="I765" s="11"/>
      <c r="J765" s="11"/>
      <c r="K765" s="11"/>
      <c r="L765" s="11"/>
      <c r="M765" s="11"/>
      <c r="N765" s="11"/>
      <c r="O765" s="67"/>
      <c r="P765" s="11"/>
    </row>
    <row r="766" spans="1:16" x14ac:dyDescent="0.25">
      <c r="A766" s="65" t="str">
        <f t="shared" si="11"/>
        <v/>
      </c>
      <c r="F766" s="95" t="str">
        <f>IFERROR(VLOOKUP(B766,tblPeople[],14,FALSE),"")</f>
        <v/>
      </c>
      <c r="G766" s="11"/>
      <c r="H766" s="67"/>
      <c r="I766" s="11"/>
      <c r="J766" s="11"/>
      <c r="K766" s="11"/>
      <c r="L766" s="11"/>
      <c r="M766" s="11"/>
      <c r="N766" s="11"/>
      <c r="O766" s="67"/>
      <c r="P766" s="11"/>
    </row>
    <row r="767" spans="1:16" x14ac:dyDescent="0.25">
      <c r="A767" s="65" t="str">
        <f t="shared" si="11"/>
        <v/>
      </c>
      <c r="F767" s="95" t="str">
        <f>IFERROR(VLOOKUP(B767,tblPeople[],14,FALSE),"")</f>
        <v/>
      </c>
      <c r="G767" s="11"/>
      <c r="H767" s="67"/>
      <c r="I767" s="11"/>
      <c r="J767" s="11"/>
      <c r="K767" s="11"/>
      <c r="L767" s="11"/>
      <c r="M767" s="11"/>
      <c r="N767" s="11"/>
      <c r="O767" s="67"/>
      <c r="P767" s="11"/>
    </row>
    <row r="768" spans="1:16" x14ac:dyDescent="0.25">
      <c r="A768" s="65" t="str">
        <f t="shared" si="11"/>
        <v/>
      </c>
      <c r="F768" s="95" t="str">
        <f>IFERROR(VLOOKUP(B768,tblPeople[],14,FALSE),"")</f>
        <v/>
      </c>
      <c r="G768" s="11"/>
      <c r="H768" s="67"/>
      <c r="I768" s="11"/>
      <c r="J768" s="11"/>
      <c r="K768" s="11"/>
      <c r="L768" s="11"/>
      <c r="M768" s="11"/>
      <c r="N768" s="11"/>
      <c r="O768" s="67"/>
      <c r="P768" s="11"/>
    </row>
    <row r="769" spans="1:16" x14ac:dyDescent="0.25">
      <c r="A769" s="65" t="str">
        <f t="shared" si="11"/>
        <v/>
      </c>
      <c r="F769" s="95" t="str">
        <f>IFERROR(VLOOKUP(B769,tblPeople[],14,FALSE),"")</f>
        <v/>
      </c>
      <c r="G769" s="11"/>
      <c r="H769" s="67"/>
      <c r="I769" s="11"/>
      <c r="J769" s="11"/>
      <c r="K769" s="11"/>
      <c r="L769" s="11"/>
      <c r="M769" s="11"/>
      <c r="N769" s="11"/>
      <c r="O769" s="67"/>
      <c r="P769" s="11"/>
    </row>
    <row r="770" spans="1:16" x14ac:dyDescent="0.25">
      <c r="A770" s="65" t="str">
        <f t="shared" si="11"/>
        <v/>
      </c>
      <c r="F770" s="95" t="str">
        <f>IFERROR(VLOOKUP(B770,tblPeople[],14,FALSE),"")</f>
        <v/>
      </c>
      <c r="G770" s="11"/>
      <c r="H770" s="67"/>
      <c r="I770" s="11"/>
      <c r="J770" s="11"/>
      <c r="K770" s="11"/>
      <c r="L770" s="11"/>
      <c r="M770" s="11"/>
      <c r="N770" s="11"/>
      <c r="O770" s="67"/>
      <c r="P770" s="11"/>
    </row>
    <row r="771" spans="1:16" x14ac:dyDescent="0.25">
      <c r="A771" s="65" t="str">
        <f t="shared" si="11"/>
        <v/>
      </c>
      <c r="F771" s="95" t="str">
        <f>IFERROR(VLOOKUP(B771,tblPeople[],14,FALSE),"")</f>
        <v/>
      </c>
      <c r="G771" s="11"/>
      <c r="H771" s="67"/>
      <c r="I771" s="11"/>
      <c r="J771" s="11"/>
      <c r="K771" s="11"/>
      <c r="L771" s="11"/>
      <c r="M771" s="11"/>
      <c r="N771" s="11"/>
      <c r="O771" s="67"/>
      <c r="P771" s="11"/>
    </row>
    <row r="772" spans="1:16" x14ac:dyDescent="0.25">
      <c r="A772" s="65" t="str">
        <f t="shared" si="11"/>
        <v/>
      </c>
      <c r="F772" s="95" t="str">
        <f>IFERROR(VLOOKUP(B772,tblPeople[],14,FALSE),"")</f>
        <v/>
      </c>
      <c r="G772" s="11"/>
      <c r="H772" s="67"/>
      <c r="I772" s="11"/>
      <c r="J772" s="11"/>
      <c r="K772" s="11"/>
      <c r="L772" s="11"/>
      <c r="M772" s="11"/>
      <c r="N772" s="11"/>
      <c r="O772" s="67"/>
      <c r="P772" s="11"/>
    </row>
    <row r="773" spans="1:16" x14ac:dyDescent="0.25">
      <c r="A773" s="65" t="str">
        <f t="shared" si="11"/>
        <v/>
      </c>
      <c r="F773" s="95" t="str">
        <f>IFERROR(VLOOKUP(B773,tblPeople[],14,FALSE),"")</f>
        <v/>
      </c>
      <c r="G773" s="11"/>
      <c r="H773" s="67"/>
      <c r="I773" s="11"/>
      <c r="J773" s="11"/>
      <c r="K773" s="11"/>
      <c r="L773" s="11"/>
      <c r="M773" s="11"/>
      <c r="N773" s="11"/>
      <c r="O773" s="67"/>
      <c r="P773" s="11"/>
    </row>
    <row r="774" spans="1:16" x14ac:dyDescent="0.25">
      <c r="A774" s="65" t="str">
        <f t="shared" si="11"/>
        <v/>
      </c>
      <c r="F774" s="95" t="str">
        <f>IFERROR(VLOOKUP(B774,tblPeople[],14,FALSE),"")</f>
        <v/>
      </c>
      <c r="G774" s="11"/>
      <c r="H774" s="67"/>
      <c r="I774" s="11"/>
      <c r="J774" s="11"/>
      <c r="K774" s="11"/>
      <c r="L774" s="11"/>
      <c r="M774" s="11"/>
      <c r="N774" s="11"/>
      <c r="O774" s="67"/>
      <c r="P774" s="11"/>
    </row>
    <row r="775" spans="1:16" x14ac:dyDescent="0.25">
      <c r="A775" s="65" t="str">
        <f t="shared" si="11"/>
        <v/>
      </c>
      <c r="F775" s="95" t="str">
        <f>IFERROR(VLOOKUP(B775,tblPeople[],14,FALSE),"")</f>
        <v/>
      </c>
      <c r="G775" s="11"/>
      <c r="H775" s="67"/>
      <c r="I775" s="11"/>
      <c r="J775" s="11"/>
      <c r="K775" s="11"/>
      <c r="L775" s="11"/>
      <c r="M775" s="11"/>
      <c r="N775" s="11"/>
      <c r="O775" s="67"/>
      <c r="P775" s="11"/>
    </row>
    <row r="776" spans="1:16" x14ac:dyDescent="0.25">
      <c r="A776" s="65" t="str">
        <f t="shared" si="11"/>
        <v/>
      </c>
      <c r="F776" s="95" t="str">
        <f>IFERROR(VLOOKUP(B776,tblPeople[],14,FALSE),"")</f>
        <v/>
      </c>
      <c r="G776" s="11"/>
      <c r="H776" s="67"/>
      <c r="I776" s="11"/>
      <c r="J776" s="11"/>
      <c r="K776" s="11"/>
      <c r="L776" s="11"/>
      <c r="M776" s="11"/>
      <c r="N776" s="11"/>
      <c r="O776" s="67"/>
      <c r="P776" s="11"/>
    </row>
    <row r="777" spans="1:16" x14ac:dyDescent="0.25">
      <c r="A777" s="65" t="str">
        <f t="shared" si="11"/>
        <v/>
      </c>
      <c r="F777" s="95" t="str">
        <f>IFERROR(VLOOKUP(B777,tblPeople[],14,FALSE),"")</f>
        <v/>
      </c>
      <c r="G777" s="11"/>
      <c r="H777" s="67"/>
      <c r="I777" s="11"/>
      <c r="J777" s="11"/>
      <c r="K777" s="11"/>
      <c r="L777" s="11"/>
      <c r="M777" s="11"/>
      <c r="N777" s="11"/>
      <c r="O777" s="67"/>
      <c r="P777" s="11"/>
    </row>
    <row r="778" spans="1:16" x14ac:dyDescent="0.25">
      <c r="A778" s="65" t="str">
        <f t="shared" si="11"/>
        <v/>
      </c>
      <c r="F778" s="95" t="str">
        <f>IFERROR(VLOOKUP(B778,tblPeople[],14,FALSE),"")</f>
        <v/>
      </c>
      <c r="G778" s="11"/>
      <c r="H778" s="67"/>
      <c r="I778" s="11"/>
      <c r="J778" s="11"/>
      <c r="K778" s="11"/>
      <c r="L778" s="11"/>
      <c r="M778" s="11"/>
      <c r="N778" s="11"/>
      <c r="O778" s="67"/>
      <c r="P778" s="11"/>
    </row>
    <row r="779" spans="1:16" x14ac:dyDescent="0.25">
      <c r="A779" s="65" t="str">
        <f t="shared" si="11"/>
        <v/>
      </c>
      <c r="F779" s="95" t="str">
        <f>IFERROR(VLOOKUP(B779,tblPeople[],14,FALSE),"")</f>
        <v/>
      </c>
      <c r="G779" s="11"/>
      <c r="H779" s="67"/>
      <c r="I779" s="11"/>
      <c r="J779" s="11"/>
      <c r="K779" s="11"/>
      <c r="L779" s="11"/>
      <c r="M779" s="11"/>
      <c r="N779" s="11"/>
      <c r="O779" s="67"/>
      <c r="P779" s="11"/>
    </row>
    <row r="780" spans="1:16" x14ac:dyDescent="0.25">
      <c r="A780" s="65" t="str">
        <f t="shared" si="11"/>
        <v/>
      </c>
      <c r="F780" s="95" t="str">
        <f>IFERROR(VLOOKUP(B780,tblPeople[],14,FALSE),"")</f>
        <v/>
      </c>
      <c r="G780" s="11"/>
      <c r="H780" s="67"/>
      <c r="I780" s="11"/>
      <c r="J780" s="11"/>
      <c r="K780" s="11"/>
      <c r="L780" s="11"/>
      <c r="M780" s="11"/>
      <c r="N780" s="11"/>
      <c r="O780" s="67"/>
      <c r="P780" s="11"/>
    </row>
    <row r="781" spans="1:16" x14ac:dyDescent="0.25">
      <c r="A781" s="65" t="str">
        <f t="shared" si="11"/>
        <v/>
      </c>
      <c r="F781" s="95" t="str">
        <f>IFERROR(VLOOKUP(B781,tblPeople[],14,FALSE),"")</f>
        <v/>
      </c>
      <c r="G781" s="11"/>
      <c r="H781" s="67"/>
      <c r="I781" s="11"/>
      <c r="J781" s="11"/>
      <c r="K781" s="11"/>
      <c r="L781" s="11"/>
      <c r="M781" s="11"/>
      <c r="N781" s="11"/>
      <c r="O781" s="67"/>
      <c r="P781" s="11"/>
    </row>
    <row r="782" spans="1:16" x14ac:dyDescent="0.25">
      <c r="A782" s="65" t="str">
        <f t="shared" si="11"/>
        <v/>
      </c>
      <c r="F782" s="95" t="str">
        <f>IFERROR(VLOOKUP(B782,tblPeople[],14,FALSE),"")</f>
        <v/>
      </c>
      <c r="G782" s="11"/>
      <c r="H782" s="67"/>
      <c r="I782" s="11"/>
      <c r="J782" s="11"/>
      <c r="K782" s="11"/>
      <c r="L782" s="11"/>
      <c r="M782" s="11"/>
      <c r="N782" s="11"/>
      <c r="O782" s="67"/>
      <c r="P782" s="11"/>
    </row>
    <row r="783" spans="1:16" x14ac:dyDescent="0.25">
      <c r="A783" s="65" t="str">
        <f t="shared" si="11"/>
        <v/>
      </c>
      <c r="F783" s="95" t="str">
        <f>IFERROR(VLOOKUP(B783,tblPeople[],14,FALSE),"")</f>
        <v/>
      </c>
      <c r="G783" s="11"/>
      <c r="H783" s="67"/>
      <c r="I783" s="11"/>
      <c r="J783" s="11"/>
      <c r="K783" s="11"/>
      <c r="L783" s="11"/>
      <c r="M783" s="11"/>
      <c r="N783" s="11"/>
      <c r="O783" s="67"/>
      <c r="P783" s="11"/>
    </row>
    <row r="784" spans="1:16" x14ac:dyDescent="0.25">
      <c r="A784" s="65" t="str">
        <f t="shared" si="11"/>
        <v/>
      </c>
      <c r="F784" s="95" t="str">
        <f>IFERROR(VLOOKUP(B784,tblPeople[],14,FALSE),"")</f>
        <v/>
      </c>
      <c r="G784" s="11"/>
      <c r="H784" s="67"/>
      <c r="I784" s="11"/>
      <c r="J784" s="11"/>
      <c r="K784" s="11"/>
      <c r="L784" s="11"/>
      <c r="M784" s="11"/>
      <c r="N784" s="11"/>
      <c r="O784" s="67"/>
      <c r="P784" s="11"/>
    </row>
    <row r="785" spans="1:16" x14ac:dyDescent="0.25">
      <c r="A785" s="65" t="str">
        <f t="shared" si="11"/>
        <v/>
      </c>
      <c r="F785" s="95" t="str">
        <f>IFERROR(VLOOKUP(B785,tblPeople[],14,FALSE),"")</f>
        <v/>
      </c>
      <c r="G785" s="11"/>
      <c r="H785" s="67"/>
      <c r="I785" s="11"/>
      <c r="J785" s="11"/>
      <c r="K785" s="11"/>
      <c r="L785" s="11"/>
      <c r="M785" s="11"/>
      <c r="N785" s="11"/>
      <c r="O785" s="67"/>
      <c r="P785" s="11"/>
    </row>
    <row r="786" spans="1:16" x14ac:dyDescent="0.25">
      <c r="A786" s="65" t="str">
        <f t="shared" ref="A786:A849" si="12">IF(B786=ISBLANK(""),"",A785+1)</f>
        <v/>
      </c>
      <c r="F786" s="95" t="str">
        <f>IFERROR(VLOOKUP(B786,tblPeople[],14,FALSE),"")</f>
        <v/>
      </c>
      <c r="G786" s="11"/>
      <c r="H786" s="67"/>
      <c r="I786" s="11"/>
      <c r="J786" s="11"/>
      <c r="K786" s="11"/>
      <c r="L786" s="11"/>
      <c r="M786" s="11"/>
      <c r="N786" s="11"/>
      <c r="O786" s="67"/>
      <c r="P786" s="11"/>
    </row>
    <row r="787" spans="1:16" x14ac:dyDescent="0.25">
      <c r="A787" s="65" t="str">
        <f t="shared" si="12"/>
        <v/>
      </c>
      <c r="F787" s="95" t="str">
        <f>IFERROR(VLOOKUP(B787,tblPeople[],14,FALSE),"")</f>
        <v/>
      </c>
      <c r="G787" s="11"/>
      <c r="H787" s="67"/>
      <c r="I787" s="11"/>
      <c r="J787" s="11"/>
      <c r="K787" s="11"/>
      <c r="L787" s="11"/>
      <c r="M787" s="11"/>
      <c r="N787" s="11"/>
      <c r="O787" s="67"/>
      <c r="P787" s="11"/>
    </row>
    <row r="788" spans="1:16" x14ac:dyDescent="0.25">
      <c r="A788" s="65" t="str">
        <f t="shared" si="12"/>
        <v/>
      </c>
      <c r="F788" s="95" t="str">
        <f>IFERROR(VLOOKUP(B788,tblPeople[],14,FALSE),"")</f>
        <v/>
      </c>
      <c r="G788" s="11"/>
      <c r="H788" s="67"/>
      <c r="I788" s="11"/>
      <c r="J788" s="11"/>
      <c r="K788" s="11"/>
      <c r="L788" s="11"/>
      <c r="M788" s="11"/>
      <c r="N788" s="11"/>
      <c r="O788" s="67"/>
      <c r="P788" s="11"/>
    </row>
    <row r="789" spans="1:16" x14ac:dyDescent="0.25">
      <c r="A789" s="65" t="str">
        <f t="shared" si="12"/>
        <v/>
      </c>
      <c r="F789" s="95" t="str">
        <f>IFERROR(VLOOKUP(B789,tblPeople[],14,FALSE),"")</f>
        <v/>
      </c>
      <c r="G789" s="11"/>
      <c r="H789" s="67"/>
      <c r="I789" s="11"/>
      <c r="J789" s="11"/>
      <c r="K789" s="11"/>
      <c r="L789" s="11"/>
      <c r="M789" s="11"/>
      <c r="N789" s="11"/>
      <c r="O789" s="67"/>
      <c r="P789" s="11"/>
    </row>
    <row r="790" spans="1:16" x14ac:dyDescent="0.25">
      <c r="A790" s="65" t="str">
        <f t="shared" si="12"/>
        <v/>
      </c>
      <c r="F790" s="95" t="str">
        <f>IFERROR(VLOOKUP(B790,tblPeople[],14,FALSE),"")</f>
        <v/>
      </c>
      <c r="G790" s="11"/>
      <c r="H790" s="67"/>
      <c r="I790" s="11"/>
      <c r="J790" s="11"/>
      <c r="K790" s="11"/>
      <c r="L790" s="11"/>
      <c r="M790" s="11"/>
      <c r="N790" s="11"/>
      <c r="O790" s="67"/>
      <c r="P790" s="11"/>
    </row>
    <row r="791" spans="1:16" x14ac:dyDescent="0.25">
      <c r="A791" s="65" t="str">
        <f t="shared" si="12"/>
        <v/>
      </c>
      <c r="F791" s="95" t="str">
        <f>IFERROR(VLOOKUP(B791,tblPeople[],14,FALSE),"")</f>
        <v/>
      </c>
      <c r="G791" s="11"/>
      <c r="H791" s="67"/>
      <c r="I791" s="11"/>
      <c r="J791" s="11"/>
      <c r="K791" s="11"/>
      <c r="L791" s="11"/>
      <c r="M791" s="11"/>
      <c r="N791" s="11"/>
      <c r="O791" s="67"/>
      <c r="P791" s="11"/>
    </row>
    <row r="792" spans="1:16" x14ac:dyDescent="0.25">
      <c r="A792" s="65" t="str">
        <f t="shared" si="12"/>
        <v/>
      </c>
      <c r="F792" s="95" t="str">
        <f>IFERROR(VLOOKUP(B792,tblPeople[],14,FALSE),"")</f>
        <v/>
      </c>
      <c r="G792" s="11"/>
      <c r="H792" s="67"/>
      <c r="I792" s="11"/>
      <c r="J792" s="11"/>
      <c r="K792" s="11"/>
      <c r="L792" s="11"/>
      <c r="M792" s="11"/>
      <c r="N792" s="11"/>
      <c r="O792" s="67"/>
      <c r="P792" s="11"/>
    </row>
    <row r="793" spans="1:16" x14ac:dyDescent="0.25">
      <c r="A793" s="65" t="str">
        <f t="shared" si="12"/>
        <v/>
      </c>
      <c r="F793" s="95" t="str">
        <f>IFERROR(VLOOKUP(B793,tblPeople[],14,FALSE),"")</f>
        <v/>
      </c>
      <c r="G793" s="11"/>
      <c r="H793" s="67"/>
      <c r="I793" s="11"/>
      <c r="J793" s="11"/>
      <c r="K793" s="11"/>
      <c r="L793" s="11"/>
      <c r="M793" s="11"/>
      <c r="N793" s="11"/>
      <c r="O793" s="67"/>
      <c r="P793" s="11"/>
    </row>
    <row r="794" spans="1:16" x14ac:dyDescent="0.25">
      <c r="A794" s="65" t="str">
        <f t="shared" si="12"/>
        <v/>
      </c>
      <c r="F794" s="95" t="str">
        <f>IFERROR(VLOOKUP(B794,tblPeople[],14,FALSE),"")</f>
        <v/>
      </c>
      <c r="G794" s="11"/>
      <c r="H794" s="67"/>
      <c r="I794" s="11"/>
      <c r="J794" s="11"/>
      <c r="K794" s="11"/>
      <c r="L794" s="11"/>
      <c r="M794" s="11"/>
      <c r="N794" s="11"/>
      <c r="O794" s="67"/>
      <c r="P794" s="11"/>
    </row>
    <row r="795" spans="1:16" x14ac:dyDescent="0.25">
      <c r="A795" s="65" t="str">
        <f t="shared" si="12"/>
        <v/>
      </c>
      <c r="F795" s="95" t="str">
        <f>IFERROR(VLOOKUP(B795,tblPeople[],14,FALSE),"")</f>
        <v/>
      </c>
      <c r="G795" s="11"/>
      <c r="H795" s="67"/>
      <c r="I795" s="11"/>
      <c r="J795" s="11"/>
      <c r="K795" s="11"/>
      <c r="L795" s="11"/>
      <c r="M795" s="11"/>
      <c r="N795" s="11"/>
      <c r="O795" s="67"/>
      <c r="P795" s="11"/>
    </row>
    <row r="796" spans="1:16" x14ac:dyDescent="0.25">
      <c r="A796" s="65" t="str">
        <f t="shared" si="12"/>
        <v/>
      </c>
      <c r="F796" s="95" t="str">
        <f>IFERROR(VLOOKUP(B796,tblPeople[],14,FALSE),"")</f>
        <v/>
      </c>
      <c r="G796" s="11"/>
      <c r="H796" s="67"/>
      <c r="I796" s="11"/>
      <c r="J796" s="11"/>
      <c r="K796" s="11"/>
      <c r="L796" s="11"/>
      <c r="M796" s="11"/>
      <c r="N796" s="11"/>
      <c r="O796" s="67"/>
      <c r="P796" s="11"/>
    </row>
    <row r="797" spans="1:16" x14ac:dyDescent="0.25">
      <c r="A797" s="65" t="str">
        <f t="shared" si="12"/>
        <v/>
      </c>
      <c r="F797" s="95" t="str">
        <f>IFERROR(VLOOKUP(B797,tblPeople[],14,FALSE),"")</f>
        <v/>
      </c>
      <c r="G797" s="11"/>
      <c r="H797" s="67"/>
      <c r="I797" s="11"/>
      <c r="J797" s="11"/>
      <c r="K797" s="11"/>
      <c r="L797" s="11"/>
      <c r="M797" s="11"/>
      <c r="N797" s="11"/>
      <c r="O797" s="67"/>
      <c r="P797" s="11"/>
    </row>
    <row r="798" spans="1:16" x14ac:dyDescent="0.25">
      <c r="A798" s="65" t="str">
        <f t="shared" si="12"/>
        <v/>
      </c>
      <c r="F798" s="95" t="str">
        <f>IFERROR(VLOOKUP(B798,tblPeople[],14,FALSE),"")</f>
        <v/>
      </c>
      <c r="G798" s="11"/>
      <c r="H798" s="67"/>
      <c r="I798" s="11"/>
      <c r="J798" s="11"/>
      <c r="K798" s="11"/>
      <c r="L798" s="11"/>
      <c r="M798" s="11"/>
      <c r="N798" s="11"/>
      <c r="O798" s="67"/>
      <c r="P798" s="11"/>
    </row>
    <row r="799" spans="1:16" x14ac:dyDescent="0.25">
      <c r="A799" s="65" t="str">
        <f t="shared" si="12"/>
        <v/>
      </c>
      <c r="F799" s="95" t="str">
        <f>IFERROR(VLOOKUP(B799,tblPeople[],14,FALSE),"")</f>
        <v/>
      </c>
      <c r="G799" s="11"/>
      <c r="H799" s="67"/>
      <c r="I799" s="11"/>
      <c r="J799" s="11"/>
      <c r="K799" s="11"/>
      <c r="L799" s="11"/>
      <c r="M799" s="11"/>
      <c r="N799" s="11"/>
      <c r="O799" s="67"/>
      <c r="P799" s="11"/>
    </row>
    <row r="800" spans="1:16" x14ac:dyDescent="0.25">
      <c r="A800" s="65" t="str">
        <f t="shared" si="12"/>
        <v/>
      </c>
      <c r="F800" s="95" t="str">
        <f>IFERROR(VLOOKUP(B800,tblPeople[],14,FALSE),"")</f>
        <v/>
      </c>
      <c r="G800" s="11"/>
      <c r="H800" s="67"/>
      <c r="I800" s="11"/>
      <c r="J800" s="11"/>
      <c r="K800" s="11"/>
      <c r="L800" s="11"/>
      <c r="M800" s="11"/>
      <c r="N800" s="11"/>
      <c r="O800" s="67"/>
      <c r="P800" s="11"/>
    </row>
    <row r="801" spans="1:16" x14ac:dyDescent="0.25">
      <c r="A801" s="65" t="str">
        <f t="shared" si="12"/>
        <v/>
      </c>
      <c r="F801" s="95" t="str">
        <f>IFERROR(VLOOKUP(B801,tblPeople[],14,FALSE),"")</f>
        <v/>
      </c>
      <c r="G801" s="11"/>
      <c r="H801" s="67"/>
      <c r="I801" s="11"/>
      <c r="J801" s="11"/>
      <c r="K801" s="11"/>
      <c r="L801" s="11"/>
      <c r="M801" s="11"/>
      <c r="N801" s="11"/>
      <c r="O801" s="67"/>
      <c r="P801" s="11"/>
    </row>
    <row r="802" spans="1:16" x14ac:dyDescent="0.25">
      <c r="A802" s="65" t="str">
        <f t="shared" si="12"/>
        <v/>
      </c>
      <c r="F802" s="95" t="str">
        <f>IFERROR(VLOOKUP(B802,tblPeople[],14,FALSE),"")</f>
        <v/>
      </c>
      <c r="G802" s="11"/>
      <c r="H802" s="67"/>
      <c r="I802" s="11"/>
      <c r="J802" s="11"/>
      <c r="K802" s="11"/>
      <c r="L802" s="11"/>
      <c r="M802" s="11"/>
      <c r="N802" s="11"/>
      <c r="O802" s="67"/>
      <c r="P802" s="11"/>
    </row>
    <row r="803" spans="1:16" x14ac:dyDescent="0.25">
      <c r="A803" s="65" t="str">
        <f t="shared" si="12"/>
        <v/>
      </c>
      <c r="F803" s="95" t="str">
        <f>IFERROR(VLOOKUP(B803,tblPeople[],14,FALSE),"")</f>
        <v/>
      </c>
      <c r="G803" s="11"/>
      <c r="H803" s="67"/>
      <c r="I803" s="11"/>
      <c r="J803" s="11"/>
      <c r="K803" s="11"/>
      <c r="L803" s="11"/>
      <c r="M803" s="11"/>
      <c r="N803" s="11"/>
      <c r="O803" s="67"/>
      <c r="P803" s="11"/>
    </row>
    <row r="804" spans="1:16" x14ac:dyDescent="0.25">
      <c r="A804" s="65" t="str">
        <f t="shared" si="12"/>
        <v/>
      </c>
      <c r="F804" s="95" t="str">
        <f>IFERROR(VLOOKUP(B804,tblPeople[],14,FALSE),"")</f>
        <v/>
      </c>
      <c r="G804" s="11"/>
      <c r="H804" s="67"/>
      <c r="I804" s="11"/>
      <c r="J804" s="11"/>
      <c r="K804" s="11"/>
      <c r="L804" s="11"/>
      <c r="M804" s="11"/>
      <c r="N804" s="11"/>
      <c r="O804" s="67"/>
      <c r="P804" s="11"/>
    </row>
    <row r="805" spans="1:16" x14ac:dyDescent="0.25">
      <c r="A805" s="65" t="str">
        <f t="shared" si="12"/>
        <v/>
      </c>
      <c r="F805" s="95" t="str">
        <f>IFERROR(VLOOKUP(B805,tblPeople[],14,FALSE),"")</f>
        <v/>
      </c>
      <c r="G805" s="11"/>
      <c r="H805" s="67"/>
      <c r="I805" s="11"/>
      <c r="J805" s="11"/>
      <c r="K805" s="11"/>
      <c r="L805" s="11"/>
      <c r="M805" s="11"/>
      <c r="N805" s="11"/>
      <c r="O805" s="67"/>
      <c r="P805" s="11"/>
    </row>
    <row r="806" spans="1:16" x14ac:dyDescent="0.25">
      <c r="A806" s="65" t="str">
        <f t="shared" si="12"/>
        <v/>
      </c>
      <c r="F806" s="95" t="str">
        <f>IFERROR(VLOOKUP(B806,tblPeople[],14,FALSE),"")</f>
        <v/>
      </c>
      <c r="G806" s="11"/>
      <c r="H806" s="67"/>
      <c r="I806" s="11"/>
      <c r="J806" s="11"/>
      <c r="K806" s="11"/>
      <c r="L806" s="11"/>
      <c r="M806" s="11"/>
      <c r="N806" s="11"/>
      <c r="O806" s="67"/>
      <c r="P806" s="11"/>
    </row>
    <row r="807" spans="1:16" x14ac:dyDescent="0.25">
      <c r="A807" s="65" t="str">
        <f t="shared" si="12"/>
        <v/>
      </c>
      <c r="F807" s="95" t="str">
        <f>IFERROR(VLOOKUP(B807,tblPeople[],14,FALSE),"")</f>
        <v/>
      </c>
      <c r="G807" s="11"/>
      <c r="H807" s="67"/>
      <c r="I807" s="11"/>
      <c r="J807" s="11"/>
      <c r="K807" s="11"/>
      <c r="L807" s="11"/>
      <c r="M807" s="11"/>
      <c r="N807" s="11"/>
      <c r="O807" s="67"/>
      <c r="P807" s="11"/>
    </row>
    <row r="808" spans="1:16" x14ac:dyDescent="0.25">
      <c r="A808" s="65" t="str">
        <f t="shared" si="12"/>
        <v/>
      </c>
      <c r="F808" s="95" t="str">
        <f>IFERROR(VLOOKUP(B808,tblPeople[],14,FALSE),"")</f>
        <v/>
      </c>
      <c r="G808" s="11"/>
      <c r="H808" s="67"/>
      <c r="I808" s="11"/>
      <c r="J808" s="11"/>
      <c r="K808" s="11"/>
      <c r="L808" s="11"/>
      <c r="M808" s="11"/>
      <c r="N808" s="11"/>
      <c r="O808" s="67"/>
      <c r="P808" s="11"/>
    </row>
    <row r="809" spans="1:16" x14ac:dyDescent="0.25">
      <c r="A809" s="65" t="str">
        <f t="shared" si="12"/>
        <v/>
      </c>
      <c r="F809" s="95" t="str">
        <f>IFERROR(VLOOKUP(B809,tblPeople[],14,FALSE),"")</f>
        <v/>
      </c>
      <c r="G809" s="11"/>
      <c r="H809" s="67"/>
      <c r="I809" s="11"/>
      <c r="J809" s="11"/>
      <c r="K809" s="11"/>
      <c r="L809" s="11"/>
      <c r="M809" s="11"/>
      <c r="N809" s="11"/>
      <c r="O809" s="67"/>
      <c r="P809" s="11"/>
    </row>
    <row r="810" spans="1:16" x14ac:dyDescent="0.25">
      <c r="A810" s="65" t="str">
        <f t="shared" si="12"/>
        <v/>
      </c>
      <c r="F810" s="95" t="str">
        <f>IFERROR(VLOOKUP(B810,tblPeople[],14,FALSE),"")</f>
        <v/>
      </c>
      <c r="G810" s="11"/>
      <c r="H810" s="67"/>
      <c r="I810" s="11"/>
      <c r="J810" s="11"/>
      <c r="K810" s="11"/>
      <c r="L810" s="11"/>
      <c r="M810" s="11"/>
      <c r="N810" s="11"/>
      <c r="O810" s="67"/>
      <c r="P810" s="11"/>
    </row>
    <row r="811" spans="1:16" x14ac:dyDescent="0.25">
      <c r="A811" s="65" t="str">
        <f t="shared" si="12"/>
        <v/>
      </c>
      <c r="F811" s="95" t="str">
        <f>IFERROR(VLOOKUP(B811,tblPeople[],14,FALSE),"")</f>
        <v/>
      </c>
      <c r="G811" s="11"/>
      <c r="H811" s="67"/>
      <c r="I811" s="11"/>
      <c r="J811" s="11"/>
      <c r="K811" s="11"/>
      <c r="L811" s="11"/>
      <c r="M811" s="11"/>
      <c r="N811" s="11"/>
      <c r="O811" s="67"/>
      <c r="P811" s="11"/>
    </row>
    <row r="812" spans="1:16" x14ac:dyDescent="0.25">
      <c r="A812" s="65" t="str">
        <f t="shared" si="12"/>
        <v/>
      </c>
      <c r="F812" s="95" t="str">
        <f>IFERROR(VLOOKUP(B812,tblPeople[],14,FALSE),"")</f>
        <v/>
      </c>
      <c r="G812" s="11"/>
      <c r="H812" s="67"/>
      <c r="I812" s="11"/>
      <c r="J812" s="11"/>
      <c r="K812" s="11"/>
      <c r="L812" s="11"/>
      <c r="M812" s="11"/>
      <c r="N812" s="11"/>
      <c r="O812" s="67"/>
      <c r="P812" s="11"/>
    </row>
    <row r="813" spans="1:16" x14ac:dyDescent="0.25">
      <c r="A813" s="65" t="str">
        <f t="shared" si="12"/>
        <v/>
      </c>
      <c r="F813" s="95" t="str">
        <f>IFERROR(VLOOKUP(B813,tblPeople[],14,FALSE),"")</f>
        <v/>
      </c>
      <c r="G813" s="11"/>
      <c r="H813" s="67"/>
      <c r="I813" s="11"/>
      <c r="J813" s="11"/>
      <c r="K813" s="11"/>
      <c r="L813" s="11"/>
      <c r="M813" s="11"/>
      <c r="N813" s="11"/>
      <c r="O813" s="67"/>
      <c r="P813" s="11"/>
    </row>
    <row r="814" spans="1:16" x14ac:dyDescent="0.25">
      <c r="A814" s="65" t="str">
        <f t="shared" si="12"/>
        <v/>
      </c>
      <c r="F814" s="95" t="str">
        <f>IFERROR(VLOOKUP(B814,tblPeople[],14,FALSE),"")</f>
        <v/>
      </c>
      <c r="G814" s="11"/>
      <c r="H814" s="67"/>
      <c r="I814" s="11"/>
      <c r="J814" s="11"/>
      <c r="K814" s="11"/>
      <c r="L814" s="11"/>
      <c r="M814" s="11"/>
      <c r="N814" s="11"/>
      <c r="O814" s="67"/>
      <c r="P814" s="11"/>
    </row>
    <row r="815" spans="1:16" x14ac:dyDescent="0.25">
      <c r="A815" s="65" t="str">
        <f t="shared" si="12"/>
        <v/>
      </c>
      <c r="F815" s="95" t="str">
        <f>IFERROR(VLOOKUP(B815,tblPeople[],14,FALSE),"")</f>
        <v/>
      </c>
      <c r="G815" s="11"/>
      <c r="H815" s="67"/>
      <c r="I815" s="11"/>
      <c r="J815" s="11"/>
      <c r="K815" s="11"/>
      <c r="L815" s="11"/>
      <c r="M815" s="11"/>
      <c r="N815" s="11"/>
      <c r="O815" s="67"/>
      <c r="P815" s="11"/>
    </row>
    <row r="816" spans="1:16" x14ac:dyDescent="0.25">
      <c r="A816" s="65" t="str">
        <f t="shared" si="12"/>
        <v/>
      </c>
      <c r="F816" s="95" t="str">
        <f>IFERROR(VLOOKUP(B816,tblPeople[],14,FALSE),"")</f>
        <v/>
      </c>
      <c r="G816" s="11"/>
      <c r="H816" s="67"/>
      <c r="I816" s="11"/>
      <c r="J816" s="11"/>
      <c r="K816" s="11"/>
      <c r="L816" s="11"/>
      <c r="M816" s="11"/>
      <c r="N816" s="11"/>
      <c r="O816" s="67"/>
      <c r="P816" s="11"/>
    </row>
    <row r="817" spans="1:16" x14ac:dyDescent="0.25">
      <c r="A817" s="65" t="str">
        <f t="shared" si="12"/>
        <v/>
      </c>
      <c r="F817" s="95" t="str">
        <f>IFERROR(VLOOKUP(B817,tblPeople[],14,FALSE),"")</f>
        <v/>
      </c>
      <c r="G817" s="11"/>
      <c r="H817" s="67"/>
      <c r="I817" s="11"/>
      <c r="J817" s="11"/>
      <c r="K817" s="11"/>
      <c r="L817" s="11"/>
      <c r="M817" s="11"/>
      <c r="N817" s="11"/>
      <c r="O817" s="67"/>
      <c r="P817" s="11"/>
    </row>
    <row r="818" spans="1:16" x14ac:dyDescent="0.25">
      <c r="A818" s="65" t="str">
        <f t="shared" si="12"/>
        <v/>
      </c>
      <c r="F818" s="95" t="str">
        <f>IFERROR(VLOOKUP(B818,tblPeople[],14,FALSE),"")</f>
        <v/>
      </c>
      <c r="G818" s="11"/>
      <c r="H818" s="67"/>
      <c r="I818" s="11"/>
      <c r="J818" s="11"/>
      <c r="K818" s="11"/>
      <c r="L818" s="11"/>
      <c r="M818" s="11"/>
      <c r="N818" s="11"/>
      <c r="O818" s="67"/>
      <c r="P818" s="11"/>
    </row>
    <row r="819" spans="1:16" x14ac:dyDescent="0.25">
      <c r="A819" s="65" t="str">
        <f t="shared" si="12"/>
        <v/>
      </c>
      <c r="F819" s="95" t="str">
        <f>IFERROR(VLOOKUP(B819,tblPeople[],14,FALSE),"")</f>
        <v/>
      </c>
      <c r="G819" s="11"/>
      <c r="H819" s="67"/>
      <c r="I819" s="11"/>
      <c r="J819" s="11"/>
      <c r="K819" s="11"/>
      <c r="L819" s="11"/>
      <c r="M819" s="11"/>
      <c r="N819" s="11"/>
      <c r="O819" s="67"/>
      <c r="P819" s="11"/>
    </row>
    <row r="820" spans="1:16" x14ac:dyDescent="0.25">
      <c r="A820" s="65" t="str">
        <f t="shared" si="12"/>
        <v/>
      </c>
      <c r="F820" s="95" t="str">
        <f>IFERROR(VLOOKUP(B820,tblPeople[],14,FALSE),"")</f>
        <v/>
      </c>
      <c r="G820" s="11"/>
      <c r="H820" s="67"/>
      <c r="I820" s="11"/>
      <c r="J820" s="11"/>
      <c r="K820" s="11"/>
      <c r="L820" s="11"/>
      <c r="M820" s="11"/>
      <c r="N820" s="11"/>
      <c r="O820" s="67"/>
      <c r="P820" s="11"/>
    </row>
    <row r="821" spans="1:16" x14ac:dyDescent="0.25">
      <c r="A821" s="65" t="str">
        <f t="shared" si="12"/>
        <v/>
      </c>
      <c r="F821" s="95" t="str">
        <f>IFERROR(VLOOKUP(B821,tblPeople[],14,FALSE),"")</f>
        <v/>
      </c>
      <c r="G821" s="11"/>
      <c r="H821" s="67"/>
      <c r="I821" s="11"/>
      <c r="J821" s="11"/>
      <c r="K821" s="11"/>
      <c r="L821" s="11"/>
      <c r="M821" s="11"/>
      <c r="N821" s="11"/>
      <c r="O821" s="67"/>
      <c r="P821" s="11"/>
    </row>
    <row r="822" spans="1:16" x14ac:dyDescent="0.25">
      <c r="A822" s="65" t="str">
        <f t="shared" si="12"/>
        <v/>
      </c>
      <c r="F822" s="95" t="str">
        <f>IFERROR(VLOOKUP(B822,tblPeople[],14,FALSE),"")</f>
        <v/>
      </c>
      <c r="G822" s="11"/>
      <c r="H822" s="67"/>
      <c r="I822" s="11"/>
      <c r="J822" s="11"/>
      <c r="K822" s="11"/>
      <c r="L822" s="11"/>
      <c r="M822" s="11"/>
      <c r="N822" s="11"/>
      <c r="O822" s="67"/>
      <c r="P822" s="11"/>
    </row>
    <row r="823" spans="1:16" x14ac:dyDescent="0.25">
      <c r="A823" s="65" t="str">
        <f t="shared" si="12"/>
        <v/>
      </c>
      <c r="F823" s="95" t="str">
        <f>IFERROR(VLOOKUP(B823,tblPeople[],14,FALSE),"")</f>
        <v/>
      </c>
      <c r="G823" s="11"/>
      <c r="H823" s="67"/>
      <c r="I823" s="11"/>
      <c r="J823" s="11"/>
      <c r="K823" s="11"/>
      <c r="L823" s="11"/>
      <c r="M823" s="11"/>
      <c r="N823" s="11"/>
      <c r="O823" s="67"/>
      <c r="P823" s="11"/>
    </row>
    <row r="824" spans="1:16" x14ac:dyDescent="0.25">
      <c r="A824" s="65" t="str">
        <f t="shared" si="12"/>
        <v/>
      </c>
      <c r="F824" s="95" t="str">
        <f>IFERROR(VLOOKUP(B824,tblPeople[],14,FALSE),"")</f>
        <v/>
      </c>
      <c r="G824" s="11"/>
      <c r="H824" s="67"/>
      <c r="I824" s="11"/>
      <c r="J824" s="11"/>
      <c r="K824" s="11"/>
      <c r="L824" s="11"/>
      <c r="M824" s="11"/>
      <c r="N824" s="11"/>
      <c r="O824" s="67"/>
      <c r="P824" s="11"/>
    </row>
    <row r="825" spans="1:16" x14ac:dyDescent="0.25">
      <c r="A825" s="65" t="str">
        <f t="shared" si="12"/>
        <v/>
      </c>
      <c r="F825" s="95" t="str">
        <f>IFERROR(VLOOKUP(B825,tblPeople[],14,FALSE),"")</f>
        <v/>
      </c>
      <c r="G825" s="11"/>
      <c r="H825" s="67"/>
      <c r="I825" s="11"/>
      <c r="J825" s="11"/>
      <c r="K825" s="11"/>
      <c r="L825" s="11"/>
      <c r="M825" s="11"/>
      <c r="N825" s="11"/>
      <c r="O825" s="67"/>
      <c r="P825" s="11"/>
    </row>
    <row r="826" spans="1:16" x14ac:dyDescent="0.25">
      <c r="A826" s="65" t="str">
        <f t="shared" si="12"/>
        <v/>
      </c>
      <c r="F826" s="95" t="str">
        <f>IFERROR(VLOOKUP(B826,tblPeople[],14,FALSE),"")</f>
        <v/>
      </c>
      <c r="G826" s="11"/>
      <c r="H826" s="67"/>
      <c r="I826" s="11"/>
      <c r="J826" s="11"/>
      <c r="K826" s="11"/>
      <c r="L826" s="11"/>
      <c r="M826" s="11"/>
      <c r="N826" s="11"/>
      <c r="O826" s="67"/>
      <c r="P826" s="11"/>
    </row>
    <row r="827" spans="1:16" x14ac:dyDescent="0.25">
      <c r="A827" s="65" t="str">
        <f t="shared" si="12"/>
        <v/>
      </c>
      <c r="F827" s="95" t="str">
        <f>IFERROR(VLOOKUP(B827,tblPeople[],14,FALSE),"")</f>
        <v/>
      </c>
      <c r="G827" s="11"/>
      <c r="H827" s="67"/>
      <c r="I827" s="11"/>
      <c r="J827" s="11"/>
      <c r="K827" s="11"/>
      <c r="L827" s="11"/>
      <c r="M827" s="11"/>
      <c r="N827" s="11"/>
      <c r="O827" s="67"/>
      <c r="P827" s="11"/>
    </row>
    <row r="828" spans="1:16" x14ac:dyDescent="0.25">
      <c r="A828" s="65" t="str">
        <f t="shared" si="12"/>
        <v/>
      </c>
      <c r="F828" s="95" t="str">
        <f>IFERROR(VLOOKUP(B828,tblPeople[],14,FALSE),"")</f>
        <v/>
      </c>
      <c r="G828" s="11"/>
      <c r="H828" s="67"/>
      <c r="I828" s="11"/>
      <c r="J828" s="11"/>
      <c r="K828" s="11"/>
      <c r="L828" s="11"/>
      <c r="M828" s="11"/>
      <c r="N828" s="11"/>
      <c r="O828" s="67"/>
      <c r="P828" s="11"/>
    </row>
    <row r="829" spans="1:16" x14ac:dyDescent="0.25">
      <c r="A829" s="65" t="str">
        <f t="shared" si="12"/>
        <v/>
      </c>
      <c r="F829" s="95" t="str">
        <f>IFERROR(VLOOKUP(B829,tblPeople[],14,FALSE),"")</f>
        <v/>
      </c>
      <c r="G829" s="11"/>
      <c r="H829" s="67"/>
      <c r="I829" s="11"/>
      <c r="J829" s="11"/>
      <c r="K829" s="11"/>
      <c r="L829" s="11"/>
      <c r="M829" s="11"/>
      <c r="N829" s="11"/>
      <c r="O829" s="67"/>
      <c r="P829" s="11"/>
    </row>
    <row r="830" spans="1:16" x14ac:dyDescent="0.25">
      <c r="A830" s="65" t="str">
        <f t="shared" si="12"/>
        <v/>
      </c>
      <c r="F830" s="95" t="str">
        <f>IFERROR(VLOOKUP(B830,tblPeople[],14,FALSE),"")</f>
        <v/>
      </c>
      <c r="G830" s="11"/>
      <c r="H830" s="67"/>
      <c r="I830" s="11"/>
      <c r="J830" s="11"/>
      <c r="K830" s="11"/>
      <c r="L830" s="11"/>
      <c r="M830" s="11"/>
      <c r="N830" s="11"/>
      <c r="O830" s="67"/>
      <c r="P830" s="11"/>
    </row>
    <row r="831" spans="1:16" x14ac:dyDescent="0.25">
      <c r="A831" s="65" t="str">
        <f t="shared" si="12"/>
        <v/>
      </c>
      <c r="F831" s="95" t="str">
        <f>IFERROR(VLOOKUP(B831,tblPeople[],14,FALSE),"")</f>
        <v/>
      </c>
      <c r="G831" s="11"/>
      <c r="H831" s="67"/>
      <c r="I831" s="11"/>
      <c r="J831" s="11"/>
      <c r="K831" s="11"/>
      <c r="L831" s="11"/>
      <c r="M831" s="11"/>
      <c r="N831" s="11"/>
      <c r="O831" s="67"/>
      <c r="P831" s="11"/>
    </row>
    <row r="832" spans="1:16" x14ac:dyDescent="0.25">
      <c r="A832" s="65" t="str">
        <f t="shared" si="12"/>
        <v/>
      </c>
      <c r="F832" s="95" t="str">
        <f>IFERROR(VLOOKUP(B832,tblPeople[],14,FALSE),"")</f>
        <v/>
      </c>
      <c r="G832" s="11"/>
      <c r="H832" s="67"/>
      <c r="I832" s="11"/>
      <c r="J832" s="11"/>
      <c r="K832" s="11"/>
      <c r="L832" s="11"/>
      <c r="M832" s="11"/>
      <c r="N832" s="11"/>
      <c r="O832" s="67"/>
      <c r="P832" s="11"/>
    </row>
    <row r="833" spans="1:16" x14ac:dyDescent="0.25">
      <c r="A833" s="65" t="str">
        <f t="shared" si="12"/>
        <v/>
      </c>
      <c r="F833" s="95" t="str">
        <f>IFERROR(VLOOKUP(B833,tblPeople[],14,FALSE),"")</f>
        <v/>
      </c>
      <c r="G833" s="11"/>
      <c r="H833" s="67"/>
      <c r="I833" s="11"/>
      <c r="J833" s="11"/>
      <c r="K833" s="11"/>
      <c r="L833" s="11"/>
      <c r="M833" s="11"/>
      <c r="N833" s="11"/>
      <c r="O833" s="67"/>
      <c r="P833" s="11"/>
    </row>
    <row r="834" spans="1:16" x14ac:dyDescent="0.25">
      <c r="A834" s="65" t="str">
        <f t="shared" si="12"/>
        <v/>
      </c>
      <c r="F834" s="95" t="str">
        <f>IFERROR(VLOOKUP(B834,tblPeople[],14,FALSE),"")</f>
        <v/>
      </c>
      <c r="G834" s="11"/>
      <c r="H834" s="67"/>
      <c r="I834" s="11"/>
      <c r="J834" s="11"/>
      <c r="K834" s="11"/>
      <c r="L834" s="11"/>
      <c r="M834" s="11"/>
      <c r="N834" s="11"/>
      <c r="O834" s="67"/>
      <c r="P834" s="11"/>
    </row>
    <row r="835" spans="1:16" x14ac:dyDescent="0.25">
      <c r="A835" s="65" t="str">
        <f t="shared" si="12"/>
        <v/>
      </c>
      <c r="F835" s="95" t="str">
        <f>IFERROR(VLOOKUP(B835,tblPeople[],14,FALSE),"")</f>
        <v/>
      </c>
      <c r="G835" s="11"/>
      <c r="H835" s="67"/>
      <c r="I835" s="11"/>
      <c r="J835" s="11"/>
      <c r="K835" s="11"/>
      <c r="L835" s="11"/>
      <c r="M835" s="11"/>
      <c r="N835" s="11"/>
      <c r="O835" s="67"/>
      <c r="P835" s="11"/>
    </row>
    <row r="836" spans="1:16" x14ac:dyDescent="0.25">
      <c r="A836" s="65" t="str">
        <f t="shared" si="12"/>
        <v/>
      </c>
      <c r="F836" s="95" t="str">
        <f>IFERROR(VLOOKUP(B836,tblPeople[],14,FALSE),"")</f>
        <v/>
      </c>
      <c r="G836" s="11"/>
      <c r="H836" s="67"/>
      <c r="I836" s="11"/>
      <c r="J836" s="11"/>
      <c r="K836" s="11"/>
      <c r="L836" s="11"/>
      <c r="M836" s="11"/>
      <c r="N836" s="11"/>
      <c r="O836" s="67"/>
      <c r="P836" s="11"/>
    </row>
    <row r="837" spans="1:16" x14ac:dyDescent="0.25">
      <c r="A837" s="65" t="str">
        <f t="shared" si="12"/>
        <v/>
      </c>
      <c r="F837" s="95" t="str">
        <f>IFERROR(VLOOKUP(B837,tblPeople[],14,FALSE),"")</f>
        <v/>
      </c>
      <c r="G837" s="11"/>
      <c r="H837" s="67"/>
      <c r="I837" s="11"/>
      <c r="J837" s="11"/>
      <c r="K837" s="11"/>
      <c r="L837" s="11"/>
      <c r="M837" s="11"/>
      <c r="N837" s="11"/>
      <c r="O837" s="67"/>
      <c r="P837" s="11"/>
    </row>
    <row r="838" spans="1:16" x14ac:dyDescent="0.25">
      <c r="A838" s="65" t="str">
        <f t="shared" si="12"/>
        <v/>
      </c>
      <c r="F838" s="95" t="str">
        <f>IFERROR(VLOOKUP(B838,tblPeople[],14,FALSE),"")</f>
        <v/>
      </c>
      <c r="G838" s="11"/>
      <c r="H838" s="67"/>
      <c r="I838" s="11"/>
      <c r="J838" s="11"/>
      <c r="K838" s="11"/>
      <c r="L838" s="11"/>
      <c r="M838" s="11"/>
      <c r="N838" s="11"/>
      <c r="O838" s="67"/>
      <c r="P838" s="11"/>
    </row>
    <row r="839" spans="1:16" x14ac:dyDescent="0.25">
      <c r="A839" s="65" t="str">
        <f t="shared" si="12"/>
        <v/>
      </c>
      <c r="F839" s="95" t="str">
        <f>IFERROR(VLOOKUP(B839,tblPeople[],14,FALSE),"")</f>
        <v/>
      </c>
      <c r="G839" s="11"/>
      <c r="H839" s="67"/>
      <c r="I839" s="11"/>
      <c r="J839" s="11"/>
      <c r="K839" s="11"/>
      <c r="L839" s="11"/>
      <c r="M839" s="11"/>
      <c r="N839" s="11"/>
      <c r="O839" s="67"/>
      <c r="P839" s="11"/>
    </row>
    <row r="840" spans="1:16" x14ac:dyDescent="0.25">
      <c r="A840" s="65" t="str">
        <f t="shared" si="12"/>
        <v/>
      </c>
      <c r="F840" s="95" t="str">
        <f>IFERROR(VLOOKUP(B840,tblPeople[],14,FALSE),"")</f>
        <v/>
      </c>
      <c r="G840" s="11"/>
      <c r="H840" s="67"/>
      <c r="I840" s="11"/>
      <c r="J840" s="11"/>
      <c r="K840" s="11"/>
      <c r="L840" s="11"/>
      <c r="M840" s="11"/>
      <c r="N840" s="11"/>
      <c r="O840" s="67"/>
      <c r="P840" s="11"/>
    </row>
    <row r="841" spans="1:16" x14ac:dyDescent="0.25">
      <c r="A841" s="65" t="str">
        <f t="shared" si="12"/>
        <v/>
      </c>
      <c r="F841" s="95" t="str">
        <f>IFERROR(VLOOKUP(B841,tblPeople[],14,FALSE),"")</f>
        <v/>
      </c>
      <c r="G841" s="11"/>
      <c r="H841" s="67"/>
      <c r="I841" s="11"/>
      <c r="J841" s="11"/>
      <c r="K841" s="11"/>
      <c r="L841" s="11"/>
      <c r="M841" s="11"/>
      <c r="N841" s="11"/>
      <c r="O841" s="67"/>
      <c r="P841" s="11"/>
    </row>
    <row r="842" spans="1:16" x14ac:dyDescent="0.25">
      <c r="A842" s="65" t="str">
        <f t="shared" si="12"/>
        <v/>
      </c>
      <c r="F842" s="95" t="str">
        <f>IFERROR(VLOOKUP(B842,tblPeople[],14,FALSE),"")</f>
        <v/>
      </c>
      <c r="G842" s="11"/>
      <c r="H842" s="67"/>
      <c r="I842" s="11"/>
      <c r="J842" s="11"/>
      <c r="K842" s="11"/>
      <c r="L842" s="11"/>
      <c r="M842" s="11"/>
      <c r="N842" s="11"/>
      <c r="O842" s="67"/>
      <c r="P842" s="11"/>
    </row>
    <row r="843" spans="1:16" x14ac:dyDescent="0.25">
      <c r="A843" s="65" t="str">
        <f t="shared" si="12"/>
        <v/>
      </c>
      <c r="F843" s="95" t="str">
        <f>IFERROR(VLOOKUP(B843,tblPeople[],14,FALSE),"")</f>
        <v/>
      </c>
      <c r="G843" s="11"/>
      <c r="H843" s="67"/>
      <c r="I843" s="11"/>
      <c r="J843" s="11"/>
      <c r="K843" s="11"/>
      <c r="L843" s="11"/>
      <c r="M843" s="11"/>
      <c r="N843" s="11"/>
      <c r="O843" s="67"/>
      <c r="P843" s="11"/>
    </row>
    <row r="844" spans="1:16" x14ac:dyDescent="0.25">
      <c r="A844" s="65" t="str">
        <f t="shared" si="12"/>
        <v/>
      </c>
      <c r="F844" s="95" t="str">
        <f>IFERROR(VLOOKUP(B844,tblPeople[],14,FALSE),"")</f>
        <v/>
      </c>
      <c r="G844" s="11"/>
      <c r="H844" s="67"/>
      <c r="I844" s="11"/>
      <c r="J844" s="11"/>
      <c r="K844" s="11"/>
      <c r="L844" s="11"/>
      <c r="M844" s="11"/>
      <c r="N844" s="11"/>
      <c r="O844" s="67"/>
      <c r="P844" s="11"/>
    </row>
    <row r="845" spans="1:16" x14ac:dyDescent="0.25">
      <c r="A845" s="65" t="str">
        <f t="shared" si="12"/>
        <v/>
      </c>
      <c r="F845" s="95" t="str">
        <f>IFERROR(VLOOKUP(B845,tblPeople[],14,FALSE),"")</f>
        <v/>
      </c>
      <c r="G845" s="11"/>
      <c r="H845" s="67"/>
      <c r="I845" s="11"/>
      <c r="J845" s="11"/>
      <c r="K845" s="11"/>
      <c r="L845" s="11"/>
      <c r="M845" s="11"/>
      <c r="N845" s="11"/>
      <c r="O845" s="67"/>
      <c r="P845" s="11"/>
    </row>
    <row r="846" spans="1:16" x14ac:dyDescent="0.25">
      <c r="A846" s="65" t="str">
        <f t="shared" si="12"/>
        <v/>
      </c>
      <c r="F846" s="95" t="str">
        <f>IFERROR(VLOOKUP(B846,tblPeople[],14,FALSE),"")</f>
        <v/>
      </c>
      <c r="G846" s="11"/>
      <c r="H846" s="67"/>
      <c r="I846" s="11"/>
      <c r="J846" s="11"/>
      <c r="K846" s="11"/>
      <c r="L846" s="11"/>
      <c r="M846" s="11"/>
      <c r="N846" s="11"/>
      <c r="O846" s="67"/>
      <c r="P846" s="11"/>
    </row>
    <row r="847" spans="1:16" x14ac:dyDescent="0.25">
      <c r="A847" s="65" t="str">
        <f t="shared" si="12"/>
        <v/>
      </c>
      <c r="F847" s="95" t="str">
        <f>IFERROR(VLOOKUP(B847,tblPeople[],14,FALSE),"")</f>
        <v/>
      </c>
      <c r="G847" s="11"/>
      <c r="H847" s="67"/>
      <c r="I847" s="11"/>
      <c r="J847" s="11"/>
      <c r="K847" s="11"/>
      <c r="L847" s="11"/>
      <c r="M847" s="11"/>
      <c r="N847" s="11"/>
      <c r="O847" s="67"/>
      <c r="P847" s="11"/>
    </row>
    <row r="848" spans="1:16" x14ac:dyDescent="0.25">
      <c r="A848" s="65" t="str">
        <f t="shared" si="12"/>
        <v/>
      </c>
      <c r="F848" s="95" t="str">
        <f>IFERROR(VLOOKUP(B848,tblPeople[],14,FALSE),"")</f>
        <v/>
      </c>
      <c r="G848" s="11"/>
      <c r="H848" s="67"/>
      <c r="I848" s="11"/>
      <c r="J848" s="11"/>
      <c r="K848" s="11"/>
      <c r="L848" s="11"/>
      <c r="M848" s="11"/>
      <c r="N848" s="11"/>
      <c r="O848" s="67"/>
      <c r="P848" s="11"/>
    </row>
    <row r="849" spans="1:16" x14ac:dyDescent="0.25">
      <c r="A849" s="65" t="str">
        <f t="shared" si="12"/>
        <v/>
      </c>
      <c r="F849" s="95" t="str">
        <f>IFERROR(VLOOKUP(B849,tblPeople[],14,FALSE),"")</f>
        <v/>
      </c>
      <c r="G849" s="11"/>
      <c r="H849" s="67"/>
      <c r="I849" s="11"/>
      <c r="J849" s="11"/>
      <c r="K849" s="11"/>
      <c r="L849" s="11"/>
      <c r="M849" s="11"/>
      <c r="N849" s="11"/>
      <c r="O849" s="67"/>
      <c r="P849" s="11"/>
    </row>
    <row r="850" spans="1:16" x14ac:dyDescent="0.25">
      <c r="A850" s="65" t="str">
        <f t="shared" ref="A850:A913" si="13">IF(B850=ISBLANK(""),"",A849+1)</f>
        <v/>
      </c>
      <c r="F850" s="95" t="str">
        <f>IFERROR(VLOOKUP(B850,tblPeople[],14,FALSE),"")</f>
        <v/>
      </c>
      <c r="G850" s="11"/>
      <c r="H850" s="67"/>
      <c r="I850" s="11"/>
      <c r="J850" s="11"/>
      <c r="K850" s="11"/>
      <c r="L850" s="11"/>
      <c r="M850" s="11"/>
      <c r="N850" s="11"/>
      <c r="O850" s="67"/>
      <c r="P850" s="11"/>
    </row>
    <row r="851" spans="1:16" x14ac:dyDescent="0.25">
      <c r="A851" s="65" t="str">
        <f t="shared" si="13"/>
        <v/>
      </c>
      <c r="F851" s="95" t="str">
        <f>IFERROR(VLOOKUP(B851,tblPeople[],14,FALSE),"")</f>
        <v/>
      </c>
      <c r="G851" s="11"/>
      <c r="H851" s="67"/>
      <c r="I851" s="11"/>
      <c r="J851" s="11"/>
      <c r="K851" s="11"/>
      <c r="L851" s="11"/>
      <c r="M851" s="11"/>
      <c r="N851" s="11"/>
      <c r="O851" s="67"/>
      <c r="P851" s="11"/>
    </row>
    <row r="852" spans="1:16" x14ac:dyDescent="0.25">
      <c r="A852" s="65" t="str">
        <f t="shared" si="13"/>
        <v/>
      </c>
      <c r="F852" s="95" t="str">
        <f>IFERROR(VLOOKUP(B852,tblPeople[],14,FALSE),"")</f>
        <v/>
      </c>
      <c r="G852" s="11"/>
      <c r="H852" s="67"/>
      <c r="I852" s="11"/>
      <c r="J852" s="11"/>
      <c r="K852" s="11"/>
      <c r="L852" s="11"/>
      <c r="M852" s="11"/>
      <c r="N852" s="11"/>
      <c r="O852" s="67"/>
      <c r="P852" s="11"/>
    </row>
    <row r="853" spans="1:16" x14ac:dyDescent="0.25">
      <c r="A853" s="65" t="str">
        <f t="shared" si="13"/>
        <v/>
      </c>
      <c r="F853" s="95" t="str">
        <f>IFERROR(VLOOKUP(B853,tblPeople[],14,FALSE),"")</f>
        <v/>
      </c>
      <c r="G853" s="11"/>
      <c r="H853" s="67"/>
      <c r="I853" s="11"/>
      <c r="J853" s="11"/>
      <c r="K853" s="11"/>
      <c r="L853" s="11"/>
      <c r="M853" s="11"/>
      <c r="N853" s="11"/>
      <c r="O853" s="67"/>
      <c r="P853" s="11"/>
    </row>
    <row r="854" spans="1:16" x14ac:dyDescent="0.25">
      <c r="A854" s="65" t="str">
        <f t="shared" si="13"/>
        <v/>
      </c>
      <c r="F854" s="95" t="str">
        <f>IFERROR(VLOOKUP(B854,tblPeople[],14,FALSE),"")</f>
        <v/>
      </c>
      <c r="G854" s="11"/>
      <c r="H854" s="67"/>
      <c r="I854" s="11"/>
      <c r="J854" s="11"/>
      <c r="K854" s="11"/>
      <c r="L854" s="11"/>
      <c r="M854" s="11"/>
      <c r="N854" s="11"/>
      <c r="O854" s="67"/>
      <c r="P854" s="11"/>
    </row>
    <row r="855" spans="1:16" x14ac:dyDescent="0.25">
      <c r="A855" s="65" t="str">
        <f t="shared" si="13"/>
        <v/>
      </c>
      <c r="F855" s="95" t="str">
        <f>IFERROR(VLOOKUP(B855,tblPeople[],14,FALSE),"")</f>
        <v/>
      </c>
      <c r="G855" s="11"/>
      <c r="H855" s="67"/>
      <c r="I855" s="11"/>
      <c r="J855" s="11"/>
      <c r="K855" s="11"/>
      <c r="L855" s="11"/>
      <c r="M855" s="11"/>
      <c r="N855" s="11"/>
      <c r="O855" s="67"/>
      <c r="P855" s="11"/>
    </row>
    <row r="856" spans="1:16" x14ac:dyDescent="0.25">
      <c r="A856" s="65" t="str">
        <f t="shared" si="13"/>
        <v/>
      </c>
      <c r="F856" s="95" t="str">
        <f>IFERROR(VLOOKUP(B856,tblPeople[],14,FALSE),"")</f>
        <v/>
      </c>
      <c r="G856" s="11"/>
      <c r="H856" s="67"/>
      <c r="I856" s="11"/>
      <c r="J856" s="11"/>
      <c r="K856" s="11"/>
      <c r="L856" s="11"/>
      <c r="M856" s="11"/>
      <c r="N856" s="11"/>
      <c r="O856" s="67"/>
      <c r="P856" s="11"/>
    </row>
    <row r="857" spans="1:16" x14ac:dyDescent="0.25">
      <c r="A857" s="65" t="str">
        <f t="shared" si="13"/>
        <v/>
      </c>
      <c r="F857" s="95" t="str">
        <f>IFERROR(VLOOKUP(B857,tblPeople[],14,FALSE),"")</f>
        <v/>
      </c>
      <c r="G857" s="11"/>
      <c r="H857" s="67"/>
      <c r="I857" s="11"/>
      <c r="J857" s="11"/>
      <c r="K857" s="11"/>
      <c r="L857" s="11"/>
      <c r="M857" s="11"/>
      <c r="N857" s="11"/>
      <c r="O857" s="67"/>
      <c r="P857" s="11"/>
    </row>
    <row r="858" spans="1:16" x14ac:dyDescent="0.25">
      <c r="A858" s="65" t="str">
        <f t="shared" si="13"/>
        <v/>
      </c>
      <c r="F858" s="95" t="str">
        <f>IFERROR(VLOOKUP(B858,tblPeople[],14,FALSE),"")</f>
        <v/>
      </c>
      <c r="G858" s="11"/>
      <c r="H858" s="67"/>
      <c r="I858" s="11"/>
      <c r="J858" s="11"/>
      <c r="K858" s="11"/>
      <c r="L858" s="11"/>
      <c r="M858" s="11"/>
      <c r="N858" s="11"/>
      <c r="O858" s="67"/>
      <c r="P858" s="11"/>
    </row>
    <row r="859" spans="1:16" x14ac:dyDescent="0.25">
      <c r="A859" s="65" t="str">
        <f t="shared" si="13"/>
        <v/>
      </c>
      <c r="F859" s="95" t="str">
        <f>IFERROR(VLOOKUP(B859,tblPeople[],14,FALSE),"")</f>
        <v/>
      </c>
      <c r="G859" s="11"/>
      <c r="H859" s="67"/>
      <c r="I859" s="11"/>
      <c r="J859" s="11"/>
      <c r="K859" s="11"/>
      <c r="L859" s="11"/>
      <c r="M859" s="11"/>
      <c r="N859" s="11"/>
      <c r="O859" s="67"/>
      <c r="P859" s="11"/>
    </row>
    <row r="860" spans="1:16" x14ac:dyDescent="0.25">
      <c r="A860" s="65" t="str">
        <f t="shared" si="13"/>
        <v/>
      </c>
      <c r="F860" s="95" t="str">
        <f>IFERROR(VLOOKUP(B860,tblPeople[],14,FALSE),"")</f>
        <v/>
      </c>
      <c r="G860" s="11"/>
      <c r="H860" s="67"/>
      <c r="I860" s="11"/>
      <c r="J860" s="11"/>
      <c r="K860" s="11"/>
      <c r="L860" s="11"/>
      <c r="M860" s="11"/>
      <c r="N860" s="11"/>
      <c r="O860" s="67"/>
      <c r="P860" s="11"/>
    </row>
    <row r="861" spans="1:16" x14ac:dyDescent="0.25">
      <c r="A861" s="65" t="str">
        <f t="shared" si="13"/>
        <v/>
      </c>
      <c r="F861" s="95" t="str">
        <f>IFERROR(VLOOKUP(B861,tblPeople[],14,FALSE),"")</f>
        <v/>
      </c>
      <c r="G861" s="11"/>
      <c r="H861" s="67"/>
      <c r="I861" s="11"/>
      <c r="J861" s="11"/>
      <c r="K861" s="11"/>
      <c r="L861" s="11"/>
      <c r="M861" s="11"/>
      <c r="N861" s="11"/>
      <c r="O861" s="67"/>
      <c r="P861" s="11"/>
    </row>
    <row r="862" spans="1:16" x14ac:dyDescent="0.25">
      <c r="A862" s="65" t="str">
        <f t="shared" si="13"/>
        <v/>
      </c>
      <c r="F862" s="95" t="str">
        <f>IFERROR(VLOOKUP(B862,tblPeople[],14,FALSE),"")</f>
        <v/>
      </c>
      <c r="G862" s="11"/>
      <c r="H862" s="67"/>
      <c r="I862" s="11"/>
      <c r="J862" s="11"/>
      <c r="K862" s="11"/>
      <c r="L862" s="11"/>
      <c r="M862" s="11"/>
      <c r="N862" s="11"/>
      <c r="O862" s="67"/>
      <c r="P862" s="11"/>
    </row>
    <row r="863" spans="1:16" x14ac:dyDescent="0.25">
      <c r="A863" s="65" t="str">
        <f t="shared" si="13"/>
        <v/>
      </c>
      <c r="F863" s="95" t="str">
        <f>IFERROR(VLOOKUP(B863,tblPeople[],14,FALSE),"")</f>
        <v/>
      </c>
      <c r="G863" s="11"/>
      <c r="H863" s="67"/>
      <c r="I863" s="11"/>
      <c r="J863" s="11"/>
      <c r="K863" s="11"/>
      <c r="L863" s="11"/>
      <c r="M863" s="11"/>
      <c r="N863" s="11"/>
      <c r="O863" s="67"/>
      <c r="P863" s="11"/>
    </row>
    <row r="864" spans="1:16" x14ac:dyDescent="0.25">
      <c r="A864" s="65" t="str">
        <f t="shared" si="13"/>
        <v/>
      </c>
      <c r="F864" s="95" t="str">
        <f>IFERROR(VLOOKUP(B864,tblPeople[],14,FALSE),"")</f>
        <v/>
      </c>
      <c r="G864" s="11"/>
      <c r="H864" s="67"/>
      <c r="I864" s="11"/>
      <c r="J864" s="11"/>
      <c r="K864" s="11"/>
      <c r="L864" s="11"/>
      <c r="M864" s="11"/>
      <c r="N864" s="11"/>
      <c r="O864" s="67"/>
      <c r="P864" s="11"/>
    </row>
    <row r="865" spans="1:16" x14ac:dyDescent="0.25">
      <c r="A865" s="65" t="str">
        <f t="shared" si="13"/>
        <v/>
      </c>
      <c r="F865" s="95" t="str">
        <f>IFERROR(VLOOKUP(B865,tblPeople[],14,FALSE),"")</f>
        <v/>
      </c>
      <c r="G865" s="11"/>
      <c r="H865" s="67"/>
      <c r="I865" s="11"/>
      <c r="J865" s="11"/>
      <c r="K865" s="11"/>
      <c r="L865" s="11"/>
      <c r="M865" s="11"/>
      <c r="N865" s="11"/>
      <c r="O865" s="67"/>
      <c r="P865" s="11"/>
    </row>
    <row r="866" spans="1:16" x14ac:dyDescent="0.25">
      <c r="A866" s="65" t="str">
        <f t="shared" si="13"/>
        <v/>
      </c>
      <c r="F866" s="95" t="str">
        <f>IFERROR(VLOOKUP(B866,tblPeople[],14,FALSE),"")</f>
        <v/>
      </c>
      <c r="G866" s="11"/>
      <c r="H866" s="67"/>
      <c r="I866" s="11"/>
      <c r="J866" s="11"/>
      <c r="K866" s="11"/>
      <c r="L866" s="11"/>
      <c r="M866" s="11"/>
      <c r="N866" s="11"/>
      <c r="O866" s="67"/>
      <c r="P866" s="11"/>
    </row>
    <row r="867" spans="1:16" x14ac:dyDescent="0.25">
      <c r="A867" s="65" t="str">
        <f t="shared" si="13"/>
        <v/>
      </c>
      <c r="F867" s="95" t="str">
        <f>IFERROR(VLOOKUP(B867,tblPeople[],14,FALSE),"")</f>
        <v/>
      </c>
      <c r="G867" s="11"/>
      <c r="H867" s="67"/>
      <c r="I867" s="11"/>
      <c r="J867" s="11"/>
      <c r="K867" s="11"/>
      <c r="L867" s="11"/>
      <c r="M867" s="11"/>
      <c r="N867" s="11"/>
      <c r="O867" s="67"/>
      <c r="P867" s="11"/>
    </row>
    <row r="868" spans="1:16" x14ac:dyDescent="0.25">
      <c r="A868" s="65" t="str">
        <f t="shared" si="13"/>
        <v/>
      </c>
      <c r="F868" s="95" t="str">
        <f>IFERROR(VLOOKUP(B868,tblPeople[],14,FALSE),"")</f>
        <v/>
      </c>
      <c r="G868" s="11"/>
      <c r="H868" s="67"/>
      <c r="I868" s="11"/>
      <c r="J868" s="11"/>
      <c r="K868" s="11"/>
      <c r="L868" s="11"/>
      <c r="M868" s="11"/>
      <c r="N868" s="11"/>
      <c r="O868" s="67"/>
      <c r="P868" s="11"/>
    </row>
    <row r="869" spans="1:16" x14ac:dyDescent="0.25">
      <c r="A869" s="65" t="str">
        <f t="shared" si="13"/>
        <v/>
      </c>
      <c r="F869" s="95" t="str">
        <f>IFERROR(VLOOKUP(B869,tblPeople[],14,FALSE),"")</f>
        <v/>
      </c>
      <c r="G869" s="11"/>
      <c r="H869" s="67"/>
      <c r="I869" s="11"/>
      <c r="J869" s="11"/>
      <c r="K869" s="11"/>
      <c r="L869" s="11"/>
      <c r="M869" s="11"/>
      <c r="N869" s="11"/>
      <c r="O869" s="67"/>
      <c r="P869" s="11"/>
    </row>
    <row r="870" spans="1:16" x14ac:dyDescent="0.25">
      <c r="A870" s="65" t="str">
        <f t="shared" si="13"/>
        <v/>
      </c>
      <c r="F870" s="95" t="str">
        <f>IFERROR(VLOOKUP(B870,tblPeople[],14,FALSE),"")</f>
        <v/>
      </c>
      <c r="G870" s="11"/>
      <c r="H870" s="67"/>
      <c r="I870" s="11"/>
      <c r="J870" s="11"/>
      <c r="K870" s="11"/>
      <c r="L870" s="11"/>
      <c r="M870" s="11"/>
      <c r="N870" s="11"/>
      <c r="O870" s="67"/>
      <c r="P870" s="11"/>
    </row>
    <row r="871" spans="1:16" x14ac:dyDescent="0.25">
      <c r="A871" s="65" t="str">
        <f t="shared" si="13"/>
        <v/>
      </c>
      <c r="F871" s="95" t="str">
        <f>IFERROR(VLOOKUP(B871,tblPeople[],14,FALSE),"")</f>
        <v/>
      </c>
      <c r="G871" s="11"/>
      <c r="H871" s="67"/>
      <c r="I871" s="11"/>
      <c r="J871" s="11"/>
      <c r="K871" s="11"/>
      <c r="L871" s="11"/>
      <c r="M871" s="11"/>
      <c r="N871" s="11"/>
      <c r="O871" s="67"/>
      <c r="P871" s="11"/>
    </row>
    <row r="872" spans="1:16" x14ac:dyDescent="0.25">
      <c r="A872" s="65" t="str">
        <f t="shared" si="13"/>
        <v/>
      </c>
      <c r="F872" s="95" t="str">
        <f>IFERROR(VLOOKUP(B872,tblPeople[],14,FALSE),"")</f>
        <v/>
      </c>
      <c r="G872" s="11"/>
      <c r="H872" s="67"/>
      <c r="I872" s="11"/>
      <c r="J872" s="11"/>
      <c r="K872" s="11"/>
      <c r="L872" s="11"/>
      <c r="M872" s="11"/>
      <c r="N872" s="11"/>
      <c r="O872" s="67"/>
      <c r="P872" s="11"/>
    </row>
    <row r="873" spans="1:16" x14ac:dyDescent="0.25">
      <c r="A873" s="65" t="str">
        <f t="shared" si="13"/>
        <v/>
      </c>
      <c r="F873" s="95" t="str">
        <f>IFERROR(VLOOKUP(B873,tblPeople[],14,FALSE),"")</f>
        <v/>
      </c>
      <c r="G873" s="11"/>
      <c r="H873" s="67"/>
      <c r="I873" s="11"/>
      <c r="J873" s="11"/>
      <c r="K873" s="11"/>
      <c r="L873" s="11"/>
      <c r="M873" s="11"/>
      <c r="N873" s="11"/>
      <c r="O873" s="67"/>
      <c r="P873" s="11"/>
    </row>
    <row r="874" spans="1:16" x14ac:dyDescent="0.25">
      <c r="A874" s="65" t="str">
        <f t="shared" si="13"/>
        <v/>
      </c>
      <c r="F874" s="95" t="str">
        <f>IFERROR(VLOOKUP(B874,tblPeople[],14,FALSE),"")</f>
        <v/>
      </c>
      <c r="G874" s="11"/>
      <c r="H874" s="67"/>
      <c r="I874" s="11"/>
      <c r="J874" s="11"/>
      <c r="K874" s="11"/>
      <c r="L874" s="11"/>
      <c r="M874" s="11"/>
      <c r="N874" s="11"/>
      <c r="O874" s="67"/>
      <c r="P874" s="11"/>
    </row>
    <row r="875" spans="1:16" x14ac:dyDescent="0.25">
      <c r="A875" s="65" t="str">
        <f t="shared" si="13"/>
        <v/>
      </c>
      <c r="F875" s="95" t="str">
        <f>IFERROR(VLOOKUP(B875,tblPeople[],14,FALSE),"")</f>
        <v/>
      </c>
      <c r="G875" s="11"/>
      <c r="H875" s="67"/>
      <c r="I875" s="11"/>
      <c r="J875" s="11"/>
      <c r="K875" s="11"/>
      <c r="L875" s="11"/>
      <c r="M875" s="11"/>
      <c r="N875" s="11"/>
      <c r="O875" s="67"/>
      <c r="P875" s="11"/>
    </row>
    <row r="876" spans="1:16" x14ac:dyDescent="0.25">
      <c r="A876" s="65" t="str">
        <f t="shared" si="13"/>
        <v/>
      </c>
      <c r="F876" s="95" t="str">
        <f>IFERROR(VLOOKUP(B876,tblPeople[],14,FALSE),"")</f>
        <v/>
      </c>
      <c r="G876" s="11"/>
      <c r="H876" s="67"/>
      <c r="I876" s="11"/>
      <c r="J876" s="11"/>
      <c r="K876" s="11"/>
      <c r="L876" s="11"/>
      <c r="M876" s="11"/>
      <c r="N876" s="11"/>
      <c r="O876" s="67"/>
      <c r="P876" s="11"/>
    </row>
    <row r="877" spans="1:16" x14ac:dyDescent="0.25">
      <c r="A877" s="65" t="str">
        <f t="shared" si="13"/>
        <v/>
      </c>
      <c r="F877" s="95" t="str">
        <f>IFERROR(VLOOKUP(B877,tblPeople[],14,FALSE),"")</f>
        <v/>
      </c>
      <c r="G877" s="11"/>
      <c r="H877" s="67"/>
      <c r="I877" s="11"/>
      <c r="J877" s="11"/>
      <c r="K877" s="11"/>
      <c r="L877" s="11"/>
      <c r="M877" s="11"/>
      <c r="N877" s="11"/>
      <c r="O877" s="67"/>
      <c r="P877" s="11"/>
    </row>
    <row r="878" spans="1:16" x14ac:dyDescent="0.25">
      <c r="A878" s="65" t="str">
        <f t="shared" si="13"/>
        <v/>
      </c>
      <c r="F878" s="95" t="str">
        <f>IFERROR(VLOOKUP(B878,tblPeople[],14,FALSE),"")</f>
        <v/>
      </c>
      <c r="G878" s="11"/>
      <c r="H878" s="67"/>
      <c r="I878" s="11"/>
      <c r="J878" s="11"/>
      <c r="K878" s="11"/>
      <c r="L878" s="11"/>
      <c r="M878" s="11"/>
      <c r="N878" s="11"/>
      <c r="O878" s="67"/>
      <c r="P878" s="11"/>
    </row>
    <row r="879" spans="1:16" x14ac:dyDescent="0.25">
      <c r="A879" s="65" t="str">
        <f t="shared" si="13"/>
        <v/>
      </c>
      <c r="F879" s="95" t="str">
        <f>IFERROR(VLOOKUP(B879,tblPeople[],14,FALSE),"")</f>
        <v/>
      </c>
      <c r="G879" s="11"/>
      <c r="H879" s="67"/>
      <c r="I879" s="11"/>
      <c r="J879" s="11"/>
      <c r="K879" s="11"/>
      <c r="L879" s="11"/>
      <c r="M879" s="11"/>
      <c r="N879" s="11"/>
      <c r="O879" s="67"/>
      <c r="P879" s="11"/>
    </row>
    <row r="880" spans="1:16" x14ac:dyDescent="0.25">
      <c r="A880" s="65" t="str">
        <f t="shared" si="13"/>
        <v/>
      </c>
      <c r="F880" s="95" t="str">
        <f>IFERROR(VLOOKUP(B880,tblPeople[],14,FALSE),"")</f>
        <v/>
      </c>
      <c r="G880" s="11"/>
      <c r="H880" s="67"/>
      <c r="I880" s="11"/>
      <c r="J880" s="11"/>
      <c r="K880" s="11"/>
      <c r="L880" s="11"/>
      <c r="M880" s="11"/>
      <c r="N880" s="11"/>
      <c r="O880" s="67"/>
      <c r="P880" s="11"/>
    </row>
    <row r="881" spans="1:16" x14ac:dyDescent="0.25">
      <c r="A881" s="65" t="str">
        <f t="shared" si="13"/>
        <v/>
      </c>
      <c r="F881" s="95" t="str">
        <f>IFERROR(VLOOKUP(B881,tblPeople[],14,FALSE),"")</f>
        <v/>
      </c>
      <c r="G881" s="11"/>
      <c r="H881" s="67"/>
      <c r="I881" s="11"/>
      <c r="J881" s="11"/>
      <c r="K881" s="11"/>
      <c r="L881" s="11"/>
      <c r="M881" s="11"/>
      <c r="N881" s="11"/>
      <c r="O881" s="67"/>
      <c r="P881" s="11"/>
    </row>
    <row r="882" spans="1:16" x14ac:dyDescent="0.25">
      <c r="A882" s="65" t="str">
        <f t="shared" si="13"/>
        <v/>
      </c>
      <c r="F882" s="95" t="str">
        <f>IFERROR(VLOOKUP(B882,tblPeople[],14,FALSE),"")</f>
        <v/>
      </c>
      <c r="G882" s="11"/>
      <c r="H882" s="67"/>
      <c r="I882" s="11"/>
      <c r="J882" s="11"/>
      <c r="K882" s="11"/>
      <c r="L882" s="11"/>
      <c r="M882" s="11"/>
      <c r="N882" s="11"/>
      <c r="O882" s="67"/>
      <c r="P882" s="11"/>
    </row>
    <row r="883" spans="1:16" x14ac:dyDescent="0.25">
      <c r="A883" s="65" t="str">
        <f t="shared" si="13"/>
        <v/>
      </c>
      <c r="F883" s="95" t="str">
        <f>IFERROR(VLOOKUP(B883,tblPeople[],14,FALSE),"")</f>
        <v/>
      </c>
      <c r="G883" s="11"/>
      <c r="H883" s="67"/>
      <c r="I883" s="11"/>
      <c r="J883" s="11"/>
      <c r="K883" s="11"/>
      <c r="L883" s="11"/>
      <c r="M883" s="11"/>
      <c r="N883" s="11"/>
      <c r="O883" s="67"/>
      <c r="P883" s="11"/>
    </row>
    <row r="884" spans="1:16" x14ac:dyDescent="0.25">
      <c r="A884" s="65" t="str">
        <f t="shared" si="13"/>
        <v/>
      </c>
      <c r="F884" s="95" t="str">
        <f>IFERROR(VLOOKUP(B884,tblPeople[],14,FALSE),"")</f>
        <v/>
      </c>
      <c r="G884" s="11"/>
      <c r="H884" s="67"/>
      <c r="I884" s="11"/>
      <c r="J884" s="11"/>
      <c r="K884" s="11"/>
      <c r="L884" s="11"/>
      <c r="M884" s="11"/>
      <c r="N884" s="11"/>
      <c r="O884" s="67"/>
      <c r="P884" s="11"/>
    </row>
    <row r="885" spans="1:16" x14ac:dyDescent="0.25">
      <c r="A885" s="65" t="str">
        <f t="shared" si="13"/>
        <v/>
      </c>
      <c r="F885" s="95" t="str">
        <f>IFERROR(VLOOKUP(B885,tblPeople[],14,FALSE),"")</f>
        <v/>
      </c>
      <c r="G885" s="11"/>
      <c r="H885" s="67"/>
      <c r="I885" s="11"/>
      <c r="J885" s="11"/>
      <c r="K885" s="11"/>
      <c r="L885" s="11"/>
      <c r="M885" s="11"/>
      <c r="N885" s="11"/>
      <c r="O885" s="67"/>
      <c r="P885" s="11"/>
    </row>
    <row r="886" spans="1:16" x14ac:dyDescent="0.25">
      <c r="A886" s="65" t="str">
        <f t="shared" si="13"/>
        <v/>
      </c>
      <c r="F886" s="95" t="str">
        <f>IFERROR(VLOOKUP(B886,tblPeople[],14,FALSE),"")</f>
        <v/>
      </c>
      <c r="G886" s="11"/>
      <c r="H886" s="67"/>
      <c r="I886" s="11"/>
      <c r="J886" s="11"/>
      <c r="K886" s="11"/>
      <c r="L886" s="11"/>
      <c r="M886" s="11"/>
      <c r="N886" s="11"/>
      <c r="O886" s="67"/>
      <c r="P886" s="11"/>
    </row>
    <row r="887" spans="1:16" x14ac:dyDescent="0.25">
      <c r="A887" s="65" t="str">
        <f t="shared" si="13"/>
        <v/>
      </c>
      <c r="F887" s="95" t="str">
        <f>IFERROR(VLOOKUP(B887,tblPeople[],14,FALSE),"")</f>
        <v/>
      </c>
      <c r="G887" s="11"/>
      <c r="H887" s="67"/>
      <c r="I887" s="11"/>
      <c r="J887" s="11"/>
      <c r="K887" s="11"/>
      <c r="L887" s="11"/>
      <c r="M887" s="11"/>
      <c r="N887" s="11"/>
      <c r="O887" s="67"/>
      <c r="P887" s="11"/>
    </row>
    <row r="888" spans="1:16" x14ac:dyDescent="0.25">
      <c r="A888" s="65" t="str">
        <f t="shared" si="13"/>
        <v/>
      </c>
      <c r="F888" s="95" t="str">
        <f>IFERROR(VLOOKUP(B888,tblPeople[],14,FALSE),"")</f>
        <v/>
      </c>
      <c r="G888" s="11"/>
      <c r="H888" s="67"/>
      <c r="I888" s="11"/>
      <c r="J888" s="11"/>
      <c r="K888" s="11"/>
      <c r="L888" s="11"/>
      <c r="M888" s="11"/>
      <c r="N888" s="11"/>
      <c r="O888" s="67"/>
      <c r="P888" s="11"/>
    </row>
    <row r="889" spans="1:16" x14ac:dyDescent="0.25">
      <c r="A889" s="65" t="str">
        <f t="shared" si="13"/>
        <v/>
      </c>
      <c r="F889" s="95" t="str">
        <f>IFERROR(VLOOKUP(B889,tblPeople[],14,FALSE),"")</f>
        <v/>
      </c>
      <c r="G889" s="11"/>
      <c r="H889" s="67"/>
      <c r="I889" s="11"/>
      <c r="J889" s="11"/>
      <c r="K889" s="11"/>
      <c r="L889" s="11"/>
      <c r="M889" s="11"/>
      <c r="N889" s="11"/>
      <c r="O889" s="67"/>
      <c r="P889" s="11"/>
    </row>
    <row r="890" spans="1:16" x14ac:dyDescent="0.25">
      <c r="A890" s="65" t="str">
        <f t="shared" si="13"/>
        <v/>
      </c>
      <c r="F890" s="95" t="str">
        <f>IFERROR(VLOOKUP(B890,tblPeople[],14,FALSE),"")</f>
        <v/>
      </c>
      <c r="G890" s="11"/>
      <c r="H890" s="67"/>
      <c r="I890" s="11"/>
      <c r="J890" s="11"/>
      <c r="K890" s="11"/>
      <c r="L890" s="11"/>
      <c r="M890" s="11"/>
      <c r="N890" s="11"/>
      <c r="O890" s="67"/>
      <c r="P890" s="11"/>
    </row>
    <row r="891" spans="1:16" x14ac:dyDescent="0.25">
      <c r="A891" s="65" t="str">
        <f t="shared" si="13"/>
        <v/>
      </c>
      <c r="F891" s="95" t="str">
        <f>IFERROR(VLOOKUP(B891,tblPeople[],14,FALSE),"")</f>
        <v/>
      </c>
      <c r="G891" s="11"/>
      <c r="H891" s="67"/>
      <c r="I891" s="11"/>
      <c r="J891" s="11"/>
      <c r="K891" s="11"/>
      <c r="L891" s="11"/>
      <c r="M891" s="11"/>
      <c r="N891" s="11"/>
      <c r="O891" s="67"/>
      <c r="P891" s="11"/>
    </row>
    <row r="892" spans="1:16" x14ac:dyDescent="0.25">
      <c r="A892" s="65" t="str">
        <f t="shared" si="13"/>
        <v/>
      </c>
      <c r="F892" s="95" t="str">
        <f>IFERROR(VLOOKUP(B892,tblPeople[],14,FALSE),"")</f>
        <v/>
      </c>
      <c r="G892" s="11"/>
      <c r="H892" s="67"/>
      <c r="I892" s="11"/>
      <c r="J892" s="11"/>
      <c r="K892" s="11"/>
      <c r="L892" s="11"/>
      <c r="M892" s="11"/>
      <c r="N892" s="11"/>
      <c r="O892" s="67"/>
      <c r="P892" s="11"/>
    </row>
    <row r="893" spans="1:16" x14ac:dyDescent="0.25">
      <c r="A893" s="65" t="str">
        <f t="shared" si="13"/>
        <v/>
      </c>
      <c r="F893" s="95" t="str">
        <f>IFERROR(VLOOKUP(B893,tblPeople[],14,FALSE),"")</f>
        <v/>
      </c>
      <c r="G893" s="11"/>
      <c r="H893" s="67"/>
      <c r="I893" s="11"/>
      <c r="J893" s="11"/>
      <c r="K893" s="11"/>
      <c r="L893" s="11"/>
      <c r="M893" s="11"/>
      <c r="N893" s="11"/>
      <c r="O893" s="67"/>
      <c r="P893" s="11"/>
    </row>
    <row r="894" spans="1:16" x14ac:dyDescent="0.25">
      <c r="A894" s="65" t="str">
        <f t="shared" si="13"/>
        <v/>
      </c>
      <c r="F894" s="95" t="str">
        <f>IFERROR(VLOOKUP(B894,tblPeople[],14,FALSE),"")</f>
        <v/>
      </c>
      <c r="G894" s="11"/>
      <c r="H894" s="67"/>
      <c r="I894" s="11"/>
      <c r="J894" s="11"/>
      <c r="K894" s="11"/>
      <c r="L894" s="11"/>
      <c r="M894" s="11"/>
      <c r="N894" s="11"/>
      <c r="O894" s="67"/>
      <c r="P894" s="11"/>
    </row>
    <row r="895" spans="1:16" x14ac:dyDescent="0.25">
      <c r="A895" s="65" t="str">
        <f t="shared" si="13"/>
        <v/>
      </c>
      <c r="F895" s="95" t="str">
        <f>IFERROR(VLOOKUP(B895,tblPeople[],14,FALSE),"")</f>
        <v/>
      </c>
      <c r="G895" s="11"/>
      <c r="H895" s="67"/>
      <c r="I895" s="11"/>
      <c r="J895" s="11"/>
      <c r="K895" s="11"/>
      <c r="L895" s="11"/>
      <c r="M895" s="11"/>
      <c r="N895" s="11"/>
      <c r="O895" s="67"/>
      <c r="P895" s="11"/>
    </row>
    <row r="896" spans="1:16" x14ac:dyDescent="0.25">
      <c r="A896" s="65" t="str">
        <f t="shared" si="13"/>
        <v/>
      </c>
      <c r="F896" s="95" t="str">
        <f>IFERROR(VLOOKUP(B896,tblPeople[],14,FALSE),"")</f>
        <v/>
      </c>
      <c r="G896" s="11"/>
      <c r="H896" s="67"/>
      <c r="I896" s="11"/>
      <c r="J896" s="11"/>
      <c r="K896" s="11"/>
      <c r="L896" s="11"/>
      <c r="M896" s="11"/>
      <c r="N896" s="11"/>
      <c r="O896" s="67"/>
      <c r="P896" s="11"/>
    </row>
    <row r="897" spans="1:16" x14ac:dyDescent="0.25">
      <c r="A897" s="65" t="str">
        <f t="shared" si="13"/>
        <v/>
      </c>
      <c r="F897" s="95" t="str">
        <f>IFERROR(VLOOKUP(B897,tblPeople[],14,FALSE),"")</f>
        <v/>
      </c>
      <c r="G897" s="11"/>
      <c r="H897" s="67"/>
      <c r="I897" s="11"/>
      <c r="J897" s="11"/>
      <c r="K897" s="11"/>
      <c r="L897" s="11"/>
      <c r="M897" s="11"/>
      <c r="N897" s="11"/>
      <c r="O897" s="67"/>
      <c r="P897" s="11"/>
    </row>
    <row r="898" spans="1:16" x14ac:dyDescent="0.25">
      <c r="A898" s="65" t="str">
        <f t="shared" si="13"/>
        <v/>
      </c>
      <c r="F898" s="95" t="str">
        <f>IFERROR(VLOOKUP(B898,tblPeople[],14,FALSE),"")</f>
        <v/>
      </c>
      <c r="G898" s="11"/>
      <c r="H898" s="67"/>
      <c r="I898" s="11"/>
      <c r="J898" s="11"/>
      <c r="K898" s="11"/>
      <c r="L898" s="11"/>
      <c r="M898" s="11"/>
      <c r="N898" s="11"/>
      <c r="O898" s="67"/>
      <c r="P898" s="11"/>
    </row>
    <row r="899" spans="1:16" x14ac:dyDescent="0.25">
      <c r="A899" s="65" t="str">
        <f t="shared" si="13"/>
        <v/>
      </c>
      <c r="F899" s="95" t="str">
        <f>IFERROR(VLOOKUP(B899,tblPeople[],14,FALSE),"")</f>
        <v/>
      </c>
      <c r="G899" s="11"/>
      <c r="H899" s="67"/>
      <c r="I899" s="11"/>
      <c r="J899" s="11"/>
      <c r="K899" s="11"/>
      <c r="L899" s="11"/>
      <c r="M899" s="11"/>
      <c r="N899" s="11"/>
      <c r="O899" s="67"/>
      <c r="P899" s="11"/>
    </row>
    <row r="900" spans="1:16" x14ac:dyDescent="0.25">
      <c r="A900" s="65" t="str">
        <f t="shared" si="13"/>
        <v/>
      </c>
      <c r="F900" s="95" t="str">
        <f>IFERROR(VLOOKUP(B900,tblPeople[],14,FALSE),"")</f>
        <v/>
      </c>
      <c r="G900" s="11"/>
      <c r="H900" s="67"/>
      <c r="I900" s="11"/>
      <c r="J900" s="11"/>
      <c r="K900" s="11"/>
      <c r="L900" s="11"/>
      <c r="M900" s="11"/>
      <c r="N900" s="11"/>
      <c r="O900" s="67"/>
      <c r="P900" s="11"/>
    </row>
    <row r="901" spans="1:16" x14ac:dyDescent="0.25">
      <c r="A901" s="65" t="str">
        <f t="shared" si="13"/>
        <v/>
      </c>
      <c r="F901" s="95" t="str">
        <f>IFERROR(VLOOKUP(B901,tblPeople[],14,FALSE),"")</f>
        <v/>
      </c>
      <c r="G901" s="11"/>
      <c r="H901" s="67"/>
      <c r="I901" s="11"/>
      <c r="J901" s="11"/>
      <c r="K901" s="11"/>
      <c r="L901" s="11"/>
      <c r="M901" s="11"/>
      <c r="N901" s="11"/>
      <c r="O901" s="67"/>
      <c r="P901" s="11"/>
    </row>
    <row r="902" spans="1:16" x14ac:dyDescent="0.25">
      <c r="A902" s="65" t="str">
        <f t="shared" si="13"/>
        <v/>
      </c>
      <c r="F902" s="95" t="str">
        <f>IFERROR(VLOOKUP(B902,tblPeople[],14,FALSE),"")</f>
        <v/>
      </c>
      <c r="G902" s="11"/>
      <c r="H902" s="67"/>
      <c r="I902" s="11"/>
      <c r="J902" s="11"/>
      <c r="K902" s="11"/>
      <c r="L902" s="11"/>
      <c r="M902" s="11"/>
      <c r="N902" s="11"/>
      <c r="O902" s="67"/>
      <c r="P902" s="11"/>
    </row>
    <row r="903" spans="1:16" x14ac:dyDescent="0.25">
      <c r="A903" s="65" t="str">
        <f t="shared" si="13"/>
        <v/>
      </c>
      <c r="F903" s="95" t="str">
        <f>IFERROR(VLOOKUP(B903,tblPeople[],14,FALSE),"")</f>
        <v/>
      </c>
      <c r="G903" s="11"/>
      <c r="H903" s="67"/>
      <c r="I903" s="11"/>
      <c r="J903" s="11"/>
      <c r="K903" s="11"/>
      <c r="L903" s="11"/>
      <c r="M903" s="11"/>
      <c r="N903" s="11"/>
      <c r="O903" s="67"/>
      <c r="P903" s="11"/>
    </row>
    <row r="904" spans="1:16" x14ac:dyDescent="0.25">
      <c r="A904" s="65" t="str">
        <f t="shared" si="13"/>
        <v/>
      </c>
      <c r="F904" s="95" t="str">
        <f>IFERROR(VLOOKUP(B904,tblPeople[],14,FALSE),"")</f>
        <v/>
      </c>
      <c r="G904" s="11"/>
      <c r="H904" s="67"/>
      <c r="I904" s="11"/>
      <c r="J904" s="11"/>
      <c r="K904" s="11"/>
      <c r="L904" s="11"/>
      <c r="M904" s="11"/>
      <c r="N904" s="11"/>
      <c r="O904" s="67"/>
      <c r="P904" s="11"/>
    </row>
    <row r="905" spans="1:16" x14ac:dyDescent="0.25">
      <c r="A905" s="65" t="str">
        <f t="shared" si="13"/>
        <v/>
      </c>
      <c r="F905" s="95" t="str">
        <f>IFERROR(VLOOKUP(B905,tblPeople[],14,FALSE),"")</f>
        <v/>
      </c>
      <c r="G905" s="11"/>
      <c r="H905" s="67"/>
      <c r="I905" s="11"/>
      <c r="J905" s="11"/>
      <c r="K905" s="11"/>
      <c r="L905" s="11"/>
      <c r="M905" s="11"/>
      <c r="N905" s="11"/>
      <c r="O905" s="67"/>
      <c r="P905" s="11"/>
    </row>
    <row r="906" spans="1:16" x14ac:dyDescent="0.25">
      <c r="A906" s="65" t="str">
        <f t="shared" si="13"/>
        <v/>
      </c>
      <c r="F906" s="95" t="str">
        <f>IFERROR(VLOOKUP(B906,tblPeople[],14,FALSE),"")</f>
        <v/>
      </c>
      <c r="G906" s="11"/>
      <c r="H906" s="67"/>
      <c r="I906" s="11"/>
      <c r="J906" s="11"/>
      <c r="K906" s="11"/>
      <c r="L906" s="11"/>
      <c r="M906" s="11"/>
      <c r="N906" s="11"/>
      <c r="O906" s="67"/>
      <c r="P906" s="11"/>
    </row>
    <row r="907" spans="1:16" x14ac:dyDescent="0.25">
      <c r="A907" s="65" t="str">
        <f t="shared" si="13"/>
        <v/>
      </c>
      <c r="F907" s="95" t="str">
        <f>IFERROR(VLOOKUP(B907,tblPeople[],14,FALSE),"")</f>
        <v/>
      </c>
      <c r="G907" s="11"/>
      <c r="H907" s="67"/>
      <c r="I907" s="11"/>
      <c r="J907" s="11"/>
      <c r="K907" s="11"/>
      <c r="L907" s="11"/>
      <c r="M907" s="11"/>
      <c r="N907" s="11"/>
      <c r="O907" s="67"/>
      <c r="P907" s="11"/>
    </row>
    <row r="908" spans="1:16" x14ac:dyDescent="0.25">
      <c r="A908" s="65" t="str">
        <f t="shared" si="13"/>
        <v/>
      </c>
      <c r="F908" s="95" t="str">
        <f>IFERROR(VLOOKUP(B908,tblPeople[],14,FALSE),"")</f>
        <v/>
      </c>
      <c r="G908" s="11"/>
      <c r="H908" s="67"/>
      <c r="I908" s="11"/>
      <c r="J908" s="11"/>
      <c r="K908" s="11"/>
      <c r="L908" s="11"/>
      <c r="M908" s="11"/>
      <c r="N908" s="11"/>
      <c r="O908" s="67"/>
      <c r="P908" s="11"/>
    </row>
    <row r="909" spans="1:16" x14ac:dyDescent="0.25">
      <c r="A909" s="65" t="str">
        <f t="shared" si="13"/>
        <v/>
      </c>
      <c r="F909" s="95" t="str">
        <f>IFERROR(VLOOKUP(B909,tblPeople[],14,FALSE),"")</f>
        <v/>
      </c>
      <c r="G909" s="11"/>
      <c r="H909" s="67"/>
      <c r="I909" s="11"/>
      <c r="J909" s="11"/>
      <c r="K909" s="11"/>
      <c r="L909" s="11"/>
      <c r="M909" s="11"/>
      <c r="N909" s="11"/>
      <c r="O909" s="67"/>
      <c r="P909" s="11"/>
    </row>
    <row r="910" spans="1:16" x14ac:dyDescent="0.25">
      <c r="A910" s="65" t="str">
        <f t="shared" si="13"/>
        <v/>
      </c>
      <c r="F910" s="95" t="str">
        <f>IFERROR(VLOOKUP(B910,tblPeople[],14,FALSE),"")</f>
        <v/>
      </c>
      <c r="G910" s="11"/>
      <c r="H910" s="67"/>
      <c r="I910" s="11"/>
      <c r="J910" s="11"/>
      <c r="K910" s="11"/>
      <c r="L910" s="11"/>
      <c r="M910" s="11"/>
      <c r="N910" s="11"/>
      <c r="O910" s="67"/>
      <c r="P910" s="11"/>
    </row>
    <row r="911" spans="1:16" x14ac:dyDescent="0.25">
      <c r="A911" s="65" t="str">
        <f t="shared" si="13"/>
        <v/>
      </c>
      <c r="F911" s="95" t="str">
        <f>IFERROR(VLOOKUP(B911,tblPeople[],14,FALSE),"")</f>
        <v/>
      </c>
      <c r="G911" s="11"/>
      <c r="H911" s="67"/>
      <c r="I911" s="11"/>
      <c r="J911" s="11"/>
      <c r="K911" s="11"/>
      <c r="L911" s="11"/>
      <c r="M911" s="11"/>
      <c r="N911" s="11"/>
      <c r="O911" s="67"/>
      <c r="P911" s="11"/>
    </row>
    <row r="912" spans="1:16" x14ac:dyDescent="0.25">
      <c r="A912" s="65" t="str">
        <f t="shared" si="13"/>
        <v/>
      </c>
      <c r="F912" s="95" t="str">
        <f>IFERROR(VLOOKUP(B912,tblPeople[],14,FALSE),"")</f>
        <v/>
      </c>
      <c r="G912" s="11"/>
      <c r="H912" s="67"/>
      <c r="I912" s="11"/>
      <c r="J912" s="11"/>
      <c r="K912" s="11"/>
      <c r="L912" s="11"/>
      <c r="M912" s="11"/>
      <c r="N912" s="11"/>
      <c r="O912" s="67"/>
      <c r="P912" s="11"/>
    </row>
    <row r="913" spans="1:16" x14ac:dyDescent="0.25">
      <c r="A913" s="65" t="str">
        <f t="shared" si="13"/>
        <v/>
      </c>
      <c r="F913" s="95" t="str">
        <f>IFERROR(VLOOKUP(B913,tblPeople[],14,FALSE),"")</f>
        <v/>
      </c>
      <c r="G913" s="11"/>
      <c r="H913" s="67"/>
      <c r="I913" s="11"/>
      <c r="J913" s="11"/>
      <c r="K913" s="11"/>
      <c r="L913" s="11"/>
      <c r="M913" s="11"/>
      <c r="N913" s="11"/>
      <c r="O913" s="67"/>
      <c r="P913" s="11"/>
    </row>
    <row r="914" spans="1:16" x14ac:dyDescent="0.25">
      <c r="A914" s="65" t="str">
        <f t="shared" ref="A914:A977" si="14">IF(B914=ISBLANK(""),"",A913+1)</f>
        <v/>
      </c>
      <c r="F914" s="95" t="str">
        <f>IFERROR(VLOOKUP(B914,tblPeople[],14,FALSE),"")</f>
        <v/>
      </c>
      <c r="G914" s="11"/>
      <c r="H914" s="67"/>
      <c r="I914" s="11"/>
      <c r="J914" s="11"/>
      <c r="K914" s="11"/>
      <c r="L914" s="11"/>
      <c r="M914" s="11"/>
      <c r="N914" s="11"/>
      <c r="O914" s="67"/>
      <c r="P914" s="11"/>
    </row>
    <row r="915" spans="1:16" x14ac:dyDescent="0.25">
      <c r="A915" s="65" t="str">
        <f t="shared" si="14"/>
        <v/>
      </c>
      <c r="F915" s="95" t="str">
        <f>IFERROR(VLOOKUP(B915,tblPeople[],14,FALSE),"")</f>
        <v/>
      </c>
      <c r="G915" s="11"/>
      <c r="H915" s="67"/>
      <c r="I915" s="11"/>
      <c r="J915" s="11"/>
      <c r="K915" s="11"/>
      <c r="L915" s="11"/>
      <c r="M915" s="11"/>
      <c r="N915" s="11"/>
      <c r="O915" s="67"/>
      <c r="P915" s="11"/>
    </row>
    <row r="916" spans="1:16" x14ac:dyDescent="0.25">
      <c r="A916" s="65" t="str">
        <f t="shared" si="14"/>
        <v/>
      </c>
      <c r="F916" s="95" t="str">
        <f>IFERROR(VLOOKUP(B916,tblPeople[],14,FALSE),"")</f>
        <v/>
      </c>
      <c r="G916" s="11"/>
      <c r="H916" s="67"/>
      <c r="I916" s="11"/>
      <c r="J916" s="11"/>
      <c r="K916" s="11"/>
      <c r="L916" s="11"/>
      <c r="M916" s="11"/>
      <c r="N916" s="11"/>
      <c r="O916" s="67"/>
      <c r="P916" s="11"/>
    </row>
    <row r="917" spans="1:16" x14ac:dyDescent="0.25">
      <c r="A917" s="65" t="str">
        <f t="shared" si="14"/>
        <v/>
      </c>
      <c r="F917" s="95" t="str">
        <f>IFERROR(VLOOKUP(B917,tblPeople[],14,FALSE),"")</f>
        <v/>
      </c>
      <c r="G917" s="11"/>
      <c r="H917" s="67"/>
      <c r="I917" s="11"/>
      <c r="J917" s="11"/>
      <c r="K917" s="11"/>
      <c r="L917" s="11"/>
      <c r="M917" s="11"/>
      <c r="N917" s="11"/>
      <c r="O917" s="67"/>
      <c r="P917" s="11"/>
    </row>
    <row r="918" spans="1:16" x14ac:dyDescent="0.25">
      <c r="A918" s="65" t="str">
        <f t="shared" si="14"/>
        <v/>
      </c>
      <c r="F918" s="95" t="str">
        <f>IFERROR(VLOOKUP(B918,tblPeople[],14,FALSE),"")</f>
        <v/>
      </c>
      <c r="G918" s="11"/>
      <c r="H918" s="67"/>
      <c r="I918" s="11"/>
      <c r="J918" s="11"/>
      <c r="K918" s="11"/>
      <c r="L918" s="11"/>
      <c r="M918" s="11"/>
      <c r="N918" s="11"/>
      <c r="O918" s="67"/>
      <c r="P918" s="11"/>
    </row>
    <row r="919" spans="1:16" x14ac:dyDescent="0.25">
      <c r="A919" s="65" t="str">
        <f t="shared" si="14"/>
        <v/>
      </c>
      <c r="F919" s="95" t="str">
        <f>IFERROR(VLOOKUP(B919,tblPeople[],14,FALSE),"")</f>
        <v/>
      </c>
      <c r="G919" s="11"/>
      <c r="H919" s="67"/>
      <c r="I919" s="11"/>
      <c r="J919" s="11"/>
      <c r="K919" s="11"/>
      <c r="L919" s="11"/>
      <c r="M919" s="11"/>
      <c r="N919" s="11"/>
      <c r="O919" s="67"/>
      <c r="P919" s="11"/>
    </row>
    <row r="920" spans="1:16" x14ac:dyDescent="0.25">
      <c r="A920" s="65" t="str">
        <f t="shared" si="14"/>
        <v/>
      </c>
      <c r="F920" s="95" t="str">
        <f>IFERROR(VLOOKUP(B920,tblPeople[],14,FALSE),"")</f>
        <v/>
      </c>
      <c r="G920" s="11"/>
      <c r="H920" s="67"/>
      <c r="I920" s="11"/>
      <c r="J920" s="11"/>
      <c r="K920" s="11"/>
      <c r="L920" s="11"/>
      <c r="M920" s="11"/>
      <c r="N920" s="11"/>
      <c r="O920" s="67"/>
      <c r="P920" s="11"/>
    </row>
    <row r="921" spans="1:16" x14ac:dyDescent="0.25">
      <c r="A921" s="65" t="str">
        <f t="shared" si="14"/>
        <v/>
      </c>
      <c r="F921" s="95" t="str">
        <f>IFERROR(VLOOKUP(B921,tblPeople[],14,FALSE),"")</f>
        <v/>
      </c>
      <c r="G921" s="11"/>
      <c r="H921" s="67"/>
      <c r="I921" s="11"/>
      <c r="J921" s="11"/>
      <c r="K921" s="11"/>
      <c r="L921" s="11"/>
      <c r="M921" s="11"/>
      <c r="N921" s="11"/>
      <c r="O921" s="67"/>
      <c r="P921" s="11"/>
    </row>
    <row r="922" spans="1:16" x14ac:dyDescent="0.25">
      <c r="A922" s="65" t="str">
        <f t="shared" si="14"/>
        <v/>
      </c>
      <c r="F922" s="95" t="str">
        <f>IFERROR(VLOOKUP(B922,tblPeople[],14,FALSE),"")</f>
        <v/>
      </c>
      <c r="G922" s="11"/>
      <c r="H922" s="67"/>
      <c r="I922" s="11"/>
      <c r="J922" s="11"/>
      <c r="K922" s="11"/>
      <c r="L922" s="11"/>
      <c r="M922" s="11"/>
      <c r="N922" s="11"/>
      <c r="O922" s="67"/>
      <c r="P922" s="11"/>
    </row>
    <row r="923" spans="1:16" x14ac:dyDescent="0.25">
      <c r="A923" s="65" t="str">
        <f t="shared" si="14"/>
        <v/>
      </c>
      <c r="F923" s="95" t="str">
        <f>IFERROR(VLOOKUP(B923,tblPeople[],14,FALSE),"")</f>
        <v/>
      </c>
      <c r="G923" s="11"/>
      <c r="H923" s="67"/>
      <c r="I923" s="11"/>
      <c r="J923" s="11"/>
      <c r="K923" s="11"/>
      <c r="L923" s="11"/>
      <c r="M923" s="11"/>
      <c r="N923" s="11"/>
      <c r="O923" s="67"/>
      <c r="P923" s="11"/>
    </row>
    <row r="924" spans="1:16" x14ac:dyDescent="0.25">
      <c r="A924" s="65" t="str">
        <f t="shared" si="14"/>
        <v/>
      </c>
      <c r="F924" s="95" t="str">
        <f>IFERROR(VLOOKUP(B924,tblPeople[],14,FALSE),"")</f>
        <v/>
      </c>
      <c r="G924" s="11"/>
      <c r="H924" s="67"/>
      <c r="I924" s="11"/>
      <c r="J924" s="11"/>
      <c r="K924" s="11"/>
      <c r="L924" s="11"/>
      <c r="M924" s="11"/>
      <c r="N924" s="11"/>
      <c r="O924" s="67"/>
      <c r="P924" s="11"/>
    </row>
    <row r="925" spans="1:16" x14ac:dyDescent="0.25">
      <c r="A925" s="65" t="str">
        <f t="shared" si="14"/>
        <v/>
      </c>
      <c r="F925" s="95" t="str">
        <f>IFERROR(VLOOKUP(B925,tblPeople[],14,FALSE),"")</f>
        <v/>
      </c>
      <c r="G925" s="11"/>
      <c r="H925" s="67"/>
      <c r="I925" s="11"/>
      <c r="J925" s="11"/>
      <c r="K925" s="11"/>
      <c r="L925" s="11"/>
      <c r="M925" s="11"/>
      <c r="N925" s="11"/>
      <c r="O925" s="67"/>
      <c r="P925" s="11"/>
    </row>
    <row r="926" spans="1:16" x14ac:dyDescent="0.25">
      <c r="A926" s="65" t="str">
        <f t="shared" si="14"/>
        <v/>
      </c>
      <c r="F926" s="95" t="str">
        <f>IFERROR(VLOOKUP(B926,tblPeople[],14,FALSE),"")</f>
        <v/>
      </c>
      <c r="G926" s="11"/>
      <c r="H926" s="67"/>
      <c r="I926" s="11"/>
      <c r="J926" s="11"/>
      <c r="K926" s="11"/>
      <c r="L926" s="11"/>
      <c r="M926" s="11"/>
      <c r="N926" s="11"/>
      <c r="O926" s="67"/>
      <c r="P926" s="11"/>
    </row>
    <row r="927" spans="1:16" x14ac:dyDescent="0.25">
      <c r="A927" s="65" t="str">
        <f t="shared" si="14"/>
        <v/>
      </c>
      <c r="F927" s="95" t="str">
        <f>IFERROR(VLOOKUP(B927,tblPeople[],14,FALSE),"")</f>
        <v/>
      </c>
      <c r="G927" s="11"/>
      <c r="H927" s="67"/>
      <c r="I927" s="11"/>
      <c r="J927" s="11"/>
      <c r="K927" s="11"/>
      <c r="L927" s="11"/>
      <c r="M927" s="11"/>
      <c r="N927" s="11"/>
      <c r="O927" s="67"/>
      <c r="P927" s="11"/>
    </row>
    <row r="928" spans="1:16" x14ac:dyDescent="0.25">
      <c r="A928" s="65" t="str">
        <f t="shared" si="14"/>
        <v/>
      </c>
      <c r="F928" s="95" t="str">
        <f>IFERROR(VLOOKUP(B928,tblPeople[],14,FALSE),"")</f>
        <v/>
      </c>
      <c r="G928" s="11"/>
      <c r="H928" s="67"/>
      <c r="I928" s="11"/>
      <c r="J928" s="11"/>
      <c r="K928" s="11"/>
      <c r="L928" s="11"/>
      <c r="M928" s="11"/>
      <c r="N928" s="11"/>
      <c r="O928" s="67"/>
      <c r="P928" s="11"/>
    </row>
    <row r="929" spans="1:16" x14ac:dyDescent="0.25">
      <c r="A929" s="65" t="str">
        <f t="shared" si="14"/>
        <v/>
      </c>
      <c r="F929" s="95" t="str">
        <f>IFERROR(VLOOKUP(B929,tblPeople[],14,FALSE),"")</f>
        <v/>
      </c>
      <c r="G929" s="11"/>
      <c r="H929" s="67"/>
      <c r="I929" s="11"/>
      <c r="J929" s="11"/>
      <c r="K929" s="11"/>
      <c r="L929" s="11"/>
      <c r="M929" s="11"/>
      <c r="N929" s="11"/>
      <c r="O929" s="67"/>
      <c r="P929" s="11"/>
    </row>
    <row r="930" spans="1:16" x14ac:dyDescent="0.25">
      <c r="A930" s="65" t="str">
        <f t="shared" si="14"/>
        <v/>
      </c>
      <c r="F930" s="95" t="str">
        <f>IFERROR(VLOOKUP(B930,tblPeople[],14,FALSE),"")</f>
        <v/>
      </c>
      <c r="G930" s="11"/>
      <c r="H930" s="67"/>
      <c r="I930" s="11"/>
      <c r="J930" s="11"/>
      <c r="K930" s="11"/>
      <c r="L930" s="11"/>
      <c r="M930" s="11"/>
      <c r="N930" s="11"/>
      <c r="O930" s="67"/>
      <c r="P930" s="11"/>
    </row>
    <row r="931" spans="1:16" x14ac:dyDescent="0.25">
      <c r="A931" s="65" t="str">
        <f t="shared" si="14"/>
        <v/>
      </c>
      <c r="F931" s="95" t="str">
        <f>IFERROR(VLOOKUP(B931,tblPeople[],14,FALSE),"")</f>
        <v/>
      </c>
      <c r="G931" s="11"/>
      <c r="H931" s="67"/>
      <c r="I931" s="11"/>
      <c r="J931" s="11"/>
      <c r="K931" s="11"/>
      <c r="L931" s="11"/>
      <c r="M931" s="11"/>
      <c r="N931" s="11"/>
      <c r="O931" s="67"/>
      <c r="P931" s="11"/>
    </row>
    <row r="932" spans="1:16" x14ac:dyDescent="0.25">
      <c r="A932" s="65" t="str">
        <f t="shared" si="14"/>
        <v/>
      </c>
      <c r="F932" s="95" t="str">
        <f>IFERROR(VLOOKUP(B932,tblPeople[],14,FALSE),"")</f>
        <v/>
      </c>
      <c r="G932" s="11"/>
      <c r="H932" s="67"/>
      <c r="I932" s="11"/>
      <c r="J932" s="11"/>
      <c r="K932" s="11"/>
      <c r="L932" s="11"/>
      <c r="M932" s="11"/>
      <c r="N932" s="11"/>
      <c r="O932" s="67"/>
      <c r="P932" s="11"/>
    </row>
    <row r="933" spans="1:16" x14ac:dyDescent="0.25">
      <c r="A933" s="65" t="str">
        <f t="shared" si="14"/>
        <v/>
      </c>
      <c r="F933" s="95" t="str">
        <f>IFERROR(VLOOKUP(B933,tblPeople[],14,FALSE),"")</f>
        <v/>
      </c>
      <c r="G933" s="11"/>
      <c r="H933" s="67"/>
      <c r="I933" s="11"/>
      <c r="J933" s="11"/>
      <c r="K933" s="11"/>
      <c r="L933" s="11"/>
      <c r="M933" s="11"/>
      <c r="N933" s="11"/>
      <c r="O933" s="67"/>
      <c r="P933" s="11"/>
    </row>
    <row r="934" spans="1:16" x14ac:dyDescent="0.25">
      <c r="A934" s="65" t="str">
        <f t="shared" si="14"/>
        <v/>
      </c>
      <c r="F934" s="95" t="str">
        <f>IFERROR(VLOOKUP(B934,tblPeople[],14,FALSE),"")</f>
        <v/>
      </c>
      <c r="G934" s="11"/>
      <c r="H934" s="67"/>
      <c r="I934" s="11"/>
      <c r="J934" s="11"/>
      <c r="K934" s="11"/>
      <c r="L934" s="11"/>
      <c r="M934" s="11"/>
      <c r="N934" s="11"/>
      <c r="O934" s="67"/>
      <c r="P934" s="11"/>
    </row>
    <row r="935" spans="1:16" x14ac:dyDescent="0.25">
      <c r="A935" s="65" t="str">
        <f t="shared" si="14"/>
        <v/>
      </c>
      <c r="F935" s="95" t="str">
        <f>IFERROR(VLOOKUP(B935,tblPeople[],14,FALSE),"")</f>
        <v/>
      </c>
      <c r="G935" s="11"/>
      <c r="H935" s="67"/>
      <c r="I935" s="11"/>
      <c r="J935" s="11"/>
      <c r="K935" s="11"/>
      <c r="L935" s="11"/>
      <c r="M935" s="11"/>
      <c r="N935" s="11"/>
      <c r="O935" s="67"/>
      <c r="P935" s="11"/>
    </row>
    <row r="936" spans="1:16" x14ac:dyDescent="0.25">
      <c r="A936" s="65" t="str">
        <f t="shared" si="14"/>
        <v/>
      </c>
      <c r="F936" s="95" t="str">
        <f>IFERROR(VLOOKUP(B936,tblPeople[],14,FALSE),"")</f>
        <v/>
      </c>
      <c r="G936" s="11"/>
      <c r="H936" s="67"/>
      <c r="I936" s="11"/>
      <c r="J936" s="11"/>
      <c r="K936" s="11"/>
      <c r="L936" s="11"/>
      <c r="M936" s="11"/>
      <c r="N936" s="11"/>
      <c r="O936" s="67"/>
      <c r="P936" s="11"/>
    </row>
    <row r="937" spans="1:16" x14ac:dyDescent="0.25">
      <c r="A937" s="65" t="str">
        <f t="shared" si="14"/>
        <v/>
      </c>
      <c r="F937" s="95" t="str">
        <f>IFERROR(VLOOKUP(B937,tblPeople[],14,FALSE),"")</f>
        <v/>
      </c>
      <c r="G937" s="11"/>
      <c r="H937" s="67"/>
      <c r="I937" s="11"/>
      <c r="J937" s="11"/>
      <c r="K937" s="11"/>
      <c r="L937" s="11"/>
      <c r="M937" s="11"/>
      <c r="N937" s="11"/>
      <c r="O937" s="67"/>
      <c r="P937" s="11"/>
    </row>
    <row r="938" spans="1:16" x14ac:dyDescent="0.25">
      <c r="A938" s="65" t="str">
        <f t="shared" si="14"/>
        <v/>
      </c>
      <c r="F938" s="95" t="str">
        <f>IFERROR(VLOOKUP(B938,tblPeople[],14,FALSE),"")</f>
        <v/>
      </c>
      <c r="G938" s="11"/>
      <c r="H938" s="67"/>
      <c r="I938" s="11"/>
      <c r="J938" s="11"/>
      <c r="K938" s="11"/>
      <c r="L938" s="11"/>
      <c r="M938" s="11"/>
      <c r="N938" s="11"/>
      <c r="O938" s="67"/>
      <c r="P938" s="11"/>
    </row>
    <row r="939" spans="1:16" x14ac:dyDescent="0.25">
      <c r="A939" s="65" t="str">
        <f t="shared" si="14"/>
        <v/>
      </c>
      <c r="F939" s="95" t="str">
        <f>IFERROR(VLOOKUP(B939,tblPeople[],14,FALSE),"")</f>
        <v/>
      </c>
      <c r="G939" s="11"/>
      <c r="H939" s="67"/>
      <c r="I939" s="11"/>
      <c r="J939" s="11"/>
      <c r="K939" s="11"/>
      <c r="L939" s="11"/>
      <c r="M939" s="11"/>
      <c r="N939" s="11"/>
      <c r="O939" s="67"/>
      <c r="P939" s="11"/>
    </row>
    <row r="940" spans="1:16" x14ac:dyDescent="0.25">
      <c r="A940" s="65" t="str">
        <f t="shared" si="14"/>
        <v/>
      </c>
      <c r="F940" s="95" t="str">
        <f>IFERROR(VLOOKUP(B940,tblPeople[],14,FALSE),"")</f>
        <v/>
      </c>
      <c r="G940" s="11"/>
      <c r="H940" s="67"/>
      <c r="I940" s="11"/>
      <c r="J940" s="11"/>
      <c r="K940" s="11"/>
      <c r="L940" s="11"/>
      <c r="M940" s="11"/>
      <c r="N940" s="11"/>
      <c r="O940" s="67"/>
      <c r="P940" s="11"/>
    </row>
    <row r="941" spans="1:16" x14ac:dyDescent="0.25">
      <c r="A941" s="65" t="str">
        <f t="shared" si="14"/>
        <v/>
      </c>
      <c r="F941" s="95" t="str">
        <f>IFERROR(VLOOKUP(B941,tblPeople[],14,FALSE),"")</f>
        <v/>
      </c>
      <c r="G941" s="11"/>
      <c r="H941" s="67"/>
      <c r="I941" s="11"/>
      <c r="J941" s="11"/>
      <c r="K941" s="11"/>
      <c r="L941" s="11"/>
      <c r="M941" s="11"/>
      <c r="N941" s="11"/>
      <c r="O941" s="67"/>
      <c r="P941" s="11"/>
    </row>
    <row r="942" spans="1:16" x14ac:dyDescent="0.25">
      <c r="A942" s="65" t="str">
        <f t="shared" si="14"/>
        <v/>
      </c>
      <c r="F942" s="95" t="str">
        <f>IFERROR(VLOOKUP(B942,tblPeople[],14,FALSE),"")</f>
        <v/>
      </c>
      <c r="G942" s="11"/>
      <c r="H942" s="67"/>
      <c r="I942" s="11"/>
      <c r="J942" s="11"/>
      <c r="K942" s="11"/>
      <c r="L942" s="11"/>
      <c r="M942" s="11"/>
      <c r="N942" s="11"/>
      <c r="O942" s="67"/>
      <c r="P942" s="11"/>
    </row>
    <row r="943" spans="1:16" x14ac:dyDescent="0.25">
      <c r="A943" s="65" t="str">
        <f t="shared" si="14"/>
        <v/>
      </c>
      <c r="F943" s="95" t="str">
        <f>IFERROR(VLOOKUP(B943,tblPeople[],14,FALSE),"")</f>
        <v/>
      </c>
      <c r="G943" s="11"/>
      <c r="H943" s="67"/>
      <c r="I943" s="11"/>
      <c r="J943" s="11"/>
      <c r="K943" s="11"/>
      <c r="L943" s="11"/>
      <c r="M943" s="11"/>
      <c r="N943" s="11"/>
      <c r="O943" s="67"/>
      <c r="P943" s="11"/>
    </row>
    <row r="944" spans="1:16" x14ac:dyDescent="0.25">
      <c r="A944" s="65" t="str">
        <f t="shared" si="14"/>
        <v/>
      </c>
      <c r="F944" s="95" t="str">
        <f>IFERROR(VLOOKUP(B944,tblPeople[],14,FALSE),"")</f>
        <v/>
      </c>
      <c r="G944" s="11"/>
      <c r="H944" s="67"/>
      <c r="I944" s="11"/>
      <c r="J944" s="11"/>
      <c r="K944" s="11"/>
      <c r="L944" s="11"/>
      <c r="M944" s="11"/>
      <c r="N944" s="11"/>
      <c r="O944" s="67"/>
      <c r="P944" s="11"/>
    </row>
    <row r="945" spans="1:16" x14ac:dyDescent="0.25">
      <c r="A945" s="65" t="str">
        <f t="shared" si="14"/>
        <v/>
      </c>
      <c r="F945" s="95" t="str">
        <f>IFERROR(VLOOKUP(B945,tblPeople[],14,FALSE),"")</f>
        <v/>
      </c>
      <c r="G945" s="11"/>
      <c r="H945" s="67"/>
      <c r="I945" s="11"/>
      <c r="J945" s="11"/>
      <c r="K945" s="11"/>
      <c r="L945" s="11"/>
      <c r="M945" s="11"/>
      <c r="N945" s="11"/>
      <c r="O945" s="67"/>
      <c r="P945" s="11"/>
    </row>
    <row r="946" spans="1:16" x14ac:dyDescent="0.25">
      <c r="A946" s="65" t="str">
        <f t="shared" si="14"/>
        <v/>
      </c>
      <c r="F946" s="95" t="str">
        <f>IFERROR(VLOOKUP(B946,tblPeople[],14,FALSE),"")</f>
        <v/>
      </c>
      <c r="G946" s="11"/>
      <c r="H946" s="67"/>
      <c r="I946" s="11"/>
      <c r="J946" s="11"/>
      <c r="K946" s="11"/>
      <c r="L946" s="11"/>
      <c r="M946" s="11"/>
      <c r="N946" s="11"/>
      <c r="O946" s="67"/>
      <c r="P946" s="11"/>
    </row>
    <row r="947" spans="1:16" x14ac:dyDescent="0.25">
      <c r="A947" s="65" t="str">
        <f t="shared" si="14"/>
        <v/>
      </c>
      <c r="F947" s="95" t="str">
        <f>IFERROR(VLOOKUP(B947,tblPeople[],14,FALSE),"")</f>
        <v/>
      </c>
      <c r="G947" s="11"/>
      <c r="H947" s="67"/>
      <c r="I947" s="11"/>
      <c r="J947" s="11"/>
      <c r="K947" s="11"/>
      <c r="L947" s="11"/>
      <c r="M947" s="11"/>
      <c r="N947" s="11"/>
      <c r="O947" s="67"/>
      <c r="P947" s="11"/>
    </row>
    <row r="948" spans="1:16" x14ac:dyDescent="0.25">
      <c r="A948" s="65" t="str">
        <f t="shared" si="14"/>
        <v/>
      </c>
      <c r="F948" s="95" t="str">
        <f>IFERROR(VLOOKUP(B948,tblPeople[],14,FALSE),"")</f>
        <v/>
      </c>
      <c r="G948" s="11"/>
      <c r="H948" s="67"/>
      <c r="I948" s="11"/>
      <c r="J948" s="11"/>
      <c r="K948" s="11"/>
      <c r="L948" s="11"/>
      <c r="M948" s="11"/>
      <c r="N948" s="11"/>
      <c r="O948" s="67"/>
      <c r="P948" s="11"/>
    </row>
    <row r="949" spans="1:16" x14ac:dyDescent="0.25">
      <c r="A949" s="65" t="str">
        <f t="shared" si="14"/>
        <v/>
      </c>
      <c r="F949" s="95" t="str">
        <f>IFERROR(VLOOKUP(B949,tblPeople[],14,FALSE),"")</f>
        <v/>
      </c>
      <c r="G949" s="11"/>
      <c r="H949" s="67"/>
      <c r="I949" s="11"/>
      <c r="J949" s="11"/>
      <c r="K949" s="11"/>
      <c r="L949" s="11"/>
      <c r="M949" s="11"/>
      <c r="N949" s="11"/>
      <c r="O949" s="67"/>
      <c r="P949" s="11"/>
    </row>
    <row r="950" spans="1:16" x14ac:dyDescent="0.25">
      <c r="A950" s="65" t="str">
        <f t="shared" si="14"/>
        <v/>
      </c>
      <c r="F950" s="95" t="str">
        <f>IFERROR(VLOOKUP(B950,tblPeople[],14,FALSE),"")</f>
        <v/>
      </c>
      <c r="G950" s="11"/>
      <c r="H950" s="67"/>
      <c r="I950" s="11"/>
      <c r="J950" s="11"/>
      <c r="K950" s="11"/>
      <c r="L950" s="11"/>
      <c r="M950" s="11"/>
      <c r="N950" s="11"/>
      <c r="O950" s="67"/>
      <c r="P950" s="11"/>
    </row>
    <row r="951" spans="1:16" x14ac:dyDescent="0.25">
      <c r="A951" s="65" t="str">
        <f t="shared" si="14"/>
        <v/>
      </c>
      <c r="F951" s="95" t="str">
        <f>IFERROR(VLOOKUP(B951,tblPeople[],14,FALSE),"")</f>
        <v/>
      </c>
      <c r="G951" s="11"/>
      <c r="H951" s="67"/>
      <c r="I951" s="11"/>
      <c r="J951" s="11"/>
      <c r="K951" s="11"/>
      <c r="L951" s="11"/>
      <c r="M951" s="11"/>
      <c r="N951" s="11"/>
      <c r="O951" s="67"/>
      <c r="P951" s="11"/>
    </row>
    <row r="952" spans="1:16" x14ac:dyDescent="0.25">
      <c r="A952" s="65" t="str">
        <f t="shared" si="14"/>
        <v/>
      </c>
      <c r="F952" s="95" t="str">
        <f>IFERROR(VLOOKUP(B952,tblPeople[],14,FALSE),"")</f>
        <v/>
      </c>
      <c r="G952" s="11"/>
      <c r="H952" s="67"/>
      <c r="I952" s="11"/>
      <c r="J952" s="11"/>
      <c r="K952" s="11"/>
      <c r="L952" s="11"/>
      <c r="M952" s="11"/>
      <c r="N952" s="11"/>
      <c r="O952" s="67"/>
      <c r="P952" s="11"/>
    </row>
    <row r="953" spans="1:16" x14ac:dyDescent="0.25">
      <c r="A953" s="65" t="str">
        <f t="shared" si="14"/>
        <v/>
      </c>
      <c r="F953" s="95" t="str">
        <f>IFERROR(VLOOKUP(B953,tblPeople[],14,FALSE),"")</f>
        <v/>
      </c>
      <c r="G953" s="11"/>
      <c r="H953" s="67"/>
      <c r="I953" s="11"/>
      <c r="J953" s="11"/>
      <c r="K953" s="11"/>
      <c r="L953" s="11"/>
      <c r="M953" s="11"/>
      <c r="N953" s="11"/>
      <c r="O953" s="67"/>
      <c r="P953" s="11"/>
    </row>
    <row r="954" spans="1:16" x14ac:dyDescent="0.25">
      <c r="A954" s="65" t="str">
        <f t="shared" si="14"/>
        <v/>
      </c>
      <c r="F954" s="95" t="str">
        <f>IFERROR(VLOOKUP(B954,tblPeople[],14,FALSE),"")</f>
        <v/>
      </c>
      <c r="G954" s="11"/>
      <c r="H954" s="67"/>
      <c r="I954" s="11"/>
      <c r="J954" s="11"/>
      <c r="K954" s="11"/>
      <c r="L954" s="11"/>
      <c r="M954" s="11"/>
      <c r="N954" s="11"/>
      <c r="O954" s="67"/>
      <c r="P954" s="11"/>
    </row>
    <row r="955" spans="1:16" x14ac:dyDescent="0.25">
      <c r="A955" s="65" t="str">
        <f t="shared" si="14"/>
        <v/>
      </c>
      <c r="F955" s="95" t="str">
        <f>IFERROR(VLOOKUP(B955,tblPeople[],14,FALSE),"")</f>
        <v/>
      </c>
      <c r="G955" s="11"/>
      <c r="H955" s="67"/>
      <c r="I955" s="11"/>
      <c r="J955" s="11"/>
      <c r="K955" s="11"/>
      <c r="L955" s="11"/>
      <c r="M955" s="11"/>
      <c r="N955" s="11"/>
      <c r="O955" s="67"/>
      <c r="P955" s="11"/>
    </row>
    <row r="956" spans="1:16" x14ac:dyDescent="0.25">
      <c r="A956" s="65" t="str">
        <f t="shared" si="14"/>
        <v/>
      </c>
      <c r="F956" s="95" t="str">
        <f>IFERROR(VLOOKUP(B956,tblPeople[],14,FALSE),"")</f>
        <v/>
      </c>
      <c r="G956" s="11"/>
      <c r="H956" s="67"/>
      <c r="I956" s="11"/>
      <c r="J956" s="11"/>
      <c r="K956" s="11"/>
      <c r="L956" s="11"/>
      <c r="M956" s="11"/>
      <c r="N956" s="11"/>
      <c r="O956" s="67"/>
      <c r="P956" s="11"/>
    </row>
    <row r="957" spans="1:16" x14ac:dyDescent="0.25">
      <c r="A957" s="65" t="str">
        <f t="shared" si="14"/>
        <v/>
      </c>
      <c r="F957" s="95" t="str">
        <f>IFERROR(VLOOKUP(B957,tblPeople[],14,FALSE),"")</f>
        <v/>
      </c>
      <c r="G957" s="11"/>
      <c r="H957" s="67"/>
      <c r="I957" s="11"/>
      <c r="J957" s="11"/>
      <c r="K957" s="11"/>
      <c r="L957" s="11"/>
      <c r="M957" s="11"/>
      <c r="N957" s="11"/>
      <c r="O957" s="67"/>
      <c r="P957" s="11"/>
    </row>
    <row r="958" spans="1:16" x14ac:dyDescent="0.25">
      <c r="A958" s="65" t="str">
        <f t="shared" si="14"/>
        <v/>
      </c>
      <c r="F958" s="95" t="str">
        <f>IFERROR(VLOOKUP(B958,tblPeople[],14,FALSE),"")</f>
        <v/>
      </c>
      <c r="G958" s="11"/>
      <c r="H958" s="67"/>
      <c r="I958" s="11"/>
      <c r="J958" s="11"/>
      <c r="K958" s="11"/>
      <c r="L958" s="11"/>
      <c r="M958" s="11"/>
      <c r="N958" s="11"/>
      <c r="O958" s="67"/>
      <c r="P958" s="11"/>
    </row>
    <row r="959" spans="1:16" x14ac:dyDescent="0.25">
      <c r="A959" s="65" t="str">
        <f t="shared" si="14"/>
        <v/>
      </c>
      <c r="F959" s="95" t="str">
        <f>IFERROR(VLOOKUP(B959,tblPeople[],14,FALSE),"")</f>
        <v/>
      </c>
      <c r="G959" s="11"/>
      <c r="H959" s="67"/>
      <c r="I959" s="11"/>
      <c r="J959" s="11"/>
      <c r="K959" s="11"/>
      <c r="L959" s="11"/>
      <c r="M959" s="11"/>
      <c r="N959" s="11"/>
      <c r="O959" s="67"/>
      <c r="P959" s="11"/>
    </row>
    <row r="960" spans="1:16" x14ac:dyDescent="0.25">
      <c r="A960" s="65" t="str">
        <f t="shared" si="14"/>
        <v/>
      </c>
      <c r="F960" s="95" t="str">
        <f>IFERROR(VLOOKUP(B960,tblPeople[],14,FALSE),"")</f>
        <v/>
      </c>
      <c r="G960" s="11"/>
      <c r="H960" s="67"/>
      <c r="I960" s="11"/>
      <c r="J960" s="11"/>
      <c r="K960" s="11"/>
      <c r="L960" s="11"/>
      <c r="M960" s="11"/>
      <c r="N960" s="11"/>
      <c r="O960" s="67"/>
      <c r="P960" s="11"/>
    </row>
    <row r="961" spans="1:16" x14ac:dyDescent="0.25">
      <c r="A961" s="65" t="str">
        <f t="shared" si="14"/>
        <v/>
      </c>
      <c r="F961" s="95" t="str">
        <f>IFERROR(VLOOKUP(B961,tblPeople[],14,FALSE),"")</f>
        <v/>
      </c>
      <c r="G961" s="11"/>
      <c r="H961" s="67"/>
      <c r="I961" s="11"/>
      <c r="J961" s="11"/>
      <c r="K961" s="11"/>
      <c r="L961" s="11"/>
      <c r="M961" s="11"/>
      <c r="N961" s="11"/>
      <c r="O961" s="67"/>
      <c r="P961" s="11"/>
    </row>
    <row r="962" spans="1:16" x14ac:dyDescent="0.25">
      <c r="A962" s="65" t="str">
        <f t="shared" si="14"/>
        <v/>
      </c>
      <c r="F962" s="95" t="str">
        <f>IFERROR(VLOOKUP(B962,tblPeople[],14,FALSE),"")</f>
        <v/>
      </c>
      <c r="G962" s="11"/>
      <c r="H962" s="67"/>
      <c r="I962" s="11"/>
      <c r="J962" s="11"/>
      <c r="K962" s="11"/>
      <c r="L962" s="11"/>
      <c r="M962" s="11"/>
      <c r="N962" s="11"/>
      <c r="O962" s="67"/>
      <c r="P962" s="11"/>
    </row>
    <row r="963" spans="1:16" x14ac:dyDescent="0.25">
      <c r="A963" s="65" t="str">
        <f t="shared" si="14"/>
        <v/>
      </c>
      <c r="F963" s="95" t="str">
        <f>IFERROR(VLOOKUP(B963,tblPeople[],14,FALSE),"")</f>
        <v/>
      </c>
      <c r="G963" s="11"/>
      <c r="H963" s="67"/>
      <c r="I963" s="11"/>
      <c r="J963" s="11"/>
      <c r="K963" s="11"/>
      <c r="L963" s="11"/>
      <c r="M963" s="11"/>
      <c r="N963" s="11"/>
      <c r="O963" s="67"/>
      <c r="P963" s="11"/>
    </row>
    <row r="964" spans="1:16" x14ac:dyDescent="0.25">
      <c r="A964" s="65" t="str">
        <f t="shared" si="14"/>
        <v/>
      </c>
      <c r="F964" s="95" t="str">
        <f>IFERROR(VLOOKUP(B964,tblPeople[],14,FALSE),"")</f>
        <v/>
      </c>
      <c r="G964" s="11"/>
      <c r="H964" s="67"/>
      <c r="I964" s="11"/>
      <c r="J964" s="11"/>
      <c r="K964" s="11"/>
      <c r="L964" s="11"/>
      <c r="M964" s="11"/>
      <c r="N964" s="11"/>
      <c r="O964" s="67"/>
      <c r="P964" s="11"/>
    </row>
    <row r="965" spans="1:16" x14ac:dyDescent="0.25">
      <c r="A965" s="65" t="str">
        <f t="shared" si="14"/>
        <v/>
      </c>
      <c r="F965" s="95" t="str">
        <f>IFERROR(VLOOKUP(B965,tblPeople[],14,FALSE),"")</f>
        <v/>
      </c>
      <c r="G965" s="11"/>
      <c r="H965" s="67"/>
      <c r="I965" s="11"/>
      <c r="J965" s="11"/>
      <c r="K965" s="11"/>
      <c r="L965" s="11"/>
      <c r="M965" s="11"/>
      <c r="N965" s="11"/>
      <c r="O965" s="67"/>
      <c r="P965" s="11"/>
    </row>
    <row r="966" spans="1:16" x14ac:dyDescent="0.25">
      <c r="A966" s="65" t="str">
        <f t="shared" si="14"/>
        <v/>
      </c>
      <c r="F966" s="95" t="str">
        <f>IFERROR(VLOOKUP(B966,tblPeople[],14,FALSE),"")</f>
        <v/>
      </c>
      <c r="G966" s="11"/>
      <c r="H966" s="67"/>
      <c r="I966" s="11"/>
      <c r="J966" s="11"/>
      <c r="K966" s="11"/>
      <c r="L966" s="11"/>
      <c r="M966" s="11"/>
      <c r="N966" s="11"/>
      <c r="O966" s="67"/>
      <c r="P966" s="11"/>
    </row>
    <row r="967" spans="1:16" x14ac:dyDescent="0.25">
      <c r="A967" s="65" t="str">
        <f t="shared" si="14"/>
        <v/>
      </c>
      <c r="F967" s="95" t="str">
        <f>IFERROR(VLOOKUP(B967,tblPeople[],14,FALSE),"")</f>
        <v/>
      </c>
      <c r="G967" s="11"/>
      <c r="H967" s="67"/>
      <c r="I967" s="11"/>
      <c r="J967" s="11"/>
      <c r="K967" s="11"/>
      <c r="L967" s="11"/>
      <c r="M967" s="11"/>
      <c r="N967" s="11"/>
      <c r="O967" s="67"/>
      <c r="P967" s="11"/>
    </row>
    <row r="968" spans="1:16" x14ac:dyDescent="0.25">
      <c r="A968" s="65" t="str">
        <f t="shared" si="14"/>
        <v/>
      </c>
      <c r="F968" s="95" t="str">
        <f>IFERROR(VLOOKUP(B968,tblPeople[],14,FALSE),"")</f>
        <v/>
      </c>
      <c r="G968" s="11"/>
      <c r="H968" s="67"/>
      <c r="I968" s="11"/>
      <c r="J968" s="11"/>
      <c r="K968" s="11"/>
      <c r="L968" s="11"/>
      <c r="M968" s="11"/>
      <c r="N968" s="11"/>
      <c r="O968" s="67"/>
      <c r="P968" s="11"/>
    </row>
    <row r="969" spans="1:16" x14ac:dyDescent="0.25">
      <c r="A969" s="65" t="str">
        <f t="shared" si="14"/>
        <v/>
      </c>
      <c r="F969" s="95" t="str">
        <f>IFERROR(VLOOKUP(B969,tblPeople[],14,FALSE),"")</f>
        <v/>
      </c>
      <c r="G969" s="11"/>
      <c r="H969" s="67"/>
      <c r="I969" s="11"/>
      <c r="J969" s="11"/>
      <c r="K969" s="11"/>
      <c r="L969" s="11"/>
      <c r="M969" s="11"/>
      <c r="N969" s="11"/>
      <c r="O969" s="67"/>
      <c r="P969" s="11"/>
    </row>
    <row r="970" spans="1:16" x14ac:dyDescent="0.25">
      <c r="A970" s="65" t="str">
        <f t="shared" si="14"/>
        <v/>
      </c>
      <c r="F970" s="95" t="str">
        <f>IFERROR(VLOOKUP(B970,tblPeople[],14,FALSE),"")</f>
        <v/>
      </c>
      <c r="G970" s="11"/>
      <c r="H970" s="67"/>
      <c r="I970" s="11"/>
      <c r="J970" s="11"/>
      <c r="K970" s="11"/>
      <c r="L970" s="11"/>
      <c r="M970" s="11"/>
      <c r="N970" s="11"/>
      <c r="O970" s="67"/>
      <c r="P970" s="11"/>
    </row>
    <row r="971" spans="1:16" x14ac:dyDescent="0.25">
      <c r="A971" s="65" t="str">
        <f t="shared" si="14"/>
        <v/>
      </c>
      <c r="F971" s="95" t="str">
        <f>IFERROR(VLOOKUP(B971,tblPeople[],14,FALSE),"")</f>
        <v/>
      </c>
      <c r="G971" s="11"/>
      <c r="H971" s="67"/>
      <c r="I971" s="11"/>
      <c r="J971" s="11"/>
      <c r="K971" s="11"/>
      <c r="L971" s="11"/>
      <c r="M971" s="11"/>
      <c r="N971" s="11"/>
      <c r="O971" s="67"/>
      <c r="P971" s="11"/>
    </row>
    <row r="972" spans="1:16" x14ac:dyDescent="0.25">
      <c r="A972" s="65" t="str">
        <f t="shared" si="14"/>
        <v/>
      </c>
      <c r="F972" s="95" t="str">
        <f>IFERROR(VLOOKUP(B972,tblPeople[],14,FALSE),"")</f>
        <v/>
      </c>
      <c r="G972" s="11"/>
      <c r="H972" s="67"/>
      <c r="I972" s="11"/>
      <c r="J972" s="11"/>
      <c r="K972" s="11"/>
      <c r="L972" s="11"/>
      <c r="M972" s="11"/>
      <c r="N972" s="11"/>
      <c r="O972" s="67"/>
      <c r="P972" s="11"/>
    </row>
    <row r="973" spans="1:16" x14ac:dyDescent="0.25">
      <c r="A973" s="65" t="str">
        <f t="shared" si="14"/>
        <v/>
      </c>
      <c r="F973" s="95" t="str">
        <f>IFERROR(VLOOKUP(B973,tblPeople[],14,FALSE),"")</f>
        <v/>
      </c>
      <c r="G973" s="11"/>
      <c r="H973" s="67"/>
      <c r="I973" s="11"/>
      <c r="J973" s="11"/>
      <c r="K973" s="11"/>
      <c r="L973" s="11"/>
      <c r="M973" s="11"/>
      <c r="N973" s="11"/>
      <c r="O973" s="67"/>
      <c r="P973" s="11"/>
    </row>
    <row r="974" spans="1:16" x14ac:dyDescent="0.25">
      <c r="A974" s="65" t="str">
        <f t="shared" si="14"/>
        <v/>
      </c>
      <c r="F974" s="95" t="str">
        <f>IFERROR(VLOOKUP(B974,tblPeople[],14,FALSE),"")</f>
        <v/>
      </c>
      <c r="G974" s="11"/>
      <c r="H974" s="67"/>
      <c r="I974" s="11"/>
      <c r="J974" s="11"/>
      <c r="K974" s="11"/>
      <c r="L974" s="11"/>
      <c r="M974" s="11"/>
      <c r="N974" s="11"/>
      <c r="O974" s="67"/>
      <c r="P974" s="11"/>
    </row>
    <row r="975" spans="1:16" x14ac:dyDescent="0.25">
      <c r="A975" s="65" t="str">
        <f t="shared" si="14"/>
        <v/>
      </c>
      <c r="F975" s="95" t="str">
        <f>IFERROR(VLOOKUP(B975,tblPeople[],14,FALSE),"")</f>
        <v/>
      </c>
      <c r="G975" s="11"/>
      <c r="H975" s="67"/>
      <c r="I975" s="11"/>
      <c r="J975" s="11"/>
      <c r="K975" s="11"/>
      <c r="L975" s="11"/>
      <c r="M975" s="11"/>
      <c r="N975" s="11"/>
      <c r="O975" s="67"/>
      <c r="P975" s="11"/>
    </row>
    <row r="976" spans="1:16" x14ac:dyDescent="0.25">
      <c r="A976" s="65" t="str">
        <f t="shared" si="14"/>
        <v/>
      </c>
      <c r="F976" s="95" t="str">
        <f>IFERROR(VLOOKUP(B976,tblPeople[],14,FALSE),"")</f>
        <v/>
      </c>
      <c r="G976" s="11"/>
      <c r="H976" s="67"/>
      <c r="I976" s="11"/>
      <c r="J976" s="11"/>
      <c r="K976" s="11"/>
      <c r="L976" s="11"/>
      <c r="M976" s="11"/>
      <c r="N976" s="11"/>
      <c r="O976" s="67"/>
      <c r="P976" s="11"/>
    </row>
    <row r="977" spans="1:16" x14ac:dyDescent="0.25">
      <c r="A977" s="65" t="str">
        <f t="shared" si="14"/>
        <v/>
      </c>
      <c r="F977" s="95" t="str">
        <f>IFERROR(VLOOKUP(B977,tblPeople[],14,FALSE),"")</f>
        <v/>
      </c>
      <c r="G977" s="11"/>
      <c r="H977" s="67"/>
      <c r="I977" s="11"/>
      <c r="J977" s="11"/>
      <c r="K977" s="11"/>
      <c r="L977" s="11"/>
      <c r="M977" s="11"/>
      <c r="N977" s="11"/>
      <c r="O977" s="67"/>
      <c r="P977" s="11"/>
    </row>
    <row r="978" spans="1:16" x14ac:dyDescent="0.25">
      <c r="A978" s="65" t="str">
        <f t="shared" ref="A978:A1041" si="15">IF(B978=ISBLANK(""),"",A977+1)</f>
        <v/>
      </c>
      <c r="F978" s="95" t="str">
        <f>IFERROR(VLOOKUP(B978,tblPeople[],14,FALSE),"")</f>
        <v/>
      </c>
      <c r="G978" s="11"/>
      <c r="H978" s="67"/>
      <c r="I978" s="11"/>
      <c r="J978" s="11"/>
      <c r="K978" s="11"/>
      <c r="L978" s="11"/>
      <c r="M978" s="11"/>
      <c r="N978" s="11"/>
      <c r="O978" s="67"/>
      <c r="P978" s="11"/>
    </row>
    <row r="979" spans="1:16" x14ac:dyDescent="0.25">
      <c r="A979" s="65" t="str">
        <f t="shared" si="15"/>
        <v/>
      </c>
      <c r="F979" s="95" t="str">
        <f>IFERROR(VLOOKUP(B979,tblPeople[],14,FALSE),"")</f>
        <v/>
      </c>
      <c r="G979" s="11"/>
      <c r="H979" s="67"/>
      <c r="I979" s="11"/>
      <c r="J979" s="11"/>
      <c r="K979" s="11"/>
      <c r="L979" s="11"/>
      <c r="M979" s="11"/>
      <c r="N979" s="11"/>
      <c r="O979" s="67"/>
      <c r="P979" s="11"/>
    </row>
    <row r="980" spans="1:16" x14ac:dyDescent="0.25">
      <c r="A980" s="65" t="str">
        <f t="shared" si="15"/>
        <v/>
      </c>
      <c r="F980" s="95" t="str">
        <f>IFERROR(VLOOKUP(B980,tblPeople[],14,FALSE),"")</f>
        <v/>
      </c>
      <c r="G980" s="11"/>
      <c r="H980" s="67"/>
      <c r="I980" s="11"/>
      <c r="J980" s="11"/>
      <c r="K980" s="11"/>
      <c r="L980" s="11"/>
      <c r="M980" s="11"/>
      <c r="N980" s="11"/>
      <c r="O980" s="67"/>
      <c r="P980" s="11"/>
    </row>
    <row r="981" spans="1:16" x14ac:dyDescent="0.25">
      <c r="A981" s="65" t="str">
        <f t="shared" si="15"/>
        <v/>
      </c>
      <c r="F981" s="95" t="str">
        <f>IFERROR(VLOOKUP(B981,tblPeople[],14,FALSE),"")</f>
        <v/>
      </c>
      <c r="G981" s="11"/>
      <c r="H981" s="67"/>
      <c r="I981" s="11"/>
      <c r="J981" s="11"/>
      <c r="K981" s="11"/>
      <c r="L981" s="11"/>
      <c r="M981" s="11"/>
      <c r="N981" s="11"/>
      <c r="O981" s="67"/>
      <c r="P981" s="11"/>
    </row>
    <row r="982" spans="1:16" x14ac:dyDescent="0.25">
      <c r="A982" s="65" t="str">
        <f t="shared" si="15"/>
        <v/>
      </c>
      <c r="F982" s="95" t="str">
        <f>IFERROR(VLOOKUP(B982,tblPeople[],14,FALSE),"")</f>
        <v/>
      </c>
      <c r="G982" s="11"/>
      <c r="H982" s="67"/>
      <c r="I982" s="11"/>
      <c r="J982" s="11"/>
      <c r="K982" s="11"/>
      <c r="L982" s="11"/>
      <c r="M982" s="11"/>
      <c r="N982" s="11"/>
      <c r="O982" s="67"/>
      <c r="P982" s="11"/>
    </row>
    <row r="983" spans="1:16" x14ac:dyDescent="0.25">
      <c r="A983" s="65" t="str">
        <f t="shared" si="15"/>
        <v/>
      </c>
      <c r="F983" s="95" t="str">
        <f>IFERROR(VLOOKUP(B983,tblPeople[],14,FALSE),"")</f>
        <v/>
      </c>
      <c r="G983" s="11"/>
      <c r="H983" s="67"/>
      <c r="I983" s="11"/>
      <c r="J983" s="11"/>
      <c r="K983" s="11"/>
      <c r="L983" s="11"/>
      <c r="M983" s="11"/>
      <c r="N983" s="11"/>
      <c r="O983" s="67"/>
      <c r="P983" s="11"/>
    </row>
    <row r="984" spans="1:16" x14ac:dyDescent="0.25">
      <c r="A984" s="65" t="str">
        <f t="shared" si="15"/>
        <v/>
      </c>
      <c r="F984" s="95" t="str">
        <f>IFERROR(VLOOKUP(B984,tblPeople[],14,FALSE),"")</f>
        <v/>
      </c>
      <c r="G984" s="11"/>
      <c r="H984" s="67"/>
      <c r="I984" s="11"/>
      <c r="J984" s="11"/>
      <c r="K984" s="11"/>
      <c r="L984" s="11"/>
      <c r="M984" s="11"/>
      <c r="N984" s="11"/>
      <c r="O984" s="67"/>
      <c r="P984" s="11"/>
    </row>
    <row r="985" spans="1:16" x14ac:dyDescent="0.25">
      <c r="A985" s="65" t="str">
        <f t="shared" si="15"/>
        <v/>
      </c>
      <c r="F985" s="95" t="str">
        <f>IFERROR(VLOOKUP(B985,tblPeople[],14,FALSE),"")</f>
        <v/>
      </c>
      <c r="G985" s="11"/>
      <c r="H985" s="67"/>
      <c r="I985" s="11"/>
      <c r="J985" s="11"/>
      <c r="K985" s="11"/>
      <c r="L985" s="11"/>
      <c r="M985" s="11"/>
      <c r="N985" s="11"/>
      <c r="O985" s="67"/>
      <c r="P985" s="11"/>
    </row>
    <row r="986" spans="1:16" x14ac:dyDescent="0.25">
      <c r="A986" s="65" t="str">
        <f t="shared" si="15"/>
        <v/>
      </c>
      <c r="F986" s="95" t="str">
        <f>IFERROR(VLOOKUP(B986,tblPeople[],14,FALSE),"")</f>
        <v/>
      </c>
      <c r="G986" s="11"/>
      <c r="H986" s="67"/>
      <c r="I986" s="11"/>
      <c r="J986" s="11"/>
      <c r="K986" s="11"/>
      <c r="L986" s="11"/>
      <c r="M986" s="11"/>
      <c r="N986" s="11"/>
      <c r="O986" s="67"/>
      <c r="P986" s="11"/>
    </row>
    <row r="987" spans="1:16" x14ac:dyDescent="0.25">
      <c r="A987" s="65" t="str">
        <f t="shared" si="15"/>
        <v/>
      </c>
      <c r="F987" s="95" t="str">
        <f>IFERROR(VLOOKUP(B987,tblPeople[],14,FALSE),"")</f>
        <v/>
      </c>
      <c r="G987" s="11"/>
      <c r="H987" s="67"/>
      <c r="I987" s="11"/>
      <c r="J987" s="11"/>
      <c r="K987" s="11"/>
      <c r="L987" s="11"/>
      <c r="M987" s="11"/>
      <c r="N987" s="11"/>
      <c r="O987" s="67"/>
      <c r="P987" s="11"/>
    </row>
    <row r="988" spans="1:16" x14ac:dyDescent="0.25">
      <c r="A988" s="65" t="str">
        <f t="shared" si="15"/>
        <v/>
      </c>
      <c r="F988" s="95" t="str">
        <f>IFERROR(VLOOKUP(B988,tblPeople[],14,FALSE),"")</f>
        <v/>
      </c>
      <c r="G988" s="11"/>
      <c r="H988" s="67"/>
      <c r="I988" s="11"/>
      <c r="J988" s="11"/>
      <c r="K988" s="11"/>
      <c r="L988" s="11"/>
      <c r="M988" s="11"/>
      <c r="N988" s="11"/>
      <c r="O988" s="67"/>
      <c r="P988" s="11"/>
    </row>
    <row r="989" spans="1:16" x14ac:dyDescent="0.25">
      <c r="A989" s="65" t="str">
        <f t="shared" si="15"/>
        <v/>
      </c>
      <c r="F989" s="95" t="str">
        <f>IFERROR(VLOOKUP(B989,tblPeople[],14,FALSE),"")</f>
        <v/>
      </c>
      <c r="G989" s="11"/>
      <c r="H989" s="67"/>
      <c r="I989" s="11"/>
      <c r="J989" s="11"/>
      <c r="K989" s="11"/>
      <c r="L989" s="11"/>
      <c r="M989" s="11"/>
      <c r="N989" s="11"/>
      <c r="O989" s="67"/>
      <c r="P989" s="11"/>
    </row>
    <row r="990" spans="1:16" x14ac:dyDescent="0.25">
      <c r="A990" s="65" t="str">
        <f t="shared" si="15"/>
        <v/>
      </c>
      <c r="F990" s="95" t="str">
        <f>IFERROR(VLOOKUP(B990,tblPeople[],14,FALSE),"")</f>
        <v/>
      </c>
      <c r="G990" s="11"/>
      <c r="H990" s="67"/>
      <c r="I990" s="11"/>
      <c r="J990" s="11"/>
      <c r="K990" s="11"/>
      <c r="L990" s="11"/>
      <c r="M990" s="11"/>
      <c r="N990" s="11"/>
      <c r="O990" s="67"/>
      <c r="P990" s="11"/>
    </row>
    <row r="991" spans="1:16" x14ac:dyDescent="0.25">
      <c r="A991" s="65" t="str">
        <f t="shared" si="15"/>
        <v/>
      </c>
      <c r="F991" s="95" t="str">
        <f>IFERROR(VLOOKUP(B991,tblPeople[],14,FALSE),"")</f>
        <v/>
      </c>
      <c r="G991" s="11"/>
      <c r="H991" s="67"/>
      <c r="I991" s="11"/>
      <c r="J991" s="11"/>
      <c r="K991" s="11"/>
      <c r="L991" s="11"/>
      <c r="M991" s="11"/>
      <c r="N991" s="11"/>
      <c r="O991" s="67"/>
      <c r="P991" s="11"/>
    </row>
    <row r="992" spans="1:16" x14ac:dyDescent="0.25">
      <c r="A992" s="65" t="str">
        <f t="shared" si="15"/>
        <v/>
      </c>
      <c r="F992" s="95" t="str">
        <f>IFERROR(VLOOKUP(B992,tblPeople[],14,FALSE),"")</f>
        <v/>
      </c>
      <c r="G992" s="11"/>
      <c r="H992" s="67"/>
      <c r="I992" s="11"/>
      <c r="J992" s="11"/>
      <c r="K992" s="11"/>
      <c r="L992" s="11"/>
      <c r="M992" s="11"/>
      <c r="N992" s="11"/>
      <c r="O992" s="67"/>
      <c r="P992" s="11"/>
    </row>
    <row r="993" spans="1:16" x14ac:dyDescent="0.25">
      <c r="A993" s="65" t="str">
        <f t="shared" si="15"/>
        <v/>
      </c>
      <c r="F993" s="95" t="str">
        <f>IFERROR(VLOOKUP(B993,tblPeople[],14,FALSE),"")</f>
        <v/>
      </c>
      <c r="G993" s="11"/>
      <c r="H993" s="67"/>
      <c r="I993" s="11"/>
      <c r="J993" s="11"/>
      <c r="K993" s="11"/>
      <c r="L993" s="11"/>
      <c r="M993" s="11"/>
      <c r="N993" s="11"/>
      <c r="O993" s="67"/>
      <c r="P993" s="11"/>
    </row>
    <row r="994" spans="1:16" x14ac:dyDescent="0.25">
      <c r="A994" s="65" t="str">
        <f t="shared" si="15"/>
        <v/>
      </c>
      <c r="F994" s="95" t="str">
        <f>IFERROR(VLOOKUP(B994,tblPeople[],14,FALSE),"")</f>
        <v/>
      </c>
      <c r="G994" s="11"/>
      <c r="H994" s="67"/>
      <c r="I994" s="11"/>
      <c r="J994" s="11"/>
      <c r="K994" s="11"/>
      <c r="L994" s="11"/>
      <c r="M994" s="11"/>
      <c r="N994" s="11"/>
      <c r="O994" s="67"/>
      <c r="P994" s="11"/>
    </row>
    <row r="995" spans="1:16" x14ac:dyDescent="0.25">
      <c r="A995" s="65" t="str">
        <f t="shared" si="15"/>
        <v/>
      </c>
      <c r="F995" s="95" t="str">
        <f>IFERROR(VLOOKUP(B995,tblPeople[],14,FALSE),"")</f>
        <v/>
      </c>
      <c r="G995" s="11"/>
      <c r="H995" s="67"/>
      <c r="I995" s="11"/>
      <c r="J995" s="11"/>
      <c r="K995" s="11"/>
      <c r="L995" s="11"/>
      <c r="M995" s="11"/>
      <c r="N995" s="11"/>
      <c r="O995" s="67"/>
      <c r="P995" s="11"/>
    </row>
    <row r="996" spans="1:16" x14ac:dyDescent="0.25">
      <c r="A996" s="65" t="str">
        <f t="shared" si="15"/>
        <v/>
      </c>
      <c r="F996" s="95" t="str">
        <f>IFERROR(VLOOKUP(B996,tblPeople[],14,FALSE),"")</f>
        <v/>
      </c>
      <c r="G996" s="11"/>
      <c r="H996" s="67"/>
      <c r="I996" s="11"/>
      <c r="J996" s="11"/>
      <c r="K996" s="11"/>
      <c r="L996" s="11"/>
      <c r="M996" s="11"/>
      <c r="N996" s="11"/>
      <c r="O996" s="67"/>
      <c r="P996" s="11"/>
    </row>
    <row r="997" spans="1:16" x14ac:dyDescent="0.25">
      <c r="A997" s="65" t="str">
        <f t="shared" si="15"/>
        <v/>
      </c>
      <c r="F997" s="95" t="str">
        <f>IFERROR(VLOOKUP(B997,tblPeople[],14,FALSE),"")</f>
        <v/>
      </c>
      <c r="G997" s="11"/>
      <c r="H997" s="67"/>
      <c r="I997" s="11"/>
      <c r="J997" s="11"/>
      <c r="K997" s="11"/>
      <c r="L997" s="11"/>
      <c r="M997" s="11"/>
      <c r="N997" s="11"/>
      <c r="O997" s="67"/>
      <c r="P997" s="11"/>
    </row>
    <row r="998" spans="1:16" x14ac:dyDescent="0.25">
      <c r="A998" s="65" t="str">
        <f t="shared" si="15"/>
        <v/>
      </c>
      <c r="F998" s="95" t="str">
        <f>IFERROR(VLOOKUP(B998,tblPeople[],14,FALSE),"")</f>
        <v/>
      </c>
      <c r="G998" s="11"/>
      <c r="H998" s="67"/>
      <c r="I998" s="11"/>
      <c r="J998" s="11"/>
      <c r="K998" s="11"/>
      <c r="L998" s="11"/>
      <c r="M998" s="11"/>
      <c r="N998" s="11"/>
      <c r="O998" s="67"/>
      <c r="P998" s="11"/>
    </row>
    <row r="999" spans="1:16" x14ac:dyDescent="0.25">
      <c r="A999" s="65" t="str">
        <f t="shared" si="15"/>
        <v/>
      </c>
      <c r="F999" s="95" t="str">
        <f>IFERROR(VLOOKUP(B999,tblPeople[],14,FALSE),"")</f>
        <v/>
      </c>
      <c r="G999" s="11"/>
      <c r="H999" s="67"/>
      <c r="I999" s="11"/>
      <c r="J999" s="11"/>
      <c r="K999" s="11"/>
      <c r="L999" s="11"/>
      <c r="M999" s="11"/>
      <c r="N999" s="11"/>
      <c r="O999" s="67"/>
      <c r="P999" s="11"/>
    </row>
    <row r="1000" spans="1:16" x14ac:dyDescent="0.25">
      <c r="A1000" s="65" t="str">
        <f t="shared" si="15"/>
        <v/>
      </c>
      <c r="F1000" s="95" t="str">
        <f>IFERROR(VLOOKUP(B1000,tblPeople[],14,FALSE),"")</f>
        <v/>
      </c>
      <c r="G1000" s="11"/>
      <c r="H1000" s="67"/>
      <c r="I1000" s="11"/>
      <c r="J1000" s="11"/>
      <c r="K1000" s="11"/>
      <c r="L1000" s="11"/>
      <c r="M1000" s="11"/>
      <c r="N1000" s="11"/>
      <c r="O1000" s="67"/>
      <c r="P1000" s="11"/>
    </row>
    <row r="1001" spans="1:16" x14ac:dyDescent="0.25">
      <c r="A1001" s="65" t="str">
        <f t="shared" si="15"/>
        <v/>
      </c>
      <c r="F1001" s="95" t="str">
        <f>IFERROR(VLOOKUP(B1001,tblPeople[],14,FALSE),"")</f>
        <v/>
      </c>
      <c r="G1001" s="11"/>
      <c r="H1001" s="67"/>
      <c r="I1001" s="11"/>
      <c r="J1001" s="11"/>
      <c r="K1001" s="11"/>
      <c r="L1001" s="11"/>
      <c r="M1001" s="11"/>
      <c r="N1001" s="11"/>
      <c r="O1001" s="67"/>
      <c r="P1001" s="11"/>
    </row>
    <row r="1002" spans="1:16" x14ac:dyDescent="0.25">
      <c r="A1002" s="65" t="str">
        <f t="shared" si="15"/>
        <v/>
      </c>
      <c r="F1002" s="95" t="str">
        <f>IFERROR(VLOOKUP(B1002,tblPeople[],14,FALSE),"")</f>
        <v/>
      </c>
      <c r="G1002" s="11"/>
      <c r="H1002" s="67"/>
      <c r="I1002" s="11"/>
      <c r="J1002" s="11"/>
      <c r="K1002" s="11"/>
      <c r="L1002" s="11"/>
      <c r="M1002" s="11"/>
      <c r="N1002" s="11"/>
      <c r="O1002" s="67"/>
      <c r="P1002" s="11"/>
    </row>
    <row r="1003" spans="1:16" x14ac:dyDescent="0.25">
      <c r="A1003" s="65" t="str">
        <f t="shared" si="15"/>
        <v/>
      </c>
      <c r="F1003" s="95" t="str">
        <f>IFERROR(VLOOKUP(B1003,tblPeople[],14,FALSE),"")</f>
        <v/>
      </c>
      <c r="G1003" s="11"/>
      <c r="H1003" s="67"/>
      <c r="I1003" s="11"/>
      <c r="J1003" s="11"/>
      <c r="K1003" s="11"/>
      <c r="L1003" s="11"/>
      <c r="M1003" s="11"/>
      <c r="N1003" s="11"/>
      <c r="O1003" s="67"/>
      <c r="P1003" s="11"/>
    </row>
    <row r="1004" spans="1:16" x14ac:dyDescent="0.25">
      <c r="A1004" s="65" t="str">
        <f t="shared" si="15"/>
        <v/>
      </c>
      <c r="F1004" s="95" t="str">
        <f>IFERROR(VLOOKUP(B1004,tblPeople[],14,FALSE),"")</f>
        <v/>
      </c>
      <c r="G1004" s="11"/>
      <c r="H1004" s="67"/>
      <c r="I1004" s="11"/>
      <c r="J1004" s="11"/>
      <c r="K1004" s="11"/>
      <c r="L1004" s="11"/>
      <c r="M1004" s="11"/>
      <c r="N1004" s="11"/>
      <c r="O1004" s="67"/>
      <c r="P1004" s="11"/>
    </row>
    <row r="1005" spans="1:16" x14ac:dyDescent="0.25">
      <c r="A1005" s="65" t="str">
        <f t="shared" si="15"/>
        <v/>
      </c>
      <c r="F1005" s="95" t="str">
        <f>IFERROR(VLOOKUP(B1005,tblPeople[],14,FALSE),"")</f>
        <v/>
      </c>
      <c r="G1005" s="11"/>
      <c r="H1005" s="67"/>
      <c r="I1005" s="11"/>
      <c r="J1005" s="11"/>
      <c r="K1005" s="11"/>
      <c r="L1005" s="11"/>
      <c r="M1005" s="11"/>
      <c r="N1005" s="11"/>
      <c r="O1005" s="67"/>
      <c r="P1005" s="11"/>
    </row>
    <row r="1006" spans="1:16" x14ac:dyDescent="0.25">
      <c r="A1006" s="65" t="str">
        <f t="shared" si="15"/>
        <v/>
      </c>
      <c r="F1006" s="95" t="str">
        <f>IFERROR(VLOOKUP(B1006,tblPeople[],14,FALSE),"")</f>
        <v/>
      </c>
      <c r="G1006" s="11"/>
      <c r="H1006" s="67"/>
      <c r="I1006" s="11"/>
      <c r="J1006" s="11"/>
      <c r="K1006" s="11"/>
      <c r="L1006" s="11"/>
      <c r="M1006" s="11"/>
      <c r="N1006" s="11"/>
      <c r="O1006" s="67"/>
      <c r="P1006" s="11"/>
    </row>
    <row r="1007" spans="1:16" x14ac:dyDescent="0.25">
      <c r="A1007" s="65" t="str">
        <f t="shared" si="15"/>
        <v/>
      </c>
      <c r="F1007" s="95" t="str">
        <f>IFERROR(VLOOKUP(B1007,tblPeople[],14,FALSE),"")</f>
        <v/>
      </c>
      <c r="G1007" s="11"/>
      <c r="H1007" s="67"/>
      <c r="I1007" s="11"/>
      <c r="J1007" s="11"/>
      <c r="K1007" s="11"/>
      <c r="L1007" s="11"/>
      <c r="M1007" s="11"/>
      <c r="N1007" s="11"/>
      <c r="O1007" s="67"/>
      <c r="P1007" s="11"/>
    </row>
    <row r="1008" spans="1:16" x14ac:dyDescent="0.25">
      <c r="A1008" s="65" t="str">
        <f t="shared" si="15"/>
        <v/>
      </c>
      <c r="F1008" s="95" t="str">
        <f>IFERROR(VLOOKUP(B1008,tblPeople[],14,FALSE),"")</f>
        <v/>
      </c>
      <c r="G1008" s="11"/>
      <c r="H1008" s="67"/>
      <c r="I1008" s="11"/>
      <c r="J1008" s="11"/>
      <c r="K1008" s="11"/>
      <c r="L1008" s="11"/>
      <c r="M1008" s="11"/>
      <c r="N1008" s="11"/>
      <c r="O1008" s="67"/>
      <c r="P1008" s="11"/>
    </row>
    <row r="1009" spans="1:16" x14ac:dyDescent="0.25">
      <c r="A1009" s="65" t="str">
        <f t="shared" si="15"/>
        <v/>
      </c>
      <c r="F1009" s="95" t="str">
        <f>IFERROR(VLOOKUP(B1009,tblPeople[],14,FALSE),"")</f>
        <v/>
      </c>
      <c r="G1009" s="11"/>
      <c r="H1009" s="67"/>
      <c r="I1009" s="11"/>
      <c r="J1009" s="11"/>
      <c r="K1009" s="11"/>
      <c r="L1009" s="11"/>
      <c r="M1009" s="11"/>
      <c r="N1009" s="11"/>
      <c r="O1009" s="67"/>
      <c r="P1009" s="11"/>
    </row>
    <row r="1010" spans="1:16" x14ac:dyDescent="0.25">
      <c r="A1010" s="65" t="str">
        <f t="shared" si="15"/>
        <v/>
      </c>
      <c r="F1010" s="95" t="str">
        <f>IFERROR(VLOOKUP(B1010,tblPeople[],14,FALSE),"")</f>
        <v/>
      </c>
      <c r="G1010" s="11"/>
      <c r="H1010" s="67"/>
      <c r="I1010" s="11"/>
      <c r="J1010" s="11"/>
      <c r="K1010" s="11"/>
      <c r="L1010" s="11"/>
      <c r="M1010" s="11"/>
      <c r="N1010" s="11"/>
      <c r="O1010" s="67"/>
      <c r="P1010" s="11"/>
    </row>
    <row r="1011" spans="1:16" x14ac:dyDescent="0.25">
      <c r="A1011" s="65" t="str">
        <f t="shared" si="15"/>
        <v/>
      </c>
      <c r="F1011" s="95" t="str">
        <f>IFERROR(VLOOKUP(B1011,tblPeople[],14,FALSE),"")</f>
        <v/>
      </c>
      <c r="G1011" s="11"/>
      <c r="H1011" s="67"/>
      <c r="I1011" s="11"/>
      <c r="J1011" s="11"/>
      <c r="K1011" s="11"/>
      <c r="L1011" s="11"/>
      <c r="M1011" s="11"/>
      <c r="N1011" s="11"/>
      <c r="O1011" s="67"/>
      <c r="P1011" s="11"/>
    </row>
    <row r="1012" spans="1:16" x14ac:dyDescent="0.25">
      <c r="A1012" s="65" t="str">
        <f t="shared" si="15"/>
        <v/>
      </c>
      <c r="F1012" s="95" t="str">
        <f>IFERROR(VLOOKUP(B1012,tblPeople[],14,FALSE),"")</f>
        <v/>
      </c>
      <c r="G1012" s="11"/>
      <c r="H1012" s="67"/>
      <c r="I1012" s="11"/>
      <c r="J1012" s="11"/>
      <c r="K1012" s="11"/>
      <c r="L1012" s="11"/>
      <c r="M1012" s="11"/>
      <c r="N1012" s="11"/>
      <c r="O1012" s="67"/>
      <c r="P1012" s="11"/>
    </row>
    <row r="1013" spans="1:16" x14ac:dyDescent="0.25">
      <c r="A1013" s="65" t="str">
        <f t="shared" si="15"/>
        <v/>
      </c>
      <c r="F1013" s="95" t="str">
        <f>IFERROR(VLOOKUP(B1013,tblPeople[],14,FALSE),"")</f>
        <v/>
      </c>
      <c r="G1013" s="11"/>
      <c r="H1013" s="67"/>
      <c r="I1013" s="11"/>
      <c r="J1013" s="11"/>
      <c r="K1013" s="11"/>
      <c r="L1013" s="11"/>
      <c r="M1013" s="11"/>
      <c r="N1013" s="11"/>
      <c r="O1013" s="67"/>
      <c r="P1013" s="11"/>
    </row>
    <row r="1014" spans="1:16" x14ac:dyDescent="0.25">
      <c r="A1014" s="65" t="str">
        <f t="shared" si="15"/>
        <v/>
      </c>
      <c r="F1014" s="95" t="str">
        <f>IFERROR(VLOOKUP(B1014,tblPeople[],14,FALSE),"")</f>
        <v/>
      </c>
      <c r="G1014" s="11"/>
      <c r="H1014" s="67"/>
      <c r="I1014" s="11"/>
      <c r="J1014" s="11"/>
      <c r="K1014" s="11"/>
      <c r="L1014" s="11"/>
      <c r="M1014" s="11"/>
      <c r="N1014" s="11"/>
      <c r="O1014" s="67"/>
      <c r="P1014" s="11"/>
    </row>
    <row r="1015" spans="1:16" x14ac:dyDescent="0.25">
      <c r="A1015" s="65" t="str">
        <f t="shared" si="15"/>
        <v/>
      </c>
      <c r="F1015" s="95" t="str">
        <f>IFERROR(VLOOKUP(B1015,tblPeople[],14,FALSE),"")</f>
        <v/>
      </c>
      <c r="G1015" s="11"/>
      <c r="H1015" s="67"/>
      <c r="I1015" s="11"/>
      <c r="J1015" s="11"/>
      <c r="K1015" s="11"/>
      <c r="L1015" s="11"/>
      <c r="M1015" s="11"/>
      <c r="N1015" s="11"/>
      <c r="O1015" s="67"/>
      <c r="P1015" s="11"/>
    </row>
    <row r="1016" spans="1:16" x14ac:dyDescent="0.25">
      <c r="A1016" s="65" t="str">
        <f t="shared" si="15"/>
        <v/>
      </c>
      <c r="F1016" s="95" t="str">
        <f>IFERROR(VLOOKUP(B1016,tblPeople[],14,FALSE),"")</f>
        <v/>
      </c>
      <c r="G1016" s="11"/>
      <c r="H1016" s="67"/>
      <c r="I1016" s="11"/>
      <c r="J1016" s="11"/>
      <c r="K1016" s="11"/>
      <c r="L1016" s="11"/>
      <c r="M1016" s="11"/>
      <c r="N1016" s="11"/>
      <c r="O1016" s="67"/>
      <c r="P1016" s="11"/>
    </row>
    <row r="1017" spans="1:16" x14ac:dyDescent="0.25">
      <c r="A1017" s="65" t="str">
        <f t="shared" si="15"/>
        <v/>
      </c>
      <c r="F1017" s="95" t="str">
        <f>IFERROR(VLOOKUP(B1017,tblPeople[],14,FALSE),"")</f>
        <v/>
      </c>
      <c r="G1017" s="11"/>
      <c r="H1017" s="67"/>
      <c r="I1017" s="11"/>
      <c r="J1017" s="11"/>
      <c r="K1017" s="11"/>
      <c r="L1017" s="11"/>
      <c r="M1017" s="11"/>
      <c r="N1017" s="11"/>
      <c r="O1017" s="67"/>
      <c r="P1017" s="11"/>
    </row>
    <row r="1018" spans="1:16" x14ac:dyDescent="0.25">
      <c r="A1018" s="65" t="str">
        <f t="shared" si="15"/>
        <v/>
      </c>
      <c r="F1018" s="95" t="str">
        <f>IFERROR(VLOOKUP(B1018,tblPeople[],14,FALSE),"")</f>
        <v/>
      </c>
      <c r="G1018" s="11"/>
      <c r="H1018" s="67"/>
      <c r="I1018" s="11"/>
      <c r="J1018" s="11"/>
      <c r="K1018" s="11"/>
      <c r="L1018" s="11"/>
      <c r="M1018" s="11"/>
      <c r="N1018" s="11"/>
      <c r="O1018" s="67"/>
      <c r="P1018" s="11"/>
    </row>
    <row r="1019" spans="1:16" x14ac:dyDescent="0.25">
      <c r="A1019" s="65" t="str">
        <f t="shared" si="15"/>
        <v/>
      </c>
      <c r="F1019" s="95" t="str">
        <f>IFERROR(VLOOKUP(B1019,tblPeople[],14,FALSE),"")</f>
        <v/>
      </c>
      <c r="G1019" s="11"/>
      <c r="H1019" s="67"/>
      <c r="I1019" s="11"/>
      <c r="J1019" s="11"/>
      <c r="K1019" s="11"/>
      <c r="L1019" s="11"/>
      <c r="M1019" s="11"/>
      <c r="N1019" s="11"/>
      <c r="O1019" s="67"/>
      <c r="P1019" s="11"/>
    </row>
    <row r="1020" spans="1:16" x14ac:dyDescent="0.25">
      <c r="A1020" s="65" t="str">
        <f t="shared" si="15"/>
        <v/>
      </c>
      <c r="F1020" s="95" t="str">
        <f>IFERROR(VLOOKUP(B1020,tblPeople[],14,FALSE),"")</f>
        <v/>
      </c>
      <c r="G1020" s="11"/>
      <c r="H1020" s="67"/>
      <c r="I1020" s="11"/>
      <c r="J1020" s="11"/>
      <c r="K1020" s="11"/>
      <c r="L1020" s="11"/>
      <c r="M1020" s="11"/>
      <c r="N1020" s="11"/>
      <c r="O1020" s="67"/>
      <c r="P1020" s="11"/>
    </row>
    <row r="1021" spans="1:16" x14ac:dyDescent="0.25">
      <c r="A1021" s="65" t="str">
        <f t="shared" si="15"/>
        <v/>
      </c>
      <c r="F1021" s="95" t="str">
        <f>IFERROR(VLOOKUP(B1021,tblPeople[],14,FALSE),"")</f>
        <v/>
      </c>
      <c r="G1021" s="11"/>
      <c r="H1021" s="67"/>
      <c r="I1021" s="11"/>
      <c r="J1021" s="11"/>
      <c r="K1021" s="11"/>
      <c r="L1021" s="11"/>
      <c r="M1021" s="11"/>
      <c r="N1021" s="11"/>
      <c r="O1021" s="67"/>
      <c r="P1021" s="11"/>
    </row>
    <row r="1022" spans="1:16" x14ac:dyDescent="0.25">
      <c r="A1022" s="65" t="str">
        <f t="shared" si="15"/>
        <v/>
      </c>
      <c r="F1022" s="95" t="str">
        <f>IFERROR(VLOOKUP(B1022,tblPeople[],14,FALSE),"")</f>
        <v/>
      </c>
      <c r="G1022" s="11"/>
      <c r="H1022" s="67"/>
      <c r="I1022" s="11"/>
      <c r="J1022" s="11"/>
      <c r="K1022" s="11"/>
      <c r="L1022" s="11"/>
      <c r="M1022" s="11"/>
      <c r="N1022" s="11"/>
      <c r="O1022" s="67"/>
      <c r="P1022" s="11"/>
    </row>
    <row r="1023" spans="1:16" x14ac:dyDescent="0.25">
      <c r="A1023" s="65" t="str">
        <f t="shared" si="15"/>
        <v/>
      </c>
      <c r="F1023" s="95" t="str">
        <f>IFERROR(VLOOKUP(B1023,tblPeople[],14,FALSE),"")</f>
        <v/>
      </c>
      <c r="G1023" s="11"/>
      <c r="H1023" s="67"/>
      <c r="I1023" s="11"/>
      <c r="J1023" s="11"/>
      <c r="K1023" s="11"/>
      <c r="L1023" s="11"/>
      <c r="M1023" s="11"/>
      <c r="N1023" s="11"/>
      <c r="O1023" s="67"/>
      <c r="P1023" s="11"/>
    </row>
    <row r="1024" spans="1:16" x14ac:dyDescent="0.25">
      <c r="A1024" s="65" t="str">
        <f t="shared" si="15"/>
        <v/>
      </c>
      <c r="F1024" s="95" t="str">
        <f>IFERROR(VLOOKUP(B1024,tblPeople[],14,FALSE),"")</f>
        <v/>
      </c>
      <c r="G1024" s="11"/>
      <c r="H1024" s="67"/>
      <c r="I1024" s="11"/>
      <c r="J1024" s="11"/>
      <c r="K1024" s="11"/>
      <c r="L1024" s="11"/>
      <c r="M1024" s="11"/>
      <c r="N1024" s="11"/>
      <c r="O1024" s="67"/>
      <c r="P1024" s="11"/>
    </row>
    <row r="1025" spans="1:16" x14ac:dyDescent="0.25">
      <c r="A1025" s="65" t="str">
        <f t="shared" si="15"/>
        <v/>
      </c>
      <c r="F1025" s="95" t="str">
        <f>IFERROR(VLOOKUP(B1025,tblPeople[],14,FALSE),"")</f>
        <v/>
      </c>
      <c r="G1025" s="11"/>
      <c r="H1025" s="67"/>
      <c r="I1025" s="11"/>
      <c r="J1025" s="11"/>
      <c r="K1025" s="11"/>
      <c r="L1025" s="11"/>
      <c r="M1025" s="11"/>
      <c r="N1025" s="11"/>
      <c r="O1025" s="67"/>
      <c r="P1025" s="11"/>
    </row>
    <row r="1026" spans="1:16" x14ac:dyDescent="0.25">
      <c r="A1026" s="65" t="str">
        <f t="shared" si="15"/>
        <v/>
      </c>
      <c r="F1026" s="95" t="str">
        <f>IFERROR(VLOOKUP(B1026,tblPeople[],14,FALSE),"")</f>
        <v/>
      </c>
      <c r="G1026" s="11"/>
      <c r="H1026" s="67"/>
      <c r="I1026" s="11"/>
      <c r="J1026" s="11"/>
      <c r="K1026" s="11"/>
      <c r="L1026" s="11"/>
      <c r="M1026" s="11"/>
      <c r="N1026" s="11"/>
      <c r="O1026" s="67"/>
      <c r="P1026" s="11"/>
    </row>
    <row r="1027" spans="1:16" x14ac:dyDescent="0.25">
      <c r="A1027" s="65" t="str">
        <f t="shared" si="15"/>
        <v/>
      </c>
      <c r="F1027" s="95" t="str">
        <f>IFERROR(VLOOKUP(B1027,tblPeople[],14,FALSE),"")</f>
        <v/>
      </c>
      <c r="G1027" s="11"/>
      <c r="H1027" s="67"/>
      <c r="I1027" s="11"/>
      <c r="J1027" s="11"/>
      <c r="K1027" s="11"/>
      <c r="L1027" s="11"/>
      <c r="M1027" s="11"/>
      <c r="N1027" s="11"/>
      <c r="O1027" s="67"/>
      <c r="P1027" s="11"/>
    </row>
    <row r="1028" spans="1:16" x14ac:dyDescent="0.25">
      <c r="A1028" s="65" t="str">
        <f t="shared" si="15"/>
        <v/>
      </c>
      <c r="F1028" s="95" t="str">
        <f>IFERROR(VLOOKUP(B1028,tblPeople[],14,FALSE),"")</f>
        <v/>
      </c>
      <c r="G1028" s="11"/>
      <c r="H1028" s="67"/>
      <c r="I1028" s="11"/>
      <c r="J1028" s="11"/>
      <c r="K1028" s="11"/>
      <c r="L1028" s="11"/>
      <c r="M1028" s="11"/>
      <c r="N1028" s="11"/>
      <c r="O1028" s="67"/>
      <c r="P1028" s="11"/>
    </row>
    <row r="1029" spans="1:16" x14ac:dyDescent="0.25">
      <c r="A1029" s="65" t="str">
        <f t="shared" si="15"/>
        <v/>
      </c>
      <c r="F1029" s="95" t="str">
        <f>IFERROR(VLOOKUP(B1029,tblPeople[],14,FALSE),"")</f>
        <v/>
      </c>
      <c r="G1029" s="11"/>
      <c r="H1029" s="67"/>
      <c r="I1029" s="11"/>
      <c r="J1029" s="11"/>
      <c r="K1029" s="11"/>
      <c r="L1029" s="11"/>
      <c r="M1029" s="11"/>
      <c r="N1029" s="11"/>
      <c r="O1029" s="67"/>
      <c r="P1029" s="11"/>
    </row>
    <row r="1030" spans="1:16" x14ac:dyDescent="0.25">
      <c r="A1030" s="65" t="str">
        <f t="shared" si="15"/>
        <v/>
      </c>
      <c r="F1030" s="95" t="str">
        <f>IFERROR(VLOOKUP(B1030,tblPeople[],14,FALSE),"")</f>
        <v/>
      </c>
      <c r="G1030" s="11"/>
      <c r="H1030" s="67"/>
      <c r="I1030" s="11"/>
      <c r="J1030" s="11"/>
      <c r="K1030" s="11"/>
      <c r="L1030" s="11"/>
      <c r="M1030" s="11"/>
      <c r="N1030" s="11"/>
      <c r="O1030" s="67"/>
      <c r="P1030" s="11"/>
    </row>
    <row r="1031" spans="1:16" x14ac:dyDescent="0.25">
      <c r="A1031" s="65" t="str">
        <f t="shared" si="15"/>
        <v/>
      </c>
      <c r="F1031" s="95" t="str">
        <f>IFERROR(VLOOKUP(B1031,tblPeople[],14,FALSE),"")</f>
        <v/>
      </c>
      <c r="G1031" s="11"/>
      <c r="H1031" s="67"/>
      <c r="I1031" s="11"/>
      <c r="J1031" s="11"/>
      <c r="K1031" s="11"/>
      <c r="L1031" s="11"/>
      <c r="M1031" s="11"/>
      <c r="N1031" s="11"/>
      <c r="O1031" s="67"/>
      <c r="P1031" s="11"/>
    </row>
    <row r="1032" spans="1:16" x14ac:dyDescent="0.25">
      <c r="A1032" s="65" t="str">
        <f t="shared" si="15"/>
        <v/>
      </c>
      <c r="F1032" s="95" t="str">
        <f>IFERROR(VLOOKUP(B1032,tblPeople[],14,FALSE),"")</f>
        <v/>
      </c>
      <c r="G1032" s="11"/>
      <c r="H1032" s="67"/>
      <c r="I1032" s="11"/>
      <c r="J1032" s="11"/>
      <c r="K1032" s="11"/>
      <c r="L1032" s="11"/>
      <c r="M1032" s="11"/>
      <c r="N1032" s="11"/>
      <c r="O1032" s="67"/>
      <c r="P1032" s="11"/>
    </row>
    <row r="1033" spans="1:16" x14ac:dyDescent="0.25">
      <c r="A1033" s="65" t="str">
        <f t="shared" si="15"/>
        <v/>
      </c>
      <c r="F1033" s="95" t="str">
        <f>IFERROR(VLOOKUP(B1033,tblPeople[],14,FALSE),"")</f>
        <v/>
      </c>
      <c r="G1033" s="11"/>
      <c r="H1033" s="67"/>
      <c r="I1033" s="11"/>
      <c r="J1033" s="11"/>
      <c r="K1033" s="11"/>
      <c r="L1033" s="11"/>
      <c r="M1033" s="11"/>
      <c r="N1033" s="11"/>
      <c r="O1033" s="67"/>
      <c r="P1033" s="11"/>
    </row>
    <row r="1034" spans="1:16" x14ac:dyDescent="0.25">
      <c r="A1034" s="65" t="str">
        <f t="shared" si="15"/>
        <v/>
      </c>
      <c r="F1034" s="95" t="str">
        <f>IFERROR(VLOOKUP(B1034,tblPeople[],14,FALSE),"")</f>
        <v/>
      </c>
      <c r="G1034" s="11"/>
      <c r="H1034" s="67"/>
      <c r="I1034" s="11"/>
      <c r="J1034" s="11"/>
      <c r="K1034" s="11"/>
      <c r="L1034" s="11"/>
      <c r="M1034" s="11"/>
      <c r="N1034" s="11"/>
      <c r="O1034" s="67"/>
      <c r="P1034" s="11"/>
    </row>
    <row r="1035" spans="1:16" x14ac:dyDescent="0.25">
      <c r="A1035" s="65" t="str">
        <f t="shared" si="15"/>
        <v/>
      </c>
      <c r="F1035" s="95" t="str">
        <f>IFERROR(VLOOKUP(B1035,tblPeople[],14,FALSE),"")</f>
        <v/>
      </c>
      <c r="G1035" s="11"/>
      <c r="H1035" s="67"/>
      <c r="I1035" s="11"/>
      <c r="J1035" s="11"/>
      <c r="K1035" s="11"/>
      <c r="L1035" s="11"/>
      <c r="M1035" s="11"/>
      <c r="N1035" s="11"/>
      <c r="O1035" s="67"/>
      <c r="P1035" s="11"/>
    </row>
    <row r="1036" spans="1:16" x14ac:dyDescent="0.25">
      <c r="A1036" s="65" t="str">
        <f t="shared" si="15"/>
        <v/>
      </c>
      <c r="F1036" s="95" t="str">
        <f>IFERROR(VLOOKUP(B1036,tblPeople[],14,FALSE),"")</f>
        <v/>
      </c>
      <c r="G1036" s="11"/>
      <c r="H1036" s="67"/>
      <c r="I1036" s="11"/>
      <c r="J1036" s="11"/>
      <c r="K1036" s="11"/>
      <c r="L1036" s="11"/>
      <c r="M1036" s="11"/>
      <c r="N1036" s="11"/>
      <c r="O1036" s="67"/>
      <c r="P1036" s="11"/>
    </row>
    <row r="1037" spans="1:16" x14ac:dyDescent="0.25">
      <c r="A1037" s="65" t="str">
        <f t="shared" si="15"/>
        <v/>
      </c>
      <c r="F1037" s="95" t="str">
        <f>IFERROR(VLOOKUP(B1037,tblPeople[],14,FALSE),"")</f>
        <v/>
      </c>
      <c r="G1037" s="11"/>
      <c r="H1037" s="67"/>
      <c r="I1037" s="11"/>
      <c r="J1037" s="11"/>
      <c r="K1037" s="11"/>
      <c r="L1037" s="11"/>
      <c r="M1037" s="11"/>
      <c r="N1037" s="11"/>
      <c r="O1037" s="67"/>
      <c r="P1037" s="11"/>
    </row>
    <row r="1038" spans="1:16" x14ac:dyDescent="0.25">
      <c r="A1038" s="65" t="str">
        <f t="shared" si="15"/>
        <v/>
      </c>
      <c r="F1038" s="95" t="str">
        <f>IFERROR(VLOOKUP(B1038,tblPeople[],14,FALSE),"")</f>
        <v/>
      </c>
      <c r="G1038" s="11"/>
      <c r="H1038" s="67"/>
      <c r="I1038" s="11"/>
      <c r="J1038" s="11"/>
      <c r="K1038" s="11"/>
      <c r="L1038" s="11"/>
      <c r="M1038" s="11"/>
      <c r="N1038" s="11"/>
      <c r="O1038" s="67"/>
      <c r="P1038" s="11"/>
    </row>
    <row r="1039" spans="1:16" x14ac:dyDescent="0.25">
      <c r="A1039" s="65" t="str">
        <f t="shared" si="15"/>
        <v/>
      </c>
      <c r="F1039" s="95" t="str">
        <f>IFERROR(VLOOKUP(B1039,tblPeople[],14,FALSE),"")</f>
        <v/>
      </c>
      <c r="G1039" s="11"/>
      <c r="H1039" s="67"/>
      <c r="I1039" s="11"/>
      <c r="J1039" s="11"/>
      <c r="K1039" s="11"/>
      <c r="L1039" s="11"/>
      <c r="M1039" s="11"/>
      <c r="N1039" s="11"/>
      <c r="O1039" s="67"/>
      <c r="P1039" s="11"/>
    </row>
    <row r="1040" spans="1:16" x14ac:dyDescent="0.25">
      <c r="A1040" s="65" t="str">
        <f t="shared" si="15"/>
        <v/>
      </c>
      <c r="F1040" s="95" t="str">
        <f>IFERROR(VLOOKUP(B1040,tblPeople[],14,FALSE),"")</f>
        <v/>
      </c>
      <c r="G1040" s="11"/>
      <c r="H1040" s="67"/>
      <c r="I1040" s="11"/>
      <c r="J1040" s="11"/>
      <c r="K1040" s="11"/>
      <c r="L1040" s="11"/>
      <c r="M1040" s="11"/>
      <c r="N1040" s="11"/>
      <c r="O1040" s="67"/>
      <c r="P1040" s="11"/>
    </row>
    <row r="1041" spans="1:16" x14ac:dyDescent="0.25">
      <c r="A1041" s="65" t="str">
        <f t="shared" si="15"/>
        <v/>
      </c>
      <c r="F1041" s="95" t="str">
        <f>IFERROR(VLOOKUP(B1041,tblPeople[],14,FALSE),"")</f>
        <v/>
      </c>
      <c r="G1041" s="11"/>
      <c r="H1041" s="67"/>
      <c r="I1041" s="11"/>
      <c r="J1041" s="11"/>
      <c r="K1041" s="11"/>
      <c r="L1041" s="11"/>
      <c r="M1041" s="11"/>
      <c r="N1041" s="11"/>
      <c r="O1041" s="67"/>
      <c r="P1041" s="11"/>
    </row>
    <row r="1042" spans="1:16" x14ac:dyDescent="0.25">
      <c r="A1042" s="65" t="str">
        <f t="shared" ref="A1042:A1105" si="16">IF(B1042=ISBLANK(""),"",A1041+1)</f>
        <v/>
      </c>
      <c r="F1042" s="95" t="str">
        <f>IFERROR(VLOOKUP(B1042,tblPeople[],14,FALSE),"")</f>
        <v/>
      </c>
      <c r="G1042" s="11"/>
      <c r="H1042" s="67"/>
      <c r="I1042" s="11"/>
      <c r="J1042" s="11"/>
      <c r="K1042" s="11"/>
      <c r="L1042" s="11"/>
      <c r="M1042" s="11"/>
      <c r="N1042" s="11"/>
      <c r="O1042" s="67"/>
      <c r="P1042" s="11"/>
    </row>
    <row r="1043" spans="1:16" x14ac:dyDescent="0.25">
      <c r="A1043" s="65" t="str">
        <f t="shared" si="16"/>
        <v/>
      </c>
      <c r="F1043" s="95" t="str">
        <f>IFERROR(VLOOKUP(B1043,tblPeople[],14,FALSE),"")</f>
        <v/>
      </c>
      <c r="G1043" s="11"/>
      <c r="H1043" s="67"/>
      <c r="I1043" s="11"/>
      <c r="J1043" s="11"/>
      <c r="K1043" s="11"/>
      <c r="L1043" s="11"/>
      <c r="M1043" s="11"/>
      <c r="N1043" s="11"/>
      <c r="O1043" s="67"/>
      <c r="P1043" s="11"/>
    </row>
    <row r="1044" spans="1:16" x14ac:dyDescent="0.25">
      <c r="A1044" s="65" t="str">
        <f t="shared" si="16"/>
        <v/>
      </c>
      <c r="F1044" s="95" t="str">
        <f>IFERROR(VLOOKUP(B1044,tblPeople[],14,FALSE),"")</f>
        <v/>
      </c>
      <c r="G1044" s="11"/>
      <c r="H1044" s="67"/>
      <c r="I1044" s="11"/>
      <c r="J1044" s="11"/>
      <c r="K1044" s="11"/>
      <c r="L1044" s="11"/>
      <c r="M1044" s="11"/>
      <c r="N1044" s="11"/>
      <c r="O1044" s="67"/>
      <c r="P1044" s="11"/>
    </row>
    <row r="1045" spans="1:16" x14ac:dyDescent="0.25">
      <c r="A1045" s="65" t="str">
        <f t="shared" si="16"/>
        <v/>
      </c>
      <c r="F1045" s="95" t="str">
        <f>IFERROR(VLOOKUP(B1045,tblPeople[],14,FALSE),"")</f>
        <v/>
      </c>
      <c r="G1045" s="11"/>
      <c r="H1045" s="67"/>
      <c r="I1045" s="11"/>
      <c r="J1045" s="11"/>
      <c r="K1045" s="11"/>
      <c r="L1045" s="11"/>
      <c r="M1045" s="11"/>
      <c r="N1045" s="11"/>
      <c r="O1045" s="67"/>
      <c r="P1045" s="11"/>
    </row>
    <row r="1046" spans="1:16" x14ac:dyDescent="0.25">
      <c r="A1046" s="65" t="str">
        <f t="shared" si="16"/>
        <v/>
      </c>
      <c r="F1046" s="95" t="str">
        <f>IFERROR(VLOOKUP(B1046,tblPeople[],14,FALSE),"")</f>
        <v/>
      </c>
      <c r="G1046" s="11"/>
      <c r="H1046" s="67"/>
      <c r="I1046" s="11"/>
      <c r="J1046" s="11"/>
      <c r="K1046" s="11"/>
      <c r="L1046" s="11"/>
      <c r="M1046" s="11"/>
      <c r="N1046" s="11"/>
      <c r="O1046" s="67"/>
      <c r="P1046" s="11"/>
    </row>
    <row r="1047" spans="1:16" x14ac:dyDescent="0.25">
      <c r="A1047" s="65" t="str">
        <f t="shared" si="16"/>
        <v/>
      </c>
      <c r="F1047" s="95" t="str">
        <f>IFERROR(VLOOKUP(B1047,tblPeople[],14,FALSE),"")</f>
        <v/>
      </c>
      <c r="G1047" s="11"/>
      <c r="H1047" s="67"/>
      <c r="I1047" s="11"/>
      <c r="J1047" s="11"/>
      <c r="K1047" s="11"/>
      <c r="L1047" s="11"/>
      <c r="M1047" s="11"/>
      <c r="N1047" s="11"/>
      <c r="O1047" s="67"/>
      <c r="P1047" s="11"/>
    </row>
    <row r="1048" spans="1:16" x14ac:dyDescent="0.25">
      <c r="A1048" s="65" t="str">
        <f t="shared" si="16"/>
        <v/>
      </c>
      <c r="F1048" s="95" t="str">
        <f>IFERROR(VLOOKUP(B1048,tblPeople[],14,FALSE),"")</f>
        <v/>
      </c>
      <c r="G1048" s="11"/>
      <c r="H1048" s="67"/>
      <c r="I1048" s="11"/>
      <c r="J1048" s="11"/>
      <c r="K1048" s="11"/>
      <c r="L1048" s="11"/>
      <c r="M1048" s="11"/>
      <c r="N1048" s="11"/>
      <c r="O1048" s="67"/>
      <c r="P1048" s="11"/>
    </row>
    <row r="1049" spans="1:16" x14ac:dyDescent="0.25">
      <c r="A1049" s="65" t="str">
        <f t="shared" si="16"/>
        <v/>
      </c>
      <c r="F1049" s="95" t="str">
        <f>IFERROR(VLOOKUP(B1049,tblPeople[],14,FALSE),"")</f>
        <v/>
      </c>
      <c r="G1049" s="11"/>
      <c r="H1049" s="67"/>
      <c r="I1049" s="11"/>
      <c r="J1049" s="11"/>
      <c r="K1049" s="11"/>
      <c r="L1049" s="11"/>
      <c r="M1049" s="11"/>
      <c r="N1049" s="11"/>
      <c r="O1049" s="67"/>
      <c r="P1049" s="11"/>
    </row>
    <row r="1050" spans="1:16" x14ac:dyDescent="0.25">
      <c r="A1050" s="65" t="str">
        <f t="shared" si="16"/>
        <v/>
      </c>
      <c r="F1050" s="95" t="str">
        <f>IFERROR(VLOOKUP(B1050,tblPeople[],14,FALSE),"")</f>
        <v/>
      </c>
      <c r="G1050" s="11"/>
      <c r="H1050" s="67"/>
      <c r="I1050" s="11"/>
      <c r="J1050" s="11"/>
      <c r="K1050" s="11"/>
      <c r="L1050" s="11"/>
      <c r="M1050" s="11"/>
      <c r="N1050" s="11"/>
      <c r="O1050" s="67"/>
      <c r="P1050" s="11"/>
    </row>
    <row r="1051" spans="1:16" x14ac:dyDescent="0.25">
      <c r="A1051" s="65" t="str">
        <f t="shared" si="16"/>
        <v/>
      </c>
      <c r="F1051" s="95" t="str">
        <f>IFERROR(VLOOKUP(B1051,tblPeople[],14,FALSE),"")</f>
        <v/>
      </c>
      <c r="G1051" s="11"/>
      <c r="H1051" s="67"/>
      <c r="I1051" s="11"/>
      <c r="J1051" s="11"/>
      <c r="K1051" s="11"/>
      <c r="L1051" s="11"/>
      <c r="M1051" s="11"/>
      <c r="N1051" s="11"/>
      <c r="O1051" s="67"/>
      <c r="P1051" s="11"/>
    </row>
    <row r="1052" spans="1:16" x14ac:dyDescent="0.25">
      <c r="A1052" s="65" t="str">
        <f t="shared" si="16"/>
        <v/>
      </c>
      <c r="F1052" s="95" t="str">
        <f>IFERROR(VLOOKUP(B1052,tblPeople[],14,FALSE),"")</f>
        <v/>
      </c>
      <c r="G1052" s="11"/>
      <c r="H1052" s="67"/>
      <c r="I1052" s="11"/>
      <c r="J1052" s="11"/>
      <c r="K1052" s="11"/>
      <c r="L1052" s="11"/>
      <c r="M1052" s="11"/>
      <c r="N1052" s="11"/>
      <c r="O1052" s="67"/>
      <c r="P1052" s="11"/>
    </row>
    <row r="1053" spans="1:16" x14ac:dyDescent="0.25">
      <c r="A1053" s="65" t="str">
        <f t="shared" si="16"/>
        <v/>
      </c>
      <c r="F1053" s="95" t="str">
        <f>IFERROR(VLOOKUP(B1053,tblPeople[],14,FALSE),"")</f>
        <v/>
      </c>
      <c r="G1053" s="11"/>
      <c r="H1053" s="67"/>
      <c r="I1053" s="11"/>
      <c r="J1053" s="11"/>
      <c r="K1053" s="11"/>
      <c r="L1053" s="11"/>
      <c r="M1053" s="11"/>
      <c r="N1053" s="11"/>
      <c r="O1053" s="67"/>
      <c r="P1053" s="11"/>
    </row>
    <row r="1054" spans="1:16" x14ac:dyDescent="0.25">
      <c r="A1054" s="65" t="str">
        <f t="shared" si="16"/>
        <v/>
      </c>
      <c r="F1054" s="95" t="str">
        <f>IFERROR(VLOOKUP(B1054,tblPeople[],14,FALSE),"")</f>
        <v/>
      </c>
      <c r="G1054" s="11"/>
      <c r="H1054" s="67"/>
      <c r="I1054" s="11"/>
      <c r="J1054" s="11"/>
      <c r="K1054" s="11"/>
      <c r="L1054" s="11"/>
      <c r="M1054" s="11"/>
      <c r="N1054" s="11"/>
      <c r="O1054" s="67"/>
      <c r="P1054" s="11"/>
    </row>
    <row r="1055" spans="1:16" x14ac:dyDescent="0.25">
      <c r="A1055" s="65" t="str">
        <f t="shared" si="16"/>
        <v/>
      </c>
      <c r="F1055" s="95" t="str">
        <f>IFERROR(VLOOKUP(B1055,tblPeople[],14,FALSE),"")</f>
        <v/>
      </c>
      <c r="G1055" s="11"/>
      <c r="H1055" s="67"/>
      <c r="I1055" s="11"/>
      <c r="J1055" s="11"/>
      <c r="K1055" s="11"/>
      <c r="L1055" s="11"/>
      <c r="M1055" s="11"/>
      <c r="N1055" s="11"/>
      <c r="O1055" s="67"/>
      <c r="P1055" s="11"/>
    </row>
    <row r="1056" spans="1:16" x14ac:dyDescent="0.25">
      <c r="A1056" s="65" t="str">
        <f t="shared" si="16"/>
        <v/>
      </c>
      <c r="F1056" s="95" t="str">
        <f>IFERROR(VLOOKUP(B1056,tblPeople[],14,FALSE),"")</f>
        <v/>
      </c>
      <c r="G1056" s="11"/>
      <c r="H1056" s="67"/>
      <c r="I1056" s="11"/>
      <c r="J1056" s="11"/>
      <c r="K1056" s="11"/>
      <c r="L1056" s="11"/>
      <c r="M1056" s="11"/>
      <c r="N1056" s="11"/>
      <c r="O1056" s="67"/>
      <c r="P1056" s="11"/>
    </row>
    <row r="1057" spans="1:16" x14ac:dyDescent="0.25">
      <c r="A1057" s="65" t="str">
        <f t="shared" si="16"/>
        <v/>
      </c>
      <c r="F1057" s="95" t="str">
        <f>IFERROR(VLOOKUP(B1057,tblPeople[],14,FALSE),"")</f>
        <v/>
      </c>
      <c r="G1057" s="11"/>
      <c r="H1057" s="67"/>
      <c r="I1057" s="11"/>
      <c r="J1057" s="11"/>
      <c r="K1057" s="11"/>
      <c r="L1057" s="11"/>
      <c r="M1057" s="11"/>
      <c r="N1057" s="11"/>
      <c r="O1057" s="67"/>
      <c r="P1057" s="11"/>
    </row>
    <row r="1058" spans="1:16" x14ac:dyDescent="0.25">
      <c r="A1058" s="65" t="str">
        <f t="shared" si="16"/>
        <v/>
      </c>
      <c r="F1058" s="95" t="str">
        <f>IFERROR(VLOOKUP(B1058,tblPeople[],14,FALSE),"")</f>
        <v/>
      </c>
      <c r="G1058" s="11"/>
      <c r="H1058" s="67"/>
      <c r="I1058" s="11"/>
      <c r="J1058" s="11"/>
      <c r="K1058" s="11"/>
      <c r="L1058" s="11"/>
      <c r="M1058" s="11"/>
      <c r="N1058" s="11"/>
      <c r="O1058" s="67"/>
      <c r="P1058" s="11"/>
    </row>
    <row r="1059" spans="1:16" x14ac:dyDescent="0.25">
      <c r="A1059" s="65" t="str">
        <f t="shared" si="16"/>
        <v/>
      </c>
      <c r="F1059" s="95" t="str">
        <f>IFERROR(VLOOKUP(B1059,tblPeople[],14,FALSE),"")</f>
        <v/>
      </c>
      <c r="G1059" s="11"/>
      <c r="H1059" s="67"/>
      <c r="I1059" s="11"/>
      <c r="J1059" s="11"/>
      <c r="K1059" s="11"/>
      <c r="L1059" s="11"/>
      <c r="M1059" s="11"/>
      <c r="N1059" s="11"/>
      <c r="O1059" s="67"/>
      <c r="P1059" s="11"/>
    </row>
    <row r="1060" spans="1:16" x14ac:dyDescent="0.25">
      <c r="A1060" s="65" t="str">
        <f t="shared" si="16"/>
        <v/>
      </c>
      <c r="F1060" s="95" t="str">
        <f>IFERROR(VLOOKUP(B1060,tblPeople[],14,FALSE),"")</f>
        <v/>
      </c>
      <c r="G1060" s="11"/>
      <c r="H1060" s="67"/>
      <c r="I1060" s="11"/>
      <c r="J1060" s="11"/>
      <c r="K1060" s="11"/>
      <c r="L1060" s="11"/>
      <c r="M1060" s="11"/>
      <c r="N1060" s="11"/>
      <c r="O1060" s="67"/>
      <c r="P1060" s="11"/>
    </row>
    <row r="1061" spans="1:16" x14ac:dyDescent="0.25">
      <c r="A1061" s="65" t="str">
        <f t="shared" si="16"/>
        <v/>
      </c>
      <c r="F1061" s="95" t="str">
        <f>IFERROR(VLOOKUP(B1061,tblPeople[],14,FALSE),"")</f>
        <v/>
      </c>
      <c r="G1061" s="11"/>
      <c r="H1061" s="67"/>
      <c r="I1061" s="11"/>
      <c r="J1061" s="11"/>
      <c r="K1061" s="11"/>
      <c r="L1061" s="11"/>
      <c r="M1061" s="11"/>
      <c r="N1061" s="11"/>
      <c r="O1061" s="67"/>
      <c r="P1061" s="11"/>
    </row>
    <row r="1062" spans="1:16" x14ac:dyDescent="0.25">
      <c r="A1062" s="65" t="str">
        <f t="shared" si="16"/>
        <v/>
      </c>
      <c r="F1062" s="95" t="str">
        <f>IFERROR(VLOOKUP(B1062,tblPeople[],14,FALSE),"")</f>
        <v/>
      </c>
      <c r="G1062" s="11"/>
      <c r="H1062" s="67"/>
      <c r="I1062" s="11"/>
      <c r="J1062" s="11"/>
      <c r="K1062" s="11"/>
      <c r="L1062" s="11"/>
      <c r="M1062" s="11"/>
      <c r="N1062" s="11"/>
      <c r="O1062" s="67"/>
      <c r="P1062" s="11"/>
    </row>
    <row r="1063" spans="1:16" x14ac:dyDescent="0.25">
      <c r="A1063" s="65" t="str">
        <f t="shared" si="16"/>
        <v/>
      </c>
      <c r="F1063" s="95" t="str">
        <f>IFERROR(VLOOKUP(B1063,tblPeople[],14,FALSE),"")</f>
        <v/>
      </c>
      <c r="G1063" s="11"/>
      <c r="H1063" s="67"/>
      <c r="I1063" s="11"/>
      <c r="J1063" s="11"/>
      <c r="K1063" s="11"/>
      <c r="L1063" s="11"/>
      <c r="M1063" s="11"/>
      <c r="N1063" s="11"/>
      <c r="O1063" s="67"/>
      <c r="P1063" s="11"/>
    </row>
    <row r="1064" spans="1:16" x14ac:dyDescent="0.25">
      <c r="A1064" s="65" t="str">
        <f t="shared" si="16"/>
        <v/>
      </c>
      <c r="F1064" s="95" t="str">
        <f>IFERROR(VLOOKUP(B1064,tblPeople[],14,FALSE),"")</f>
        <v/>
      </c>
      <c r="G1064" s="11"/>
      <c r="H1064" s="67"/>
      <c r="I1064" s="11"/>
      <c r="J1064" s="11"/>
      <c r="K1064" s="11"/>
      <c r="L1064" s="11"/>
      <c r="M1064" s="11"/>
      <c r="N1064" s="11"/>
      <c r="O1064" s="67"/>
      <c r="P1064" s="11"/>
    </row>
    <row r="1065" spans="1:16" x14ac:dyDescent="0.25">
      <c r="A1065" s="65" t="str">
        <f t="shared" si="16"/>
        <v/>
      </c>
      <c r="F1065" s="95" t="str">
        <f>IFERROR(VLOOKUP(B1065,tblPeople[],14,FALSE),"")</f>
        <v/>
      </c>
      <c r="G1065" s="11"/>
      <c r="H1065" s="67"/>
      <c r="I1065" s="11"/>
      <c r="J1065" s="11"/>
      <c r="K1065" s="11"/>
      <c r="L1065" s="11"/>
      <c r="M1065" s="11"/>
      <c r="N1065" s="11"/>
      <c r="O1065" s="67"/>
      <c r="P1065" s="11"/>
    </row>
    <row r="1066" spans="1:16" x14ac:dyDescent="0.25">
      <c r="A1066" s="65" t="str">
        <f t="shared" si="16"/>
        <v/>
      </c>
      <c r="F1066" s="95" t="str">
        <f>IFERROR(VLOOKUP(B1066,tblPeople[],14,FALSE),"")</f>
        <v/>
      </c>
      <c r="G1066" s="11"/>
      <c r="H1066" s="67"/>
      <c r="I1066" s="11"/>
      <c r="J1066" s="11"/>
      <c r="K1066" s="11"/>
      <c r="L1066" s="11"/>
      <c r="M1066" s="11"/>
      <c r="N1066" s="11"/>
      <c r="O1066" s="67"/>
      <c r="P1066" s="11"/>
    </row>
    <row r="1067" spans="1:16" x14ac:dyDescent="0.25">
      <c r="A1067" s="65" t="str">
        <f t="shared" si="16"/>
        <v/>
      </c>
      <c r="F1067" s="95" t="str">
        <f>IFERROR(VLOOKUP(B1067,tblPeople[],14,FALSE),"")</f>
        <v/>
      </c>
      <c r="G1067" s="11"/>
      <c r="H1067" s="67"/>
      <c r="I1067" s="11"/>
      <c r="J1067" s="11"/>
      <c r="K1067" s="11"/>
      <c r="L1067" s="11"/>
      <c r="M1067" s="11"/>
      <c r="N1067" s="11"/>
      <c r="O1067" s="67"/>
      <c r="P1067" s="11"/>
    </row>
    <row r="1068" spans="1:16" x14ac:dyDescent="0.25">
      <c r="A1068" s="65" t="str">
        <f t="shared" si="16"/>
        <v/>
      </c>
      <c r="F1068" s="95" t="str">
        <f>IFERROR(VLOOKUP(B1068,tblPeople[],14,FALSE),"")</f>
        <v/>
      </c>
      <c r="G1068" s="11"/>
      <c r="H1068" s="67"/>
      <c r="I1068" s="11"/>
      <c r="J1068" s="11"/>
      <c r="K1068" s="11"/>
      <c r="L1068" s="11"/>
      <c r="M1068" s="11"/>
      <c r="N1068" s="11"/>
      <c r="O1068" s="67"/>
      <c r="P1068" s="11"/>
    </row>
    <row r="1069" spans="1:16" x14ac:dyDescent="0.25">
      <c r="A1069" s="65" t="str">
        <f t="shared" si="16"/>
        <v/>
      </c>
      <c r="F1069" s="95" t="str">
        <f>IFERROR(VLOOKUP(B1069,tblPeople[],14,FALSE),"")</f>
        <v/>
      </c>
      <c r="G1069" s="11"/>
      <c r="H1069" s="67"/>
      <c r="I1069" s="11"/>
      <c r="J1069" s="11"/>
      <c r="K1069" s="11"/>
      <c r="L1069" s="11"/>
      <c r="M1069" s="11"/>
      <c r="N1069" s="11"/>
      <c r="O1069" s="67"/>
      <c r="P1069" s="11"/>
    </row>
    <row r="1070" spans="1:16" x14ac:dyDescent="0.25">
      <c r="A1070" s="65" t="str">
        <f t="shared" si="16"/>
        <v/>
      </c>
      <c r="F1070" s="95" t="str">
        <f>IFERROR(VLOOKUP(B1070,tblPeople[],14,FALSE),"")</f>
        <v/>
      </c>
      <c r="G1070" s="11"/>
      <c r="H1070" s="67"/>
      <c r="I1070" s="11"/>
      <c r="J1070" s="11"/>
      <c r="K1070" s="11"/>
      <c r="L1070" s="11"/>
      <c r="M1070" s="11"/>
      <c r="N1070" s="11"/>
      <c r="O1070" s="67"/>
      <c r="P1070" s="11"/>
    </row>
    <row r="1071" spans="1:16" x14ac:dyDescent="0.25">
      <c r="A1071" s="65" t="str">
        <f t="shared" si="16"/>
        <v/>
      </c>
      <c r="F1071" s="95" t="str">
        <f>IFERROR(VLOOKUP(B1071,tblPeople[],14,FALSE),"")</f>
        <v/>
      </c>
      <c r="G1071" s="11"/>
      <c r="H1071" s="67"/>
      <c r="I1071" s="11"/>
      <c r="J1071" s="11"/>
      <c r="K1071" s="11"/>
      <c r="L1071" s="11"/>
      <c r="M1071" s="11"/>
      <c r="N1071" s="11"/>
      <c r="O1071" s="67"/>
      <c r="P1071" s="11"/>
    </row>
    <row r="1072" spans="1:16" x14ac:dyDescent="0.25">
      <c r="A1072" s="65" t="str">
        <f t="shared" si="16"/>
        <v/>
      </c>
      <c r="F1072" s="95" t="str">
        <f>IFERROR(VLOOKUP(B1072,tblPeople[],14,FALSE),"")</f>
        <v/>
      </c>
      <c r="G1072" s="11"/>
      <c r="H1072" s="67"/>
      <c r="I1072" s="11"/>
      <c r="J1072" s="11"/>
      <c r="K1072" s="11"/>
      <c r="L1072" s="11"/>
      <c r="M1072" s="11"/>
      <c r="N1072" s="11"/>
      <c r="O1072" s="67"/>
      <c r="P1072" s="11"/>
    </row>
    <row r="1073" spans="1:16" x14ac:dyDescent="0.25">
      <c r="A1073" s="65" t="str">
        <f t="shared" si="16"/>
        <v/>
      </c>
      <c r="F1073" s="95" t="str">
        <f>IFERROR(VLOOKUP(B1073,tblPeople[],14,FALSE),"")</f>
        <v/>
      </c>
      <c r="G1073" s="11"/>
      <c r="H1073" s="67"/>
      <c r="I1073" s="11"/>
      <c r="J1073" s="11"/>
      <c r="K1073" s="11"/>
      <c r="L1073" s="11"/>
      <c r="M1073" s="11"/>
      <c r="N1073" s="11"/>
      <c r="O1073" s="67"/>
      <c r="P1073" s="11"/>
    </row>
    <row r="1074" spans="1:16" x14ac:dyDescent="0.25">
      <c r="A1074" s="65" t="str">
        <f t="shared" si="16"/>
        <v/>
      </c>
      <c r="F1074" s="95" t="str">
        <f>IFERROR(VLOOKUP(B1074,tblPeople[],14,FALSE),"")</f>
        <v/>
      </c>
      <c r="G1074" s="11"/>
      <c r="H1074" s="67"/>
      <c r="I1074" s="11"/>
      <c r="J1074" s="11"/>
      <c r="K1074" s="11"/>
      <c r="L1074" s="11"/>
      <c r="M1074" s="11"/>
      <c r="N1074" s="11"/>
      <c r="O1074" s="67"/>
      <c r="P1074" s="11"/>
    </row>
    <row r="1075" spans="1:16" x14ac:dyDescent="0.25">
      <c r="A1075" s="65" t="str">
        <f t="shared" si="16"/>
        <v/>
      </c>
      <c r="F1075" s="95" t="str">
        <f>IFERROR(VLOOKUP(B1075,tblPeople[],14,FALSE),"")</f>
        <v/>
      </c>
      <c r="G1075" s="11"/>
      <c r="H1075" s="67"/>
      <c r="I1075" s="11"/>
      <c r="J1075" s="11"/>
      <c r="K1075" s="11"/>
      <c r="L1075" s="11"/>
      <c r="M1075" s="11"/>
      <c r="N1075" s="11"/>
      <c r="O1075" s="67"/>
      <c r="P1075" s="11"/>
    </row>
    <row r="1076" spans="1:16" x14ac:dyDescent="0.25">
      <c r="A1076" s="65" t="str">
        <f t="shared" si="16"/>
        <v/>
      </c>
      <c r="F1076" s="95" t="str">
        <f>IFERROR(VLOOKUP(B1076,tblPeople[],14,FALSE),"")</f>
        <v/>
      </c>
      <c r="G1076" s="11"/>
      <c r="H1076" s="67"/>
      <c r="I1076" s="11"/>
      <c r="J1076" s="11"/>
      <c r="K1076" s="11"/>
      <c r="L1076" s="11"/>
      <c r="M1076" s="11"/>
      <c r="N1076" s="11"/>
      <c r="O1076" s="67"/>
      <c r="P1076" s="11"/>
    </row>
    <row r="1077" spans="1:16" x14ac:dyDescent="0.25">
      <c r="A1077" s="65" t="str">
        <f t="shared" si="16"/>
        <v/>
      </c>
      <c r="F1077" s="95" t="str">
        <f>IFERROR(VLOOKUP(B1077,tblPeople[],14,FALSE),"")</f>
        <v/>
      </c>
      <c r="G1077" s="11"/>
      <c r="H1077" s="67"/>
      <c r="I1077" s="11"/>
      <c r="J1077" s="11"/>
      <c r="K1077" s="11"/>
      <c r="L1077" s="11"/>
      <c r="M1077" s="11"/>
      <c r="N1077" s="11"/>
      <c r="O1077" s="67"/>
      <c r="P1077" s="11"/>
    </row>
    <row r="1078" spans="1:16" x14ac:dyDescent="0.25">
      <c r="A1078" s="65" t="str">
        <f t="shared" si="16"/>
        <v/>
      </c>
      <c r="F1078" s="95" t="str">
        <f>IFERROR(VLOOKUP(B1078,tblPeople[],14,FALSE),"")</f>
        <v/>
      </c>
      <c r="G1078" s="11"/>
      <c r="H1078" s="67"/>
      <c r="I1078" s="11"/>
      <c r="J1078" s="11"/>
      <c r="K1078" s="11"/>
      <c r="L1078" s="11"/>
      <c r="M1078" s="11"/>
      <c r="N1078" s="11"/>
      <c r="O1078" s="67"/>
      <c r="P1078" s="11"/>
    </row>
    <row r="1079" spans="1:16" x14ac:dyDescent="0.25">
      <c r="A1079" s="65" t="str">
        <f t="shared" si="16"/>
        <v/>
      </c>
      <c r="F1079" s="95" t="str">
        <f>IFERROR(VLOOKUP(B1079,tblPeople[],14,FALSE),"")</f>
        <v/>
      </c>
      <c r="G1079" s="11"/>
      <c r="H1079" s="67"/>
      <c r="I1079" s="11"/>
      <c r="J1079" s="11"/>
      <c r="K1079" s="11"/>
      <c r="L1079" s="11"/>
      <c r="M1079" s="11"/>
      <c r="N1079" s="11"/>
      <c r="O1079" s="67"/>
      <c r="P1079" s="11"/>
    </row>
    <row r="1080" spans="1:16" x14ac:dyDescent="0.25">
      <c r="A1080" s="65" t="str">
        <f t="shared" si="16"/>
        <v/>
      </c>
      <c r="F1080" s="95" t="str">
        <f>IFERROR(VLOOKUP(B1080,tblPeople[],14,FALSE),"")</f>
        <v/>
      </c>
      <c r="G1080" s="11"/>
      <c r="H1080" s="67"/>
      <c r="I1080" s="11"/>
      <c r="J1080" s="11"/>
      <c r="K1080" s="11"/>
      <c r="L1080" s="11"/>
      <c r="M1080" s="11"/>
      <c r="N1080" s="11"/>
      <c r="O1080" s="67"/>
      <c r="P1080" s="11"/>
    </row>
    <row r="1081" spans="1:16" x14ac:dyDescent="0.25">
      <c r="A1081" s="65" t="str">
        <f t="shared" si="16"/>
        <v/>
      </c>
      <c r="F1081" s="95" t="str">
        <f>IFERROR(VLOOKUP(B1081,tblPeople[],14,FALSE),"")</f>
        <v/>
      </c>
      <c r="G1081" s="11"/>
      <c r="H1081" s="67"/>
      <c r="I1081" s="11"/>
      <c r="J1081" s="11"/>
      <c r="K1081" s="11"/>
      <c r="L1081" s="11"/>
      <c r="M1081" s="11"/>
      <c r="N1081" s="11"/>
      <c r="O1081" s="67"/>
      <c r="P1081" s="11"/>
    </row>
    <row r="1082" spans="1:16" x14ac:dyDescent="0.25">
      <c r="A1082" s="65" t="str">
        <f t="shared" si="16"/>
        <v/>
      </c>
      <c r="F1082" s="95" t="str">
        <f>IFERROR(VLOOKUP(B1082,tblPeople[],14,FALSE),"")</f>
        <v/>
      </c>
      <c r="G1082" s="11"/>
      <c r="H1082" s="67"/>
      <c r="I1082" s="11"/>
      <c r="J1082" s="11"/>
      <c r="K1082" s="11"/>
      <c r="L1082" s="11"/>
      <c r="M1082" s="11"/>
      <c r="N1082" s="11"/>
      <c r="O1082" s="67"/>
      <c r="P1082" s="11"/>
    </row>
    <row r="1083" spans="1:16" x14ac:dyDescent="0.25">
      <c r="A1083" s="65" t="str">
        <f t="shared" si="16"/>
        <v/>
      </c>
      <c r="F1083" s="95" t="str">
        <f>IFERROR(VLOOKUP(B1083,tblPeople[],14,FALSE),"")</f>
        <v/>
      </c>
      <c r="G1083" s="11"/>
      <c r="H1083" s="67"/>
      <c r="I1083" s="11"/>
      <c r="J1083" s="11"/>
      <c r="K1083" s="11"/>
      <c r="L1083" s="11"/>
      <c r="M1083" s="11"/>
      <c r="N1083" s="11"/>
      <c r="O1083" s="67"/>
      <c r="P1083" s="11"/>
    </row>
    <row r="1084" spans="1:16" x14ac:dyDescent="0.25">
      <c r="A1084" s="65" t="str">
        <f t="shared" si="16"/>
        <v/>
      </c>
      <c r="F1084" s="95" t="str">
        <f>IFERROR(VLOOKUP(B1084,tblPeople[],14,FALSE),"")</f>
        <v/>
      </c>
      <c r="G1084" s="11"/>
      <c r="H1084" s="67"/>
      <c r="I1084" s="11"/>
      <c r="J1084" s="11"/>
      <c r="K1084" s="11"/>
      <c r="L1084" s="11"/>
      <c r="M1084" s="11"/>
      <c r="N1084" s="11"/>
      <c r="O1084" s="67"/>
      <c r="P1084" s="11"/>
    </row>
    <row r="1085" spans="1:16" x14ac:dyDescent="0.25">
      <c r="A1085" s="65" t="str">
        <f t="shared" si="16"/>
        <v/>
      </c>
      <c r="F1085" s="95" t="str">
        <f>IFERROR(VLOOKUP(B1085,tblPeople[],14,FALSE),"")</f>
        <v/>
      </c>
      <c r="G1085" s="11"/>
      <c r="H1085" s="67"/>
      <c r="I1085" s="11"/>
      <c r="J1085" s="11"/>
      <c r="K1085" s="11"/>
      <c r="L1085" s="11"/>
      <c r="M1085" s="11"/>
      <c r="N1085" s="11"/>
      <c r="O1085" s="67"/>
      <c r="P1085" s="11"/>
    </row>
    <row r="1086" spans="1:16" x14ac:dyDescent="0.25">
      <c r="A1086" s="65" t="str">
        <f t="shared" si="16"/>
        <v/>
      </c>
      <c r="F1086" s="95" t="str">
        <f>IFERROR(VLOOKUP(B1086,tblPeople[],14,FALSE),"")</f>
        <v/>
      </c>
      <c r="G1086" s="11"/>
      <c r="H1086" s="67"/>
      <c r="I1086" s="11"/>
      <c r="J1086" s="11"/>
      <c r="K1086" s="11"/>
      <c r="L1086" s="11"/>
      <c r="M1086" s="11"/>
      <c r="N1086" s="11"/>
      <c r="O1086" s="67"/>
      <c r="P1086" s="11"/>
    </row>
    <row r="1087" spans="1:16" x14ac:dyDescent="0.25">
      <c r="A1087" s="65" t="str">
        <f t="shared" si="16"/>
        <v/>
      </c>
      <c r="F1087" s="95" t="str">
        <f>IFERROR(VLOOKUP(B1087,tblPeople[],14,FALSE),"")</f>
        <v/>
      </c>
      <c r="G1087" s="11"/>
      <c r="H1087" s="67"/>
      <c r="I1087" s="11"/>
      <c r="J1087" s="11"/>
      <c r="K1087" s="11"/>
      <c r="L1087" s="11"/>
      <c r="M1087" s="11"/>
      <c r="N1087" s="11"/>
      <c r="O1087" s="67"/>
      <c r="P1087" s="11"/>
    </row>
    <row r="1088" spans="1:16" x14ac:dyDescent="0.25">
      <c r="A1088" s="65" t="str">
        <f t="shared" si="16"/>
        <v/>
      </c>
      <c r="F1088" s="95" t="str">
        <f>IFERROR(VLOOKUP(B1088,tblPeople[],14,FALSE),"")</f>
        <v/>
      </c>
      <c r="G1088" s="11"/>
      <c r="H1088" s="67"/>
      <c r="I1088" s="11"/>
      <c r="J1088" s="11"/>
      <c r="K1088" s="11"/>
      <c r="L1088" s="11"/>
      <c r="M1088" s="11"/>
      <c r="N1088" s="11"/>
      <c r="O1088" s="67"/>
      <c r="P1088" s="11"/>
    </row>
    <row r="1089" spans="1:16" x14ac:dyDescent="0.25">
      <c r="A1089" s="65" t="str">
        <f t="shared" si="16"/>
        <v/>
      </c>
      <c r="F1089" s="95" t="str">
        <f>IFERROR(VLOOKUP(B1089,tblPeople[],14,FALSE),"")</f>
        <v/>
      </c>
      <c r="G1089" s="11"/>
      <c r="H1089" s="67"/>
      <c r="I1089" s="11"/>
      <c r="J1089" s="11"/>
      <c r="K1089" s="11"/>
      <c r="L1089" s="11"/>
      <c r="M1089" s="11"/>
      <c r="N1089" s="11"/>
      <c r="O1089" s="67"/>
      <c r="P1089" s="11"/>
    </row>
    <row r="1090" spans="1:16" x14ac:dyDescent="0.25">
      <c r="A1090" s="65" t="str">
        <f t="shared" si="16"/>
        <v/>
      </c>
      <c r="F1090" s="95" t="str">
        <f>IFERROR(VLOOKUP(B1090,tblPeople[],14,FALSE),"")</f>
        <v/>
      </c>
      <c r="G1090" s="11"/>
      <c r="H1090" s="67"/>
      <c r="I1090" s="11"/>
      <c r="J1090" s="11"/>
      <c r="K1090" s="11"/>
      <c r="L1090" s="11"/>
      <c r="M1090" s="11"/>
      <c r="N1090" s="11"/>
      <c r="O1090" s="67"/>
      <c r="P1090" s="11"/>
    </row>
    <row r="1091" spans="1:16" x14ac:dyDescent="0.25">
      <c r="A1091" s="65" t="str">
        <f t="shared" si="16"/>
        <v/>
      </c>
      <c r="F1091" s="95" t="str">
        <f>IFERROR(VLOOKUP(B1091,tblPeople[],14,FALSE),"")</f>
        <v/>
      </c>
      <c r="G1091" s="11"/>
      <c r="H1091" s="67"/>
      <c r="I1091" s="11"/>
      <c r="J1091" s="11"/>
      <c r="K1091" s="11"/>
      <c r="L1091" s="11"/>
      <c r="M1091" s="11"/>
      <c r="N1091" s="11"/>
      <c r="O1091" s="67"/>
      <c r="P1091" s="11"/>
    </row>
    <row r="1092" spans="1:16" x14ac:dyDescent="0.25">
      <c r="A1092" s="65" t="str">
        <f t="shared" si="16"/>
        <v/>
      </c>
      <c r="F1092" s="95" t="str">
        <f>IFERROR(VLOOKUP(B1092,tblPeople[],14,FALSE),"")</f>
        <v/>
      </c>
      <c r="G1092" s="11"/>
      <c r="H1092" s="67"/>
      <c r="I1092" s="11"/>
      <c r="J1092" s="11"/>
      <c r="K1092" s="11"/>
      <c r="L1092" s="11"/>
      <c r="M1092" s="11"/>
      <c r="N1092" s="11"/>
      <c r="O1092" s="67"/>
      <c r="P1092" s="11"/>
    </row>
    <row r="1093" spans="1:16" x14ac:dyDescent="0.25">
      <c r="A1093" s="65" t="str">
        <f t="shared" si="16"/>
        <v/>
      </c>
      <c r="F1093" s="95" t="str">
        <f>IFERROR(VLOOKUP(B1093,tblPeople[],14,FALSE),"")</f>
        <v/>
      </c>
      <c r="G1093" s="11"/>
      <c r="H1093" s="67"/>
      <c r="I1093" s="11"/>
      <c r="J1093" s="11"/>
      <c r="K1093" s="11"/>
      <c r="L1093" s="11"/>
      <c r="M1093" s="11"/>
      <c r="N1093" s="11"/>
      <c r="O1093" s="67"/>
      <c r="P1093" s="11"/>
    </row>
    <row r="1094" spans="1:16" x14ac:dyDescent="0.25">
      <c r="A1094" s="65" t="str">
        <f t="shared" si="16"/>
        <v/>
      </c>
      <c r="F1094" s="95" t="str">
        <f>IFERROR(VLOOKUP(B1094,tblPeople[],14,FALSE),"")</f>
        <v/>
      </c>
      <c r="G1094" s="11"/>
      <c r="H1094" s="67"/>
      <c r="I1094" s="11"/>
      <c r="J1094" s="11"/>
      <c r="K1094" s="11"/>
      <c r="L1094" s="11"/>
      <c r="M1094" s="11"/>
      <c r="N1094" s="11"/>
      <c r="O1094" s="67"/>
      <c r="P1094" s="11"/>
    </row>
    <row r="1095" spans="1:16" x14ac:dyDescent="0.25">
      <c r="A1095" s="65" t="str">
        <f t="shared" si="16"/>
        <v/>
      </c>
      <c r="F1095" s="95" t="str">
        <f>IFERROR(VLOOKUP(B1095,tblPeople[],14,FALSE),"")</f>
        <v/>
      </c>
      <c r="G1095" s="11"/>
      <c r="H1095" s="67"/>
      <c r="I1095" s="11"/>
      <c r="J1095" s="11"/>
      <c r="K1095" s="11"/>
      <c r="L1095" s="11"/>
      <c r="M1095" s="11"/>
      <c r="N1095" s="11"/>
      <c r="O1095" s="67"/>
      <c r="P1095" s="11"/>
    </row>
    <row r="1096" spans="1:16" x14ac:dyDescent="0.25">
      <c r="A1096" s="65" t="str">
        <f t="shared" si="16"/>
        <v/>
      </c>
      <c r="F1096" s="95" t="str">
        <f>IFERROR(VLOOKUP(B1096,tblPeople[],14,FALSE),"")</f>
        <v/>
      </c>
      <c r="G1096" s="11"/>
      <c r="H1096" s="67"/>
      <c r="I1096" s="11"/>
      <c r="J1096" s="11"/>
      <c r="K1096" s="11"/>
      <c r="L1096" s="11"/>
      <c r="M1096" s="11"/>
      <c r="N1096" s="11"/>
      <c r="O1096" s="67"/>
      <c r="P1096" s="11"/>
    </row>
    <row r="1097" spans="1:16" x14ac:dyDescent="0.25">
      <c r="A1097" s="65" t="str">
        <f t="shared" si="16"/>
        <v/>
      </c>
      <c r="F1097" s="95" t="str">
        <f>IFERROR(VLOOKUP(B1097,tblPeople[],14,FALSE),"")</f>
        <v/>
      </c>
      <c r="G1097" s="11"/>
      <c r="H1097" s="67"/>
      <c r="I1097" s="11"/>
      <c r="J1097" s="11"/>
      <c r="K1097" s="11"/>
      <c r="L1097" s="11"/>
      <c r="M1097" s="11"/>
      <c r="N1097" s="11"/>
      <c r="O1097" s="67"/>
      <c r="P1097" s="11"/>
    </row>
    <row r="1098" spans="1:16" x14ac:dyDescent="0.25">
      <c r="A1098" s="65" t="str">
        <f t="shared" si="16"/>
        <v/>
      </c>
      <c r="F1098" s="95" t="str">
        <f>IFERROR(VLOOKUP(B1098,tblPeople[],14,FALSE),"")</f>
        <v/>
      </c>
      <c r="G1098" s="11"/>
      <c r="H1098" s="67"/>
      <c r="I1098" s="11"/>
      <c r="J1098" s="11"/>
      <c r="K1098" s="11"/>
      <c r="L1098" s="11"/>
      <c r="M1098" s="11"/>
      <c r="N1098" s="11"/>
      <c r="O1098" s="67"/>
      <c r="P1098" s="11"/>
    </row>
    <row r="1099" spans="1:16" x14ac:dyDescent="0.25">
      <c r="A1099" s="65" t="str">
        <f t="shared" si="16"/>
        <v/>
      </c>
      <c r="F1099" s="95" t="str">
        <f>IFERROR(VLOOKUP(B1099,tblPeople[],14,FALSE),"")</f>
        <v/>
      </c>
      <c r="G1099" s="11"/>
      <c r="H1099" s="67"/>
      <c r="I1099" s="11"/>
      <c r="J1099" s="11"/>
      <c r="K1099" s="11"/>
      <c r="L1099" s="11"/>
      <c r="M1099" s="11"/>
      <c r="N1099" s="11"/>
      <c r="O1099" s="67"/>
      <c r="P1099" s="11"/>
    </row>
    <row r="1100" spans="1:16" x14ac:dyDescent="0.25">
      <c r="A1100" s="65" t="str">
        <f t="shared" si="16"/>
        <v/>
      </c>
      <c r="F1100" s="95" t="str">
        <f>IFERROR(VLOOKUP(B1100,tblPeople[],14,FALSE),"")</f>
        <v/>
      </c>
      <c r="G1100" s="11"/>
      <c r="H1100" s="67"/>
      <c r="I1100" s="11"/>
      <c r="J1100" s="11"/>
      <c r="K1100" s="11"/>
      <c r="L1100" s="11"/>
      <c r="M1100" s="11"/>
      <c r="N1100" s="11"/>
      <c r="O1100" s="67"/>
      <c r="P1100" s="11"/>
    </row>
    <row r="1101" spans="1:16" x14ac:dyDescent="0.25">
      <c r="A1101" s="65" t="str">
        <f t="shared" si="16"/>
        <v/>
      </c>
      <c r="F1101" s="95" t="str">
        <f>IFERROR(VLOOKUP(B1101,tblPeople[],14,FALSE),"")</f>
        <v/>
      </c>
      <c r="G1101" s="11"/>
      <c r="H1101" s="67"/>
      <c r="I1101" s="11"/>
      <c r="J1101" s="11"/>
      <c r="K1101" s="11"/>
      <c r="L1101" s="11"/>
      <c r="M1101" s="11"/>
      <c r="N1101" s="11"/>
      <c r="O1101" s="67"/>
      <c r="P1101" s="11"/>
    </row>
    <row r="1102" spans="1:16" x14ac:dyDescent="0.25">
      <c r="A1102" s="65" t="str">
        <f t="shared" si="16"/>
        <v/>
      </c>
      <c r="F1102" s="95" t="str">
        <f>IFERROR(VLOOKUP(B1102,tblPeople[],14,FALSE),"")</f>
        <v/>
      </c>
      <c r="G1102" s="11"/>
      <c r="H1102" s="67"/>
      <c r="I1102" s="11"/>
      <c r="J1102" s="11"/>
      <c r="K1102" s="11"/>
      <c r="L1102" s="11"/>
      <c r="M1102" s="11"/>
      <c r="N1102" s="11"/>
      <c r="O1102" s="67"/>
      <c r="P1102" s="11"/>
    </row>
    <row r="1103" spans="1:16" x14ac:dyDescent="0.25">
      <c r="A1103" s="65" t="str">
        <f t="shared" si="16"/>
        <v/>
      </c>
      <c r="F1103" s="95" t="str">
        <f>IFERROR(VLOOKUP(B1103,tblPeople[],14,FALSE),"")</f>
        <v/>
      </c>
      <c r="G1103" s="11"/>
      <c r="H1103" s="67"/>
      <c r="I1103" s="11"/>
      <c r="J1103" s="11"/>
      <c r="K1103" s="11"/>
      <c r="L1103" s="11"/>
      <c r="M1103" s="11"/>
      <c r="N1103" s="11"/>
      <c r="O1103" s="67"/>
      <c r="P1103" s="11"/>
    </row>
    <row r="1104" spans="1:16" x14ac:dyDescent="0.25">
      <c r="A1104" s="65" t="str">
        <f t="shared" si="16"/>
        <v/>
      </c>
      <c r="F1104" s="95" t="str">
        <f>IFERROR(VLOOKUP(B1104,tblPeople[],14,FALSE),"")</f>
        <v/>
      </c>
      <c r="G1104" s="11"/>
      <c r="H1104" s="67"/>
      <c r="I1104" s="11"/>
      <c r="J1104" s="11"/>
      <c r="K1104" s="11"/>
      <c r="L1104" s="11"/>
      <c r="M1104" s="11"/>
      <c r="N1104" s="11"/>
      <c r="O1104" s="67"/>
      <c r="P1104" s="11"/>
    </row>
    <row r="1105" spans="1:16" x14ac:dyDescent="0.25">
      <c r="A1105" s="65" t="str">
        <f t="shared" si="16"/>
        <v/>
      </c>
      <c r="F1105" s="95" t="str">
        <f>IFERROR(VLOOKUP(B1105,tblPeople[],14,FALSE),"")</f>
        <v/>
      </c>
      <c r="G1105" s="11"/>
      <c r="H1105" s="67"/>
      <c r="I1105" s="11"/>
      <c r="J1105" s="11"/>
      <c r="K1105" s="11"/>
      <c r="L1105" s="11"/>
      <c r="M1105" s="11"/>
      <c r="N1105" s="11"/>
      <c r="O1105" s="67"/>
      <c r="P1105" s="11"/>
    </row>
    <row r="1106" spans="1:16" x14ac:dyDescent="0.25">
      <c r="A1106" s="65" t="str">
        <f t="shared" ref="A1106:A1169" si="17">IF(B1106=ISBLANK(""),"",A1105+1)</f>
        <v/>
      </c>
      <c r="F1106" s="95" t="str">
        <f>IFERROR(VLOOKUP(B1106,tblPeople[],14,FALSE),"")</f>
        <v/>
      </c>
      <c r="G1106" s="11"/>
      <c r="H1106" s="67"/>
      <c r="I1106" s="11"/>
      <c r="J1106" s="11"/>
      <c r="K1106" s="11"/>
      <c r="L1106" s="11"/>
      <c r="M1106" s="11"/>
      <c r="N1106" s="11"/>
      <c r="O1106" s="67"/>
      <c r="P1106" s="11"/>
    </row>
    <row r="1107" spans="1:16" x14ac:dyDescent="0.25">
      <c r="A1107" s="65" t="str">
        <f t="shared" si="17"/>
        <v/>
      </c>
      <c r="F1107" s="95" t="str">
        <f>IFERROR(VLOOKUP(B1107,tblPeople[],14,FALSE),"")</f>
        <v/>
      </c>
      <c r="G1107" s="11"/>
      <c r="H1107" s="67"/>
      <c r="I1107" s="11"/>
      <c r="J1107" s="11"/>
      <c r="K1107" s="11"/>
      <c r="L1107" s="11"/>
      <c r="M1107" s="11"/>
      <c r="N1107" s="11"/>
      <c r="O1107" s="67"/>
      <c r="P1107" s="11"/>
    </row>
    <row r="1108" spans="1:16" x14ac:dyDescent="0.25">
      <c r="A1108" s="65" t="str">
        <f t="shared" si="17"/>
        <v/>
      </c>
      <c r="F1108" s="95" t="str">
        <f>IFERROR(VLOOKUP(B1108,tblPeople[],14,FALSE),"")</f>
        <v/>
      </c>
      <c r="G1108" s="11"/>
      <c r="H1108" s="67"/>
      <c r="I1108" s="11"/>
      <c r="J1108" s="11"/>
      <c r="K1108" s="11"/>
      <c r="L1108" s="11"/>
      <c r="M1108" s="11"/>
      <c r="N1108" s="11"/>
      <c r="O1108" s="67"/>
      <c r="P1108" s="11"/>
    </row>
    <row r="1109" spans="1:16" x14ac:dyDescent="0.25">
      <c r="A1109" s="65" t="str">
        <f t="shared" si="17"/>
        <v/>
      </c>
      <c r="F1109" s="95" t="str">
        <f>IFERROR(VLOOKUP(B1109,tblPeople[],14,FALSE),"")</f>
        <v/>
      </c>
      <c r="G1109" s="11"/>
      <c r="H1109" s="67"/>
      <c r="I1109" s="11"/>
      <c r="J1109" s="11"/>
      <c r="K1109" s="11"/>
      <c r="L1109" s="11"/>
      <c r="M1109" s="11"/>
      <c r="N1109" s="11"/>
      <c r="O1109" s="67"/>
      <c r="P1109" s="11"/>
    </row>
    <row r="1110" spans="1:16" x14ac:dyDescent="0.25">
      <c r="A1110" s="65" t="str">
        <f t="shared" si="17"/>
        <v/>
      </c>
      <c r="F1110" s="95" t="str">
        <f>IFERROR(VLOOKUP(B1110,tblPeople[],14,FALSE),"")</f>
        <v/>
      </c>
      <c r="G1110" s="11"/>
      <c r="H1110" s="67"/>
      <c r="I1110" s="11"/>
      <c r="J1110" s="11"/>
      <c r="K1110" s="11"/>
      <c r="L1110" s="11"/>
      <c r="M1110" s="11"/>
      <c r="N1110" s="11"/>
      <c r="O1110" s="67"/>
      <c r="P1110" s="11"/>
    </row>
    <row r="1111" spans="1:16" x14ac:dyDescent="0.25">
      <c r="A1111" s="65" t="str">
        <f t="shared" si="17"/>
        <v/>
      </c>
      <c r="F1111" s="95" t="str">
        <f>IFERROR(VLOOKUP(B1111,tblPeople[],14,FALSE),"")</f>
        <v/>
      </c>
      <c r="G1111" s="11"/>
      <c r="H1111" s="67"/>
      <c r="I1111" s="11"/>
      <c r="J1111" s="11"/>
      <c r="K1111" s="11"/>
      <c r="L1111" s="11"/>
      <c r="M1111" s="11"/>
      <c r="N1111" s="11"/>
      <c r="O1111" s="67"/>
      <c r="P1111" s="11"/>
    </row>
    <row r="1112" spans="1:16" x14ac:dyDescent="0.25">
      <c r="A1112" s="65" t="str">
        <f t="shared" si="17"/>
        <v/>
      </c>
      <c r="F1112" s="95" t="str">
        <f>IFERROR(VLOOKUP(B1112,tblPeople[],14,FALSE),"")</f>
        <v/>
      </c>
      <c r="G1112" s="11"/>
      <c r="H1112" s="67"/>
      <c r="I1112" s="11"/>
      <c r="J1112" s="11"/>
      <c r="K1112" s="11"/>
      <c r="L1112" s="11"/>
      <c r="M1112" s="11"/>
      <c r="N1112" s="11"/>
      <c r="O1112" s="67"/>
      <c r="P1112" s="11"/>
    </row>
    <row r="1113" spans="1:16" x14ac:dyDescent="0.25">
      <c r="A1113" s="65" t="str">
        <f t="shared" si="17"/>
        <v/>
      </c>
      <c r="F1113" s="95" t="str">
        <f>IFERROR(VLOOKUP(B1113,tblPeople[],14,FALSE),"")</f>
        <v/>
      </c>
      <c r="G1113" s="11"/>
      <c r="H1113" s="67"/>
      <c r="I1113" s="11"/>
      <c r="J1113" s="11"/>
      <c r="K1113" s="11"/>
      <c r="L1113" s="11"/>
      <c r="M1113" s="11"/>
      <c r="N1113" s="11"/>
      <c r="O1113" s="67"/>
      <c r="P1113" s="11"/>
    </row>
    <row r="1114" spans="1:16" x14ac:dyDescent="0.25">
      <c r="A1114" s="65" t="str">
        <f t="shared" si="17"/>
        <v/>
      </c>
      <c r="F1114" s="95" t="str">
        <f>IFERROR(VLOOKUP(B1114,tblPeople[],14,FALSE),"")</f>
        <v/>
      </c>
      <c r="G1114" s="11"/>
      <c r="H1114" s="67"/>
      <c r="I1114" s="11"/>
      <c r="J1114" s="11"/>
      <c r="K1114" s="11"/>
      <c r="L1114" s="11"/>
      <c r="M1114" s="11"/>
      <c r="N1114" s="11"/>
      <c r="O1114" s="67"/>
      <c r="P1114" s="11"/>
    </row>
    <row r="1115" spans="1:16" x14ac:dyDescent="0.25">
      <c r="A1115" s="65" t="str">
        <f t="shared" si="17"/>
        <v/>
      </c>
      <c r="F1115" s="95" t="str">
        <f>IFERROR(VLOOKUP(B1115,tblPeople[],14,FALSE),"")</f>
        <v/>
      </c>
      <c r="G1115" s="11"/>
      <c r="H1115" s="67"/>
      <c r="I1115" s="11"/>
      <c r="J1115" s="11"/>
      <c r="K1115" s="11"/>
      <c r="L1115" s="11"/>
      <c r="M1115" s="11"/>
      <c r="N1115" s="11"/>
      <c r="O1115" s="67"/>
      <c r="P1115" s="11"/>
    </row>
    <row r="1116" spans="1:16" x14ac:dyDescent="0.25">
      <c r="A1116" s="65" t="str">
        <f t="shared" si="17"/>
        <v/>
      </c>
      <c r="F1116" s="95" t="str">
        <f>IFERROR(VLOOKUP(B1116,tblPeople[],14,FALSE),"")</f>
        <v/>
      </c>
      <c r="G1116" s="11"/>
      <c r="H1116" s="67"/>
      <c r="I1116" s="11"/>
      <c r="J1116" s="11"/>
      <c r="K1116" s="11"/>
      <c r="L1116" s="11"/>
      <c r="M1116" s="11"/>
      <c r="N1116" s="11"/>
      <c r="O1116" s="67"/>
      <c r="P1116" s="11"/>
    </row>
    <row r="1117" spans="1:16" x14ac:dyDescent="0.25">
      <c r="A1117" s="65" t="str">
        <f t="shared" si="17"/>
        <v/>
      </c>
      <c r="F1117" s="95" t="str">
        <f>IFERROR(VLOOKUP(B1117,tblPeople[],14,FALSE),"")</f>
        <v/>
      </c>
      <c r="G1117" s="11"/>
      <c r="H1117" s="67"/>
      <c r="I1117" s="11"/>
      <c r="J1117" s="11"/>
      <c r="K1117" s="11"/>
      <c r="L1117" s="11"/>
      <c r="M1117" s="11"/>
      <c r="N1117" s="11"/>
      <c r="O1117" s="67"/>
      <c r="P1117" s="11"/>
    </row>
    <row r="1118" spans="1:16" x14ac:dyDescent="0.25">
      <c r="A1118" s="65" t="str">
        <f t="shared" si="17"/>
        <v/>
      </c>
      <c r="F1118" s="95" t="str">
        <f>IFERROR(VLOOKUP(B1118,tblPeople[],14,FALSE),"")</f>
        <v/>
      </c>
      <c r="G1118" s="11"/>
      <c r="H1118" s="67"/>
      <c r="I1118" s="11"/>
      <c r="J1118" s="11"/>
      <c r="K1118" s="11"/>
      <c r="L1118" s="11"/>
      <c r="M1118" s="11"/>
      <c r="N1118" s="11"/>
      <c r="O1118" s="67"/>
      <c r="P1118" s="11"/>
    </row>
    <row r="1119" spans="1:16" x14ac:dyDescent="0.25">
      <c r="A1119" s="65" t="str">
        <f t="shared" si="17"/>
        <v/>
      </c>
      <c r="F1119" s="95" t="str">
        <f>IFERROR(VLOOKUP(B1119,tblPeople[],14,FALSE),"")</f>
        <v/>
      </c>
      <c r="G1119" s="11"/>
      <c r="H1119" s="67"/>
      <c r="I1119" s="11"/>
      <c r="J1119" s="11"/>
      <c r="K1119" s="11"/>
      <c r="L1119" s="11"/>
      <c r="M1119" s="11"/>
      <c r="N1119" s="11"/>
      <c r="O1119" s="67"/>
      <c r="P1119" s="11"/>
    </row>
    <row r="1120" spans="1:16" x14ac:dyDescent="0.25">
      <c r="A1120" s="65" t="str">
        <f t="shared" si="17"/>
        <v/>
      </c>
      <c r="F1120" s="95" t="str">
        <f>IFERROR(VLOOKUP(B1120,tblPeople[],14,FALSE),"")</f>
        <v/>
      </c>
      <c r="G1120" s="11"/>
      <c r="H1120" s="67"/>
      <c r="I1120" s="11"/>
      <c r="J1120" s="11"/>
      <c r="K1120" s="11"/>
      <c r="L1120" s="11"/>
      <c r="M1120" s="11"/>
      <c r="N1120" s="11"/>
      <c r="O1120" s="67"/>
      <c r="P1120" s="11"/>
    </row>
    <row r="1121" spans="1:16" x14ac:dyDescent="0.25">
      <c r="A1121" s="65" t="str">
        <f t="shared" si="17"/>
        <v/>
      </c>
      <c r="F1121" s="95" t="str">
        <f>IFERROR(VLOOKUP(B1121,tblPeople[],14,FALSE),"")</f>
        <v/>
      </c>
      <c r="G1121" s="11"/>
      <c r="H1121" s="67"/>
      <c r="I1121" s="11"/>
      <c r="J1121" s="11"/>
      <c r="K1121" s="11"/>
      <c r="L1121" s="11"/>
      <c r="M1121" s="11"/>
      <c r="N1121" s="11"/>
      <c r="O1121" s="67"/>
      <c r="P1121" s="11"/>
    </row>
    <row r="1122" spans="1:16" x14ac:dyDescent="0.25">
      <c r="A1122" s="65" t="str">
        <f t="shared" si="17"/>
        <v/>
      </c>
      <c r="F1122" s="95" t="str">
        <f>IFERROR(VLOOKUP(B1122,tblPeople[],14,FALSE),"")</f>
        <v/>
      </c>
      <c r="G1122" s="11"/>
      <c r="H1122" s="67"/>
      <c r="I1122" s="11"/>
      <c r="J1122" s="11"/>
      <c r="K1122" s="11"/>
      <c r="L1122" s="11"/>
      <c r="M1122" s="11"/>
      <c r="N1122" s="11"/>
      <c r="O1122" s="67"/>
      <c r="P1122" s="11"/>
    </row>
    <row r="1123" spans="1:16" x14ac:dyDescent="0.25">
      <c r="A1123" s="65" t="str">
        <f t="shared" si="17"/>
        <v/>
      </c>
      <c r="F1123" s="95" t="str">
        <f>IFERROR(VLOOKUP(B1123,tblPeople[],14,FALSE),"")</f>
        <v/>
      </c>
      <c r="G1123" s="11"/>
      <c r="H1123" s="67"/>
      <c r="I1123" s="11"/>
      <c r="J1123" s="11"/>
      <c r="K1123" s="11"/>
      <c r="L1123" s="11"/>
      <c r="M1123" s="11"/>
      <c r="N1123" s="11"/>
      <c r="O1123" s="67"/>
      <c r="P1123" s="11"/>
    </row>
    <row r="1124" spans="1:16" x14ac:dyDescent="0.25">
      <c r="A1124" s="65" t="str">
        <f t="shared" si="17"/>
        <v/>
      </c>
      <c r="F1124" s="95" t="str">
        <f>IFERROR(VLOOKUP(B1124,tblPeople[],14,FALSE),"")</f>
        <v/>
      </c>
      <c r="G1124" s="11"/>
      <c r="H1124" s="67"/>
      <c r="I1124" s="11"/>
      <c r="J1124" s="11"/>
      <c r="K1124" s="11"/>
      <c r="L1124" s="11"/>
      <c r="M1124" s="11"/>
      <c r="N1124" s="11"/>
      <c r="O1124" s="67"/>
      <c r="P1124" s="11"/>
    </row>
    <row r="1125" spans="1:16" x14ac:dyDescent="0.25">
      <c r="A1125" s="65" t="str">
        <f t="shared" si="17"/>
        <v/>
      </c>
      <c r="F1125" s="95" t="str">
        <f>IFERROR(VLOOKUP(B1125,tblPeople[],14,FALSE),"")</f>
        <v/>
      </c>
      <c r="G1125" s="11"/>
      <c r="H1125" s="67"/>
      <c r="I1125" s="11"/>
      <c r="J1125" s="11"/>
      <c r="K1125" s="11"/>
      <c r="L1125" s="11"/>
      <c r="M1125" s="11"/>
      <c r="N1125" s="11"/>
      <c r="O1125" s="67"/>
      <c r="P1125" s="11"/>
    </row>
    <row r="1126" spans="1:16" x14ac:dyDescent="0.25">
      <c r="A1126" s="65" t="str">
        <f t="shared" si="17"/>
        <v/>
      </c>
      <c r="F1126" s="95" t="str">
        <f>IFERROR(VLOOKUP(B1126,tblPeople[],14,FALSE),"")</f>
        <v/>
      </c>
      <c r="G1126" s="11"/>
      <c r="H1126" s="67"/>
      <c r="I1126" s="11"/>
      <c r="J1126" s="11"/>
      <c r="K1126" s="11"/>
      <c r="L1126" s="11"/>
      <c r="M1126" s="11"/>
      <c r="N1126" s="11"/>
      <c r="O1126" s="67"/>
      <c r="P1126" s="11"/>
    </row>
    <row r="1127" spans="1:16" x14ac:dyDescent="0.25">
      <c r="A1127" s="65" t="str">
        <f t="shared" si="17"/>
        <v/>
      </c>
      <c r="F1127" s="95" t="str">
        <f>IFERROR(VLOOKUP(B1127,tblPeople[],14,FALSE),"")</f>
        <v/>
      </c>
      <c r="G1127" s="11"/>
      <c r="H1127" s="67"/>
      <c r="I1127" s="11"/>
      <c r="J1127" s="11"/>
      <c r="K1127" s="11"/>
      <c r="L1127" s="11"/>
      <c r="M1127" s="11"/>
      <c r="N1127" s="11"/>
      <c r="O1127" s="67"/>
      <c r="P1127" s="11"/>
    </row>
    <row r="1128" spans="1:16" x14ac:dyDescent="0.25">
      <c r="A1128" s="65" t="str">
        <f t="shared" si="17"/>
        <v/>
      </c>
      <c r="F1128" s="95" t="str">
        <f>IFERROR(VLOOKUP(B1128,tblPeople[],14,FALSE),"")</f>
        <v/>
      </c>
      <c r="G1128" s="11"/>
      <c r="H1128" s="67"/>
      <c r="I1128" s="11"/>
      <c r="J1128" s="11"/>
      <c r="K1128" s="11"/>
      <c r="L1128" s="11"/>
      <c r="M1128" s="11"/>
      <c r="N1128" s="11"/>
      <c r="O1128" s="67"/>
      <c r="P1128" s="11"/>
    </row>
    <row r="1129" spans="1:16" x14ac:dyDescent="0.25">
      <c r="A1129" s="65" t="str">
        <f t="shared" si="17"/>
        <v/>
      </c>
      <c r="F1129" s="95" t="str">
        <f>IFERROR(VLOOKUP(B1129,tblPeople[],14,FALSE),"")</f>
        <v/>
      </c>
      <c r="G1129" s="11"/>
      <c r="H1129" s="67"/>
      <c r="I1129" s="11"/>
      <c r="J1129" s="11"/>
      <c r="K1129" s="11"/>
      <c r="L1129" s="11"/>
      <c r="M1129" s="11"/>
      <c r="N1129" s="11"/>
      <c r="O1129" s="67"/>
      <c r="P1129" s="11"/>
    </row>
    <row r="1130" spans="1:16" x14ac:dyDescent="0.25">
      <c r="A1130" s="65" t="str">
        <f t="shared" si="17"/>
        <v/>
      </c>
      <c r="F1130" s="95" t="str">
        <f>IFERROR(VLOOKUP(B1130,tblPeople[],14,FALSE),"")</f>
        <v/>
      </c>
      <c r="G1130" s="11"/>
      <c r="H1130" s="67"/>
      <c r="I1130" s="11"/>
      <c r="J1130" s="11"/>
      <c r="K1130" s="11"/>
      <c r="L1130" s="11"/>
      <c r="M1130" s="11"/>
      <c r="N1130" s="11"/>
      <c r="O1130" s="67"/>
      <c r="P1130" s="11"/>
    </row>
    <row r="1131" spans="1:16" x14ac:dyDescent="0.25">
      <c r="A1131" s="65" t="str">
        <f t="shared" si="17"/>
        <v/>
      </c>
      <c r="F1131" s="95" t="str">
        <f>IFERROR(VLOOKUP(B1131,tblPeople[],14,FALSE),"")</f>
        <v/>
      </c>
      <c r="G1131" s="11"/>
      <c r="H1131" s="67"/>
      <c r="I1131" s="11"/>
      <c r="J1131" s="11"/>
      <c r="K1131" s="11"/>
      <c r="L1131" s="11"/>
      <c r="M1131" s="11"/>
      <c r="N1131" s="11"/>
      <c r="O1131" s="67"/>
      <c r="P1131" s="11"/>
    </row>
    <row r="1132" spans="1:16" x14ac:dyDescent="0.25">
      <c r="A1132" s="65" t="str">
        <f t="shared" si="17"/>
        <v/>
      </c>
      <c r="F1132" s="95" t="str">
        <f>IFERROR(VLOOKUP(B1132,tblPeople[],14,FALSE),"")</f>
        <v/>
      </c>
      <c r="G1132" s="11"/>
      <c r="H1132" s="67"/>
      <c r="I1132" s="11"/>
      <c r="J1132" s="11"/>
      <c r="K1132" s="11"/>
      <c r="L1132" s="11"/>
      <c r="M1132" s="11"/>
      <c r="N1132" s="11"/>
      <c r="O1132" s="67"/>
      <c r="P1132" s="11"/>
    </row>
    <row r="1133" spans="1:16" x14ac:dyDescent="0.25">
      <c r="A1133" s="65" t="str">
        <f t="shared" si="17"/>
        <v/>
      </c>
      <c r="F1133" s="95" t="str">
        <f>IFERROR(VLOOKUP(B1133,tblPeople[],14,FALSE),"")</f>
        <v/>
      </c>
      <c r="G1133" s="11"/>
      <c r="H1133" s="67"/>
      <c r="I1133" s="11"/>
      <c r="J1133" s="11"/>
      <c r="K1133" s="11"/>
      <c r="L1133" s="11"/>
      <c r="M1133" s="11"/>
      <c r="N1133" s="11"/>
      <c r="O1133" s="67"/>
      <c r="P1133" s="11"/>
    </row>
    <row r="1134" spans="1:16" x14ac:dyDescent="0.25">
      <c r="A1134" s="65" t="str">
        <f t="shared" si="17"/>
        <v/>
      </c>
      <c r="F1134" s="95" t="str">
        <f>IFERROR(VLOOKUP(B1134,tblPeople[],14,FALSE),"")</f>
        <v/>
      </c>
      <c r="G1134" s="11"/>
      <c r="H1134" s="67"/>
      <c r="I1134" s="11"/>
      <c r="J1134" s="11"/>
      <c r="K1134" s="11"/>
      <c r="L1134" s="11"/>
      <c r="M1134" s="11"/>
      <c r="N1134" s="11"/>
      <c r="O1134" s="67"/>
      <c r="P1134" s="11"/>
    </row>
    <row r="1135" spans="1:16" x14ac:dyDescent="0.25">
      <c r="A1135" s="65" t="str">
        <f t="shared" si="17"/>
        <v/>
      </c>
      <c r="F1135" s="95" t="str">
        <f>IFERROR(VLOOKUP(B1135,tblPeople[],14,FALSE),"")</f>
        <v/>
      </c>
      <c r="G1135" s="11"/>
      <c r="H1135" s="67"/>
      <c r="I1135" s="11"/>
      <c r="J1135" s="11"/>
      <c r="K1135" s="11"/>
      <c r="L1135" s="11"/>
      <c r="M1135" s="11"/>
      <c r="N1135" s="11"/>
      <c r="O1135" s="67"/>
      <c r="P1135" s="11"/>
    </row>
    <row r="1136" spans="1:16" x14ac:dyDescent="0.25">
      <c r="A1136" s="65" t="str">
        <f t="shared" si="17"/>
        <v/>
      </c>
      <c r="F1136" s="95" t="str">
        <f>IFERROR(VLOOKUP(B1136,tblPeople[],14,FALSE),"")</f>
        <v/>
      </c>
      <c r="G1136" s="11"/>
      <c r="H1136" s="67"/>
      <c r="I1136" s="11"/>
      <c r="J1136" s="11"/>
      <c r="K1136" s="11"/>
      <c r="L1136" s="11"/>
      <c r="M1136" s="11"/>
      <c r="N1136" s="11"/>
      <c r="O1136" s="67"/>
      <c r="P1136" s="11"/>
    </row>
    <row r="1137" spans="1:16" x14ac:dyDescent="0.25">
      <c r="A1137" s="65" t="str">
        <f t="shared" si="17"/>
        <v/>
      </c>
      <c r="F1137" s="95" t="str">
        <f>IFERROR(VLOOKUP(B1137,tblPeople[],14,FALSE),"")</f>
        <v/>
      </c>
      <c r="G1137" s="11"/>
      <c r="H1137" s="67"/>
      <c r="I1137" s="11"/>
      <c r="J1137" s="11"/>
      <c r="K1137" s="11"/>
      <c r="L1137" s="11"/>
      <c r="M1137" s="11"/>
      <c r="N1137" s="11"/>
      <c r="O1137" s="67"/>
      <c r="P1137" s="11"/>
    </row>
    <row r="1138" spans="1:16" x14ac:dyDescent="0.25">
      <c r="A1138" s="65" t="str">
        <f t="shared" si="17"/>
        <v/>
      </c>
      <c r="F1138" s="95" t="str">
        <f>IFERROR(VLOOKUP(B1138,tblPeople[],14,FALSE),"")</f>
        <v/>
      </c>
      <c r="G1138" s="11"/>
      <c r="H1138" s="67"/>
      <c r="I1138" s="11"/>
      <c r="J1138" s="11"/>
      <c r="K1138" s="11"/>
      <c r="L1138" s="11"/>
      <c r="M1138" s="11"/>
      <c r="N1138" s="11"/>
      <c r="O1138" s="67"/>
      <c r="P1138" s="11"/>
    </row>
    <row r="1139" spans="1:16" x14ac:dyDescent="0.25">
      <c r="A1139" s="65" t="str">
        <f t="shared" si="17"/>
        <v/>
      </c>
      <c r="F1139" s="95" t="str">
        <f>IFERROR(VLOOKUP(B1139,tblPeople[],14,FALSE),"")</f>
        <v/>
      </c>
      <c r="G1139" s="11"/>
      <c r="H1139" s="67"/>
      <c r="I1139" s="11"/>
      <c r="J1139" s="11"/>
      <c r="K1139" s="11"/>
      <c r="L1139" s="11"/>
      <c r="M1139" s="11"/>
      <c r="N1139" s="11"/>
      <c r="O1139" s="67"/>
      <c r="P1139" s="11"/>
    </row>
    <row r="1140" spans="1:16" x14ac:dyDescent="0.25">
      <c r="A1140" s="65" t="str">
        <f t="shared" si="17"/>
        <v/>
      </c>
      <c r="F1140" s="95" t="str">
        <f>IFERROR(VLOOKUP(B1140,tblPeople[],14,FALSE),"")</f>
        <v/>
      </c>
      <c r="G1140" s="11"/>
      <c r="H1140" s="67"/>
      <c r="I1140" s="11"/>
      <c r="J1140" s="11"/>
      <c r="K1140" s="11"/>
      <c r="L1140" s="11"/>
      <c r="M1140" s="11"/>
      <c r="N1140" s="11"/>
      <c r="O1140" s="67"/>
      <c r="P1140" s="11"/>
    </row>
    <row r="1141" spans="1:16" x14ac:dyDescent="0.25">
      <c r="A1141" s="65" t="str">
        <f t="shared" si="17"/>
        <v/>
      </c>
      <c r="F1141" s="95" t="str">
        <f>IFERROR(VLOOKUP(B1141,tblPeople[],14,FALSE),"")</f>
        <v/>
      </c>
      <c r="G1141" s="11"/>
      <c r="H1141" s="67"/>
      <c r="I1141" s="11"/>
      <c r="J1141" s="11"/>
      <c r="K1141" s="11"/>
      <c r="L1141" s="11"/>
      <c r="M1141" s="11"/>
      <c r="N1141" s="11"/>
      <c r="O1141" s="67"/>
      <c r="P1141" s="11"/>
    </row>
    <row r="1142" spans="1:16" x14ac:dyDescent="0.25">
      <c r="A1142" s="65" t="str">
        <f t="shared" si="17"/>
        <v/>
      </c>
      <c r="F1142" s="95" t="str">
        <f>IFERROR(VLOOKUP(B1142,tblPeople[],14,FALSE),"")</f>
        <v/>
      </c>
      <c r="G1142" s="11"/>
      <c r="H1142" s="67"/>
      <c r="I1142" s="11"/>
      <c r="J1142" s="11"/>
      <c r="K1142" s="11"/>
      <c r="L1142" s="11"/>
      <c r="M1142" s="11"/>
      <c r="N1142" s="11"/>
      <c r="O1142" s="67"/>
      <c r="P1142" s="11"/>
    </row>
    <row r="1143" spans="1:16" x14ac:dyDescent="0.25">
      <c r="A1143" s="65" t="str">
        <f t="shared" si="17"/>
        <v/>
      </c>
      <c r="F1143" s="95" t="str">
        <f>IFERROR(VLOOKUP(B1143,tblPeople[],14,FALSE),"")</f>
        <v/>
      </c>
      <c r="G1143" s="11"/>
      <c r="H1143" s="67"/>
      <c r="I1143" s="11"/>
      <c r="J1143" s="11"/>
      <c r="K1143" s="11"/>
      <c r="L1143" s="11"/>
      <c r="M1143" s="11"/>
      <c r="N1143" s="11"/>
      <c r="O1143" s="67"/>
      <c r="P1143" s="11"/>
    </row>
    <row r="1144" spans="1:16" x14ac:dyDescent="0.25">
      <c r="A1144" s="65" t="str">
        <f t="shared" si="17"/>
        <v/>
      </c>
      <c r="F1144" s="95" t="str">
        <f>IFERROR(VLOOKUP(B1144,tblPeople[],14,FALSE),"")</f>
        <v/>
      </c>
      <c r="G1144" s="11"/>
      <c r="H1144" s="67"/>
      <c r="I1144" s="11"/>
      <c r="J1144" s="11"/>
      <c r="K1144" s="11"/>
      <c r="L1144" s="11"/>
      <c r="M1144" s="11"/>
      <c r="N1144" s="11"/>
      <c r="O1144" s="67"/>
      <c r="P1144" s="11"/>
    </row>
    <row r="1145" spans="1:16" x14ac:dyDescent="0.25">
      <c r="A1145" s="65" t="str">
        <f t="shared" si="17"/>
        <v/>
      </c>
      <c r="F1145" s="95" t="str">
        <f>IFERROR(VLOOKUP(B1145,tblPeople[],14,FALSE),"")</f>
        <v/>
      </c>
      <c r="G1145" s="11"/>
      <c r="H1145" s="67"/>
      <c r="I1145" s="11"/>
      <c r="J1145" s="11"/>
      <c r="K1145" s="11"/>
      <c r="L1145" s="11"/>
      <c r="M1145" s="11"/>
      <c r="N1145" s="11"/>
      <c r="O1145" s="67"/>
      <c r="P1145" s="11"/>
    </row>
    <row r="1146" spans="1:16" x14ac:dyDescent="0.25">
      <c r="A1146" s="65" t="str">
        <f t="shared" si="17"/>
        <v/>
      </c>
      <c r="F1146" s="95" t="str">
        <f>IFERROR(VLOOKUP(B1146,tblPeople[],14,FALSE),"")</f>
        <v/>
      </c>
      <c r="G1146" s="11"/>
      <c r="H1146" s="67"/>
      <c r="I1146" s="11"/>
      <c r="J1146" s="11"/>
      <c r="K1146" s="11"/>
      <c r="L1146" s="11"/>
      <c r="M1146" s="11"/>
      <c r="N1146" s="11"/>
      <c r="O1146" s="67"/>
      <c r="P1146" s="11"/>
    </row>
    <row r="1147" spans="1:16" x14ac:dyDescent="0.25">
      <c r="A1147" s="65" t="str">
        <f t="shared" si="17"/>
        <v/>
      </c>
      <c r="F1147" s="95" t="str">
        <f>IFERROR(VLOOKUP(B1147,tblPeople[],14,FALSE),"")</f>
        <v/>
      </c>
      <c r="G1147" s="11"/>
      <c r="H1147" s="67"/>
      <c r="I1147" s="11"/>
      <c r="J1147" s="11"/>
      <c r="K1147" s="11"/>
      <c r="L1147" s="11"/>
      <c r="M1147" s="11"/>
      <c r="N1147" s="11"/>
      <c r="O1147" s="67"/>
      <c r="P1147" s="11"/>
    </row>
    <row r="1148" spans="1:16" x14ac:dyDescent="0.25">
      <c r="A1148" s="65" t="str">
        <f t="shared" si="17"/>
        <v/>
      </c>
      <c r="F1148" s="95" t="str">
        <f>IFERROR(VLOOKUP(B1148,tblPeople[],14,FALSE),"")</f>
        <v/>
      </c>
      <c r="G1148" s="11"/>
      <c r="H1148" s="67"/>
      <c r="I1148" s="11"/>
      <c r="J1148" s="11"/>
      <c r="K1148" s="11"/>
      <c r="L1148" s="11"/>
      <c r="M1148" s="11"/>
      <c r="N1148" s="11"/>
      <c r="O1148" s="67"/>
      <c r="P1148" s="11"/>
    </row>
    <row r="1149" spans="1:16" x14ac:dyDescent="0.25">
      <c r="A1149" s="65" t="str">
        <f t="shared" si="17"/>
        <v/>
      </c>
      <c r="F1149" s="95" t="str">
        <f>IFERROR(VLOOKUP(B1149,tblPeople[],14,FALSE),"")</f>
        <v/>
      </c>
      <c r="G1149" s="11"/>
      <c r="H1149" s="67"/>
      <c r="I1149" s="11"/>
      <c r="J1149" s="11"/>
      <c r="K1149" s="11"/>
      <c r="L1149" s="11"/>
      <c r="M1149" s="11"/>
      <c r="N1149" s="11"/>
      <c r="O1149" s="67"/>
      <c r="P1149" s="11"/>
    </row>
    <row r="1150" spans="1:16" x14ac:dyDescent="0.25">
      <c r="A1150" s="65" t="str">
        <f t="shared" si="17"/>
        <v/>
      </c>
      <c r="F1150" s="95" t="str">
        <f>IFERROR(VLOOKUP(B1150,tblPeople[],14,FALSE),"")</f>
        <v/>
      </c>
      <c r="G1150" s="11"/>
      <c r="H1150" s="67"/>
      <c r="I1150" s="11"/>
      <c r="J1150" s="11"/>
      <c r="K1150" s="11"/>
      <c r="L1150" s="11"/>
      <c r="M1150" s="11"/>
      <c r="N1150" s="11"/>
      <c r="O1150" s="67"/>
      <c r="P1150" s="11"/>
    </row>
    <row r="1151" spans="1:16" x14ac:dyDescent="0.25">
      <c r="A1151" s="65" t="str">
        <f t="shared" si="17"/>
        <v/>
      </c>
      <c r="F1151" s="95" t="str">
        <f>IFERROR(VLOOKUP(B1151,tblPeople[],14,FALSE),"")</f>
        <v/>
      </c>
      <c r="G1151" s="11"/>
      <c r="H1151" s="67"/>
      <c r="I1151" s="11"/>
      <c r="J1151" s="11"/>
      <c r="K1151" s="11"/>
      <c r="L1151" s="11"/>
      <c r="M1151" s="11"/>
      <c r="N1151" s="11"/>
      <c r="O1151" s="67"/>
      <c r="P1151" s="11"/>
    </row>
    <row r="1152" spans="1:16" x14ac:dyDescent="0.25">
      <c r="A1152" s="65" t="str">
        <f t="shared" si="17"/>
        <v/>
      </c>
      <c r="F1152" s="95" t="str">
        <f>IFERROR(VLOOKUP(B1152,tblPeople[],14,FALSE),"")</f>
        <v/>
      </c>
      <c r="G1152" s="11"/>
      <c r="H1152" s="67"/>
      <c r="I1152" s="11"/>
      <c r="J1152" s="11"/>
      <c r="K1152" s="11"/>
      <c r="L1152" s="11"/>
      <c r="M1152" s="11"/>
      <c r="N1152" s="11"/>
      <c r="O1152" s="67"/>
      <c r="P1152" s="11"/>
    </row>
    <row r="1153" spans="1:16" x14ac:dyDescent="0.25">
      <c r="A1153" s="65" t="str">
        <f t="shared" si="17"/>
        <v/>
      </c>
      <c r="F1153" s="95" t="str">
        <f>IFERROR(VLOOKUP(B1153,tblPeople[],14,FALSE),"")</f>
        <v/>
      </c>
      <c r="G1153" s="11"/>
      <c r="H1153" s="67"/>
      <c r="I1153" s="11"/>
      <c r="J1153" s="11"/>
      <c r="K1153" s="11"/>
      <c r="L1153" s="11"/>
      <c r="M1153" s="11"/>
      <c r="N1153" s="11"/>
      <c r="O1153" s="67"/>
      <c r="P1153" s="11"/>
    </row>
    <row r="1154" spans="1:16" x14ac:dyDescent="0.25">
      <c r="A1154" s="65" t="str">
        <f t="shared" si="17"/>
        <v/>
      </c>
      <c r="F1154" s="95" t="str">
        <f>IFERROR(VLOOKUP(B1154,tblPeople[],14,FALSE),"")</f>
        <v/>
      </c>
      <c r="G1154" s="11"/>
      <c r="H1154" s="67"/>
      <c r="I1154" s="11"/>
      <c r="J1154" s="11"/>
      <c r="K1154" s="11"/>
      <c r="L1154" s="11"/>
      <c r="M1154" s="11"/>
      <c r="N1154" s="11"/>
      <c r="O1154" s="67"/>
      <c r="P1154" s="11"/>
    </row>
    <row r="1155" spans="1:16" x14ac:dyDescent="0.25">
      <c r="A1155" s="65" t="str">
        <f t="shared" si="17"/>
        <v/>
      </c>
      <c r="F1155" s="95" t="str">
        <f>IFERROR(VLOOKUP(B1155,tblPeople[],14,FALSE),"")</f>
        <v/>
      </c>
      <c r="G1155" s="11"/>
      <c r="H1155" s="67"/>
      <c r="I1155" s="11"/>
      <c r="J1155" s="11"/>
      <c r="K1155" s="11"/>
      <c r="L1155" s="11"/>
      <c r="M1155" s="11"/>
      <c r="N1155" s="11"/>
      <c r="O1155" s="67"/>
      <c r="P1155" s="11"/>
    </row>
    <row r="1156" spans="1:16" x14ac:dyDescent="0.25">
      <c r="A1156" s="65" t="str">
        <f t="shared" si="17"/>
        <v/>
      </c>
      <c r="F1156" s="95" t="str">
        <f>IFERROR(VLOOKUP(B1156,tblPeople[],14,FALSE),"")</f>
        <v/>
      </c>
      <c r="G1156" s="11"/>
      <c r="H1156" s="67"/>
      <c r="I1156" s="11"/>
      <c r="J1156" s="11"/>
      <c r="K1156" s="11"/>
      <c r="L1156" s="11"/>
      <c r="M1156" s="11"/>
      <c r="N1156" s="11"/>
      <c r="O1156" s="67"/>
      <c r="P1156" s="11"/>
    </row>
    <row r="1157" spans="1:16" x14ac:dyDescent="0.25">
      <c r="A1157" s="65" t="str">
        <f t="shared" si="17"/>
        <v/>
      </c>
      <c r="F1157" s="95" t="str">
        <f>IFERROR(VLOOKUP(B1157,tblPeople[],14,FALSE),"")</f>
        <v/>
      </c>
      <c r="G1157" s="11"/>
      <c r="H1157" s="67"/>
      <c r="I1157" s="11"/>
      <c r="J1157" s="11"/>
      <c r="K1157" s="11"/>
      <c r="L1157" s="11"/>
      <c r="M1157" s="11"/>
      <c r="N1157" s="11"/>
      <c r="O1157" s="67"/>
      <c r="P1157" s="11"/>
    </row>
    <row r="1158" spans="1:16" x14ac:dyDescent="0.25">
      <c r="A1158" s="65" t="str">
        <f t="shared" si="17"/>
        <v/>
      </c>
      <c r="F1158" s="95" t="str">
        <f>IFERROR(VLOOKUP(B1158,tblPeople[],14,FALSE),"")</f>
        <v/>
      </c>
      <c r="G1158" s="11"/>
      <c r="H1158" s="67"/>
      <c r="I1158" s="11"/>
      <c r="J1158" s="11"/>
      <c r="K1158" s="11"/>
      <c r="L1158" s="11"/>
      <c r="M1158" s="11"/>
      <c r="N1158" s="11"/>
      <c r="O1158" s="67"/>
      <c r="P1158" s="11"/>
    </row>
    <row r="1159" spans="1:16" x14ac:dyDescent="0.25">
      <c r="A1159" s="65" t="str">
        <f t="shared" si="17"/>
        <v/>
      </c>
      <c r="F1159" s="95" t="str">
        <f>IFERROR(VLOOKUP(B1159,tblPeople[],14,FALSE),"")</f>
        <v/>
      </c>
      <c r="G1159" s="11"/>
      <c r="H1159" s="67"/>
      <c r="I1159" s="11"/>
      <c r="J1159" s="11"/>
      <c r="K1159" s="11"/>
      <c r="L1159" s="11"/>
      <c r="M1159" s="11"/>
      <c r="N1159" s="11"/>
      <c r="O1159" s="67"/>
      <c r="P1159" s="11"/>
    </row>
    <row r="1160" spans="1:16" x14ac:dyDescent="0.25">
      <c r="A1160" s="65" t="str">
        <f t="shared" si="17"/>
        <v/>
      </c>
      <c r="F1160" s="95" t="str">
        <f>IFERROR(VLOOKUP(B1160,tblPeople[],14,FALSE),"")</f>
        <v/>
      </c>
      <c r="G1160" s="11"/>
      <c r="H1160" s="67"/>
      <c r="I1160" s="11"/>
      <c r="J1160" s="11"/>
      <c r="K1160" s="11"/>
      <c r="L1160" s="11"/>
      <c r="M1160" s="11"/>
      <c r="N1160" s="11"/>
      <c r="O1160" s="67"/>
      <c r="P1160" s="11"/>
    </row>
    <row r="1161" spans="1:16" x14ac:dyDescent="0.25">
      <c r="A1161" s="65" t="str">
        <f t="shared" si="17"/>
        <v/>
      </c>
      <c r="F1161" s="95" t="str">
        <f>IFERROR(VLOOKUP(B1161,tblPeople[],14,FALSE),"")</f>
        <v/>
      </c>
      <c r="G1161" s="11"/>
      <c r="H1161" s="67"/>
      <c r="I1161" s="11"/>
      <c r="J1161" s="11"/>
      <c r="K1161" s="11"/>
      <c r="L1161" s="11"/>
      <c r="M1161" s="11"/>
      <c r="N1161" s="11"/>
      <c r="O1161" s="67"/>
      <c r="P1161" s="11"/>
    </row>
    <row r="1162" spans="1:16" x14ac:dyDescent="0.25">
      <c r="A1162" s="65" t="str">
        <f t="shared" si="17"/>
        <v/>
      </c>
      <c r="F1162" s="95" t="str">
        <f>IFERROR(VLOOKUP(B1162,tblPeople[],14,FALSE),"")</f>
        <v/>
      </c>
      <c r="G1162" s="11"/>
      <c r="H1162" s="67"/>
      <c r="I1162" s="11"/>
      <c r="J1162" s="11"/>
      <c r="K1162" s="11"/>
      <c r="L1162" s="11"/>
      <c r="M1162" s="11"/>
      <c r="N1162" s="11"/>
      <c r="O1162" s="67"/>
      <c r="P1162" s="11"/>
    </row>
    <row r="1163" spans="1:16" x14ac:dyDescent="0.25">
      <c r="A1163" s="65" t="str">
        <f t="shared" si="17"/>
        <v/>
      </c>
      <c r="F1163" s="95" t="str">
        <f>IFERROR(VLOOKUP(B1163,tblPeople[],14,FALSE),"")</f>
        <v/>
      </c>
      <c r="G1163" s="11"/>
      <c r="H1163" s="67"/>
      <c r="I1163" s="11"/>
      <c r="J1163" s="11"/>
      <c r="K1163" s="11"/>
      <c r="L1163" s="11"/>
      <c r="M1163" s="11"/>
      <c r="N1163" s="11"/>
      <c r="O1163" s="67"/>
      <c r="P1163" s="11"/>
    </row>
    <row r="1164" spans="1:16" x14ac:dyDescent="0.25">
      <c r="A1164" s="65" t="str">
        <f t="shared" si="17"/>
        <v/>
      </c>
      <c r="F1164" s="95" t="str">
        <f>IFERROR(VLOOKUP(B1164,tblPeople[],14,FALSE),"")</f>
        <v/>
      </c>
      <c r="G1164" s="11"/>
      <c r="H1164" s="67"/>
      <c r="I1164" s="11"/>
      <c r="J1164" s="11"/>
      <c r="K1164" s="11"/>
      <c r="L1164" s="11"/>
      <c r="M1164" s="11"/>
      <c r="N1164" s="11"/>
      <c r="O1164" s="67"/>
      <c r="P1164" s="11"/>
    </row>
    <row r="1165" spans="1:16" x14ac:dyDescent="0.25">
      <c r="A1165" s="65" t="str">
        <f t="shared" si="17"/>
        <v/>
      </c>
      <c r="F1165" s="95" t="str">
        <f>IFERROR(VLOOKUP(B1165,tblPeople[],14,FALSE),"")</f>
        <v/>
      </c>
      <c r="G1165" s="11"/>
      <c r="H1165" s="67"/>
      <c r="I1165" s="11"/>
      <c r="J1165" s="11"/>
      <c r="K1165" s="11"/>
      <c r="L1165" s="11"/>
      <c r="M1165" s="11"/>
      <c r="N1165" s="11"/>
      <c r="O1165" s="67"/>
      <c r="P1165" s="11"/>
    </row>
    <row r="1166" spans="1:16" x14ac:dyDescent="0.25">
      <c r="A1166" s="65" t="str">
        <f t="shared" si="17"/>
        <v/>
      </c>
      <c r="F1166" s="95" t="str">
        <f>IFERROR(VLOOKUP(B1166,tblPeople[],14,FALSE),"")</f>
        <v/>
      </c>
      <c r="G1166" s="11"/>
      <c r="H1166" s="67"/>
      <c r="I1166" s="11"/>
      <c r="J1166" s="11"/>
      <c r="K1166" s="11"/>
      <c r="L1166" s="11"/>
      <c r="M1166" s="11"/>
      <c r="N1166" s="11"/>
      <c r="O1166" s="67"/>
      <c r="P1166" s="11"/>
    </row>
    <row r="1167" spans="1:16" x14ac:dyDescent="0.25">
      <c r="A1167" s="65" t="str">
        <f t="shared" si="17"/>
        <v/>
      </c>
      <c r="F1167" s="95" t="str">
        <f>IFERROR(VLOOKUP(B1167,tblPeople[],14,FALSE),"")</f>
        <v/>
      </c>
      <c r="G1167" s="11"/>
      <c r="H1167" s="67"/>
      <c r="I1167" s="11"/>
      <c r="J1167" s="11"/>
      <c r="K1167" s="11"/>
      <c r="L1167" s="11"/>
      <c r="M1167" s="11"/>
      <c r="N1167" s="11"/>
      <c r="O1167" s="67"/>
      <c r="P1167" s="11"/>
    </row>
    <row r="1168" spans="1:16" x14ac:dyDescent="0.25">
      <c r="A1168" s="65" t="str">
        <f t="shared" si="17"/>
        <v/>
      </c>
      <c r="F1168" s="95" t="str">
        <f>IFERROR(VLOOKUP(B1168,tblPeople[],14,FALSE),"")</f>
        <v/>
      </c>
      <c r="G1168" s="11"/>
      <c r="H1168" s="67"/>
      <c r="I1168" s="11"/>
      <c r="J1168" s="11"/>
      <c r="K1168" s="11"/>
      <c r="L1168" s="11"/>
      <c r="M1168" s="11"/>
      <c r="N1168" s="11"/>
      <c r="O1168" s="67"/>
      <c r="P1168" s="11"/>
    </row>
    <row r="1169" spans="1:16" x14ac:dyDescent="0.25">
      <c r="A1169" s="65" t="str">
        <f t="shared" si="17"/>
        <v/>
      </c>
      <c r="F1169" s="95" t="str">
        <f>IFERROR(VLOOKUP(B1169,tblPeople[],14,FALSE),"")</f>
        <v/>
      </c>
      <c r="G1169" s="11"/>
      <c r="H1169" s="67"/>
      <c r="I1169" s="11"/>
      <c r="J1169" s="11"/>
      <c r="K1169" s="11"/>
      <c r="L1169" s="11"/>
      <c r="M1169" s="11"/>
      <c r="N1169" s="11"/>
      <c r="O1169" s="67"/>
      <c r="P1169" s="11"/>
    </row>
    <row r="1170" spans="1:16" x14ac:dyDescent="0.25">
      <c r="A1170" s="65" t="str">
        <f t="shared" ref="A1170:A1231" si="18">IF(B1170=ISBLANK(""),"",A1169+1)</f>
        <v/>
      </c>
      <c r="F1170" s="95" t="str">
        <f>IFERROR(VLOOKUP(B1170,tblPeople[],14,FALSE),"")</f>
        <v/>
      </c>
      <c r="G1170" s="11"/>
      <c r="H1170" s="67"/>
      <c r="I1170" s="11"/>
      <c r="J1170" s="11"/>
      <c r="K1170" s="11"/>
      <c r="L1170" s="11"/>
      <c r="M1170" s="11"/>
      <c r="N1170" s="11"/>
      <c r="O1170" s="67"/>
      <c r="P1170" s="11"/>
    </row>
    <row r="1171" spans="1:16" x14ac:dyDescent="0.25">
      <c r="A1171" s="65" t="str">
        <f t="shared" si="18"/>
        <v/>
      </c>
      <c r="F1171" s="95" t="str">
        <f>IFERROR(VLOOKUP(B1171,tblPeople[],14,FALSE),"")</f>
        <v/>
      </c>
      <c r="G1171" s="11"/>
      <c r="H1171" s="67"/>
      <c r="I1171" s="11"/>
      <c r="J1171" s="11"/>
      <c r="K1171" s="11"/>
      <c r="L1171" s="11"/>
      <c r="M1171" s="11"/>
      <c r="N1171" s="11"/>
      <c r="O1171" s="67"/>
      <c r="P1171" s="11"/>
    </row>
    <row r="1172" spans="1:16" x14ac:dyDescent="0.25">
      <c r="A1172" s="65" t="str">
        <f t="shared" si="18"/>
        <v/>
      </c>
      <c r="F1172" s="95" t="str">
        <f>IFERROR(VLOOKUP(B1172,tblPeople[],14,FALSE),"")</f>
        <v/>
      </c>
      <c r="G1172" s="11"/>
      <c r="H1172" s="67"/>
      <c r="I1172" s="11"/>
      <c r="J1172" s="11"/>
      <c r="K1172" s="11"/>
      <c r="L1172" s="11"/>
      <c r="M1172" s="11"/>
      <c r="N1172" s="11"/>
      <c r="O1172" s="67"/>
      <c r="P1172" s="11"/>
    </row>
    <row r="1173" spans="1:16" x14ac:dyDescent="0.25">
      <c r="A1173" s="65" t="str">
        <f t="shared" si="18"/>
        <v/>
      </c>
      <c r="F1173" s="95" t="str">
        <f>IFERROR(VLOOKUP(B1173,tblPeople[],14,FALSE),"")</f>
        <v/>
      </c>
      <c r="G1173" s="11"/>
      <c r="H1173" s="67"/>
      <c r="I1173" s="11"/>
      <c r="J1173" s="11"/>
      <c r="K1173" s="11"/>
      <c r="L1173" s="11"/>
      <c r="M1173" s="11"/>
      <c r="N1173" s="11"/>
      <c r="O1173" s="67"/>
      <c r="P1173" s="11"/>
    </row>
    <row r="1174" spans="1:16" x14ac:dyDescent="0.25">
      <c r="A1174" s="65" t="str">
        <f t="shared" si="18"/>
        <v/>
      </c>
      <c r="F1174" s="95" t="str">
        <f>IFERROR(VLOOKUP(B1174,tblPeople[],14,FALSE),"")</f>
        <v/>
      </c>
      <c r="G1174" s="11"/>
      <c r="H1174" s="67"/>
      <c r="I1174" s="11"/>
      <c r="J1174" s="11"/>
      <c r="K1174" s="11"/>
      <c r="L1174" s="11"/>
      <c r="M1174" s="11"/>
      <c r="N1174" s="11"/>
      <c r="O1174" s="67"/>
      <c r="P1174" s="11"/>
    </row>
    <row r="1175" spans="1:16" x14ac:dyDescent="0.25">
      <c r="A1175" s="65" t="str">
        <f t="shared" si="18"/>
        <v/>
      </c>
      <c r="F1175" s="95" t="str">
        <f>IFERROR(VLOOKUP(B1175,tblPeople[],14,FALSE),"")</f>
        <v/>
      </c>
      <c r="G1175" s="11"/>
      <c r="H1175" s="67"/>
      <c r="I1175" s="11"/>
      <c r="J1175" s="11"/>
      <c r="K1175" s="11"/>
      <c r="L1175" s="11"/>
      <c r="M1175" s="11"/>
      <c r="N1175" s="11"/>
      <c r="O1175" s="67"/>
      <c r="P1175" s="11"/>
    </row>
    <row r="1176" spans="1:16" x14ac:dyDescent="0.25">
      <c r="A1176" s="65" t="str">
        <f t="shared" si="18"/>
        <v/>
      </c>
      <c r="F1176" s="95" t="str">
        <f>IFERROR(VLOOKUP(B1176,tblPeople[],14,FALSE),"")</f>
        <v/>
      </c>
      <c r="G1176" s="11"/>
      <c r="H1176" s="67"/>
      <c r="I1176" s="11"/>
      <c r="J1176" s="11"/>
      <c r="K1176" s="11"/>
      <c r="L1176" s="11"/>
      <c r="M1176" s="11"/>
      <c r="N1176" s="11"/>
      <c r="O1176" s="67"/>
      <c r="P1176" s="11"/>
    </row>
    <row r="1177" spans="1:16" x14ac:dyDescent="0.25">
      <c r="A1177" s="65" t="str">
        <f t="shared" si="18"/>
        <v/>
      </c>
      <c r="F1177" s="95" t="str">
        <f>IFERROR(VLOOKUP(B1177,tblPeople[],14,FALSE),"")</f>
        <v/>
      </c>
      <c r="G1177" s="11"/>
      <c r="H1177" s="67"/>
      <c r="I1177" s="11"/>
      <c r="J1177" s="11"/>
      <c r="K1177" s="11"/>
      <c r="L1177" s="11"/>
      <c r="M1177" s="11"/>
      <c r="N1177" s="11"/>
      <c r="O1177" s="67"/>
      <c r="P1177" s="11"/>
    </row>
    <row r="1178" spans="1:16" x14ac:dyDescent="0.25">
      <c r="A1178" s="65" t="str">
        <f t="shared" si="18"/>
        <v/>
      </c>
      <c r="F1178" s="95" t="str">
        <f>IFERROR(VLOOKUP(B1178,tblPeople[],14,FALSE),"")</f>
        <v/>
      </c>
      <c r="G1178" s="11"/>
      <c r="H1178" s="67"/>
      <c r="I1178" s="11"/>
      <c r="J1178" s="11"/>
      <c r="K1178" s="11"/>
      <c r="L1178" s="11"/>
      <c r="M1178" s="11"/>
      <c r="N1178" s="11"/>
      <c r="O1178" s="67"/>
      <c r="P1178" s="11"/>
    </row>
    <row r="1179" spans="1:16" x14ac:dyDescent="0.25">
      <c r="A1179" s="65" t="str">
        <f t="shared" si="18"/>
        <v/>
      </c>
      <c r="F1179" s="95" t="str">
        <f>IFERROR(VLOOKUP(B1179,tblPeople[],14,FALSE),"")</f>
        <v/>
      </c>
      <c r="G1179" s="11"/>
      <c r="H1179" s="67"/>
      <c r="I1179" s="11"/>
      <c r="J1179" s="11"/>
      <c r="K1179" s="11"/>
      <c r="L1179" s="11"/>
      <c r="M1179" s="11"/>
      <c r="N1179" s="11"/>
      <c r="O1179" s="67"/>
      <c r="P1179" s="11"/>
    </row>
    <row r="1180" spans="1:16" x14ac:dyDescent="0.25">
      <c r="A1180" s="65" t="str">
        <f t="shared" si="18"/>
        <v/>
      </c>
      <c r="F1180" s="95" t="str">
        <f>IFERROR(VLOOKUP(B1180,tblPeople[],14,FALSE),"")</f>
        <v/>
      </c>
      <c r="G1180" s="11"/>
      <c r="H1180" s="67"/>
      <c r="I1180" s="11"/>
      <c r="J1180" s="11"/>
      <c r="K1180" s="11"/>
      <c r="L1180" s="11"/>
      <c r="M1180" s="11"/>
      <c r="N1180" s="11"/>
      <c r="O1180" s="67"/>
      <c r="P1180" s="11"/>
    </row>
    <row r="1181" spans="1:16" x14ac:dyDescent="0.25">
      <c r="A1181" s="65" t="str">
        <f t="shared" si="18"/>
        <v/>
      </c>
      <c r="F1181" s="95" t="str">
        <f>IFERROR(VLOOKUP(B1181,tblPeople[],14,FALSE),"")</f>
        <v/>
      </c>
      <c r="G1181" s="11"/>
      <c r="H1181" s="67"/>
      <c r="I1181" s="11"/>
      <c r="J1181" s="11"/>
      <c r="K1181" s="11"/>
      <c r="L1181" s="11"/>
      <c r="M1181" s="11"/>
      <c r="N1181" s="11"/>
      <c r="O1181" s="67"/>
      <c r="P1181" s="11"/>
    </row>
    <row r="1182" spans="1:16" x14ac:dyDescent="0.25">
      <c r="A1182" s="65" t="str">
        <f t="shared" si="18"/>
        <v/>
      </c>
      <c r="F1182" s="95" t="str">
        <f>IFERROR(VLOOKUP(B1182,tblPeople[],14,FALSE),"")</f>
        <v/>
      </c>
      <c r="G1182" s="11"/>
      <c r="H1182" s="67"/>
      <c r="I1182" s="11"/>
      <c r="J1182" s="11"/>
      <c r="K1182" s="11"/>
      <c r="L1182" s="11"/>
      <c r="M1182" s="11"/>
      <c r="N1182" s="11"/>
      <c r="O1182" s="67"/>
      <c r="P1182" s="11"/>
    </row>
    <row r="1183" spans="1:16" x14ac:dyDescent="0.25">
      <c r="A1183" s="65" t="str">
        <f t="shared" si="18"/>
        <v/>
      </c>
      <c r="G1183" s="11"/>
      <c r="H1183" s="67"/>
      <c r="I1183" s="11"/>
      <c r="J1183" s="11"/>
      <c r="K1183" s="11"/>
      <c r="L1183" s="11"/>
      <c r="M1183" s="11"/>
      <c r="N1183" s="11"/>
      <c r="O1183" s="67"/>
      <c r="P1183" s="11"/>
    </row>
    <row r="1184" spans="1:16" x14ac:dyDescent="0.25">
      <c r="A1184" s="65" t="str">
        <f t="shared" si="18"/>
        <v/>
      </c>
      <c r="G1184" s="11"/>
      <c r="H1184" s="67"/>
      <c r="I1184" s="11"/>
      <c r="J1184" s="11"/>
      <c r="K1184" s="11"/>
      <c r="L1184" s="11"/>
      <c r="M1184" s="11"/>
      <c r="N1184" s="11"/>
      <c r="O1184" s="67"/>
      <c r="P1184" s="11"/>
    </row>
    <row r="1185" spans="1:16" x14ac:dyDescent="0.25">
      <c r="A1185" s="65" t="str">
        <f t="shared" si="18"/>
        <v/>
      </c>
      <c r="G1185" s="11"/>
      <c r="H1185" s="67"/>
      <c r="I1185" s="11"/>
      <c r="J1185" s="11"/>
      <c r="K1185" s="11"/>
      <c r="L1185" s="11"/>
      <c r="M1185" s="11"/>
      <c r="N1185" s="11"/>
      <c r="O1185" s="67"/>
      <c r="P1185" s="11"/>
    </row>
    <row r="1186" spans="1:16" x14ac:dyDescent="0.25">
      <c r="A1186" s="65" t="str">
        <f t="shared" si="18"/>
        <v/>
      </c>
      <c r="G1186" s="11"/>
      <c r="H1186" s="67"/>
      <c r="I1186" s="11"/>
      <c r="J1186" s="11"/>
      <c r="K1186" s="11"/>
      <c r="L1186" s="11"/>
      <c r="M1186" s="11"/>
      <c r="N1186" s="11"/>
      <c r="O1186" s="67"/>
      <c r="P1186" s="11"/>
    </row>
    <row r="1187" spans="1:16" x14ac:dyDescent="0.25">
      <c r="A1187" s="65" t="str">
        <f t="shared" si="18"/>
        <v/>
      </c>
      <c r="G1187" s="11"/>
      <c r="H1187" s="67"/>
      <c r="I1187" s="11"/>
      <c r="J1187" s="11"/>
      <c r="K1187" s="11"/>
      <c r="L1187" s="11"/>
      <c r="M1187" s="11"/>
      <c r="N1187" s="11"/>
      <c r="O1187" s="67"/>
      <c r="P1187" s="11"/>
    </row>
    <row r="1188" spans="1:16" x14ac:dyDescent="0.25">
      <c r="A1188" s="65" t="str">
        <f t="shared" si="18"/>
        <v/>
      </c>
      <c r="G1188" s="11"/>
      <c r="H1188" s="67"/>
      <c r="I1188" s="11"/>
      <c r="J1188" s="11"/>
      <c r="K1188" s="11"/>
      <c r="L1188" s="11"/>
      <c r="M1188" s="11"/>
      <c r="N1188" s="11"/>
      <c r="O1188" s="67"/>
      <c r="P1188" s="11"/>
    </row>
    <row r="1189" spans="1:16" x14ac:dyDescent="0.25">
      <c r="A1189" s="65" t="str">
        <f t="shared" si="18"/>
        <v/>
      </c>
      <c r="G1189" s="11"/>
      <c r="H1189" s="67"/>
      <c r="I1189" s="11"/>
      <c r="J1189" s="11"/>
      <c r="K1189" s="11"/>
      <c r="L1189" s="11"/>
      <c r="M1189" s="11"/>
      <c r="N1189" s="11"/>
      <c r="O1189" s="67"/>
      <c r="P1189" s="11"/>
    </row>
    <row r="1190" spans="1:16" x14ac:dyDescent="0.25">
      <c r="A1190" s="65" t="str">
        <f t="shared" si="18"/>
        <v/>
      </c>
      <c r="G1190" s="11"/>
      <c r="H1190" s="67"/>
      <c r="I1190" s="11"/>
      <c r="J1190" s="11"/>
      <c r="K1190" s="11"/>
      <c r="L1190" s="11"/>
      <c r="M1190" s="11"/>
      <c r="N1190" s="11"/>
      <c r="O1190" s="67"/>
      <c r="P1190" s="11"/>
    </row>
    <row r="1191" spans="1:16" x14ac:dyDescent="0.25">
      <c r="A1191" s="65" t="str">
        <f t="shared" si="18"/>
        <v/>
      </c>
      <c r="G1191" s="11"/>
      <c r="H1191" s="67"/>
      <c r="I1191" s="11"/>
      <c r="J1191" s="11"/>
      <c r="K1191" s="11"/>
      <c r="L1191" s="11"/>
      <c r="M1191" s="11"/>
      <c r="N1191" s="11"/>
      <c r="O1191" s="67"/>
      <c r="P1191" s="11"/>
    </row>
    <row r="1192" spans="1:16" x14ac:dyDescent="0.25">
      <c r="A1192" s="65" t="str">
        <f t="shared" si="18"/>
        <v/>
      </c>
      <c r="G1192" s="11"/>
      <c r="H1192" s="67"/>
      <c r="I1192" s="11"/>
      <c r="J1192" s="11"/>
      <c r="K1192" s="11"/>
      <c r="L1192" s="11"/>
      <c r="M1192" s="11"/>
      <c r="N1192" s="11"/>
      <c r="O1192" s="67"/>
      <c r="P1192" s="11"/>
    </row>
    <row r="1193" spans="1:16" x14ac:dyDescent="0.25">
      <c r="A1193" s="65" t="str">
        <f t="shared" si="18"/>
        <v/>
      </c>
      <c r="G1193" s="11"/>
      <c r="H1193" s="67"/>
      <c r="I1193" s="11"/>
      <c r="J1193" s="11"/>
      <c r="K1193" s="11"/>
      <c r="L1193" s="11"/>
      <c r="M1193" s="11"/>
      <c r="N1193" s="11"/>
      <c r="O1193" s="67"/>
      <c r="P1193" s="11"/>
    </row>
    <row r="1194" spans="1:16" x14ac:dyDescent="0.25">
      <c r="A1194" s="65" t="str">
        <f t="shared" si="18"/>
        <v/>
      </c>
      <c r="G1194" s="11"/>
      <c r="H1194" s="67"/>
      <c r="I1194" s="11"/>
      <c r="J1194" s="11"/>
      <c r="K1194" s="11"/>
      <c r="L1194" s="11"/>
      <c r="M1194" s="11"/>
      <c r="N1194" s="11"/>
      <c r="O1194" s="67"/>
      <c r="P1194" s="11"/>
    </row>
    <row r="1195" spans="1:16" x14ac:dyDescent="0.25">
      <c r="A1195" s="65" t="str">
        <f t="shared" si="18"/>
        <v/>
      </c>
      <c r="G1195" s="11"/>
      <c r="H1195" s="67"/>
      <c r="I1195" s="11"/>
      <c r="J1195" s="11"/>
      <c r="K1195" s="11"/>
      <c r="L1195" s="11"/>
      <c r="M1195" s="11"/>
      <c r="N1195" s="11"/>
      <c r="O1195" s="67"/>
      <c r="P1195" s="11"/>
    </row>
    <row r="1196" spans="1:16" x14ac:dyDescent="0.25">
      <c r="A1196" s="65" t="str">
        <f t="shared" si="18"/>
        <v/>
      </c>
      <c r="G1196" s="11"/>
      <c r="H1196" s="67"/>
      <c r="I1196" s="11"/>
      <c r="J1196" s="11"/>
      <c r="K1196" s="11"/>
      <c r="L1196" s="11"/>
      <c r="M1196" s="11"/>
      <c r="N1196" s="11"/>
      <c r="O1196" s="67"/>
      <c r="P1196" s="11"/>
    </row>
    <row r="1197" spans="1:16" x14ac:dyDescent="0.25">
      <c r="A1197" s="65" t="str">
        <f t="shared" si="18"/>
        <v/>
      </c>
      <c r="G1197" s="11"/>
      <c r="H1197" s="67"/>
      <c r="I1197" s="11"/>
      <c r="J1197" s="11"/>
      <c r="K1197" s="11"/>
      <c r="L1197" s="11"/>
      <c r="M1197" s="11"/>
      <c r="N1197" s="11"/>
      <c r="O1197" s="67"/>
      <c r="P1197" s="11"/>
    </row>
    <row r="1198" spans="1:16" x14ac:dyDescent="0.25">
      <c r="A1198" s="65" t="str">
        <f t="shared" si="18"/>
        <v/>
      </c>
      <c r="G1198" s="11"/>
      <c r="H1198" s="67"/>
      <c r="I1198" s="11"/>
      <c r="J1198" s="11"/>
      <c r="K1198" s="11"/>
      <c r="L1198" s="11"/>
      <c r="M1198" s="11"/>
      <c r="N1198" s="11"/>
      <c r="O1198" s="67"/>
      <c r="P1198" s="11"/>
    </row>
    <row r="1199" spans="1:16" x14ac:dyDescent="0.25">
      <c r="A1199" s="65" t="str">
        <f t="shared" si="18"/>
        <v/>
      </c>
      <c r="G1199" s="11"/>
      <c r="H1199" s="67"/>
      <c r="I1199" s="11"/>
      <c r="J1199" s="11"/>
      <c r="K1199" s="11"/>
      <c r="L1199" s="11"/>
      <c r="M1199" s="11"/>
      <c r="N1199" s="11"/>
      <c r="O1199" s="67"/>
      <c r="P1199" s="11"/>
    </row>
    <row r="1200" spans="1:16" x14ac:dyDescent="0.25">
      <c r="A1200" s="65" t="str">
        <f t="shared" si="18"/>
        <v/>
      </c>
      <c r="G1200" s="11"/>
      <c r="H1200" s="67"/>
      <c r="I1200" s="11"/>
      <c r="J1200" s="11"/>
      <c r="K1200" s="11"/>
      <c r="L1200" s="11"/>
      <c r="M1200" s="11"/>
      <c r="N1200" s="11"/>
      <c r="O1200" s="67"/>
      <c r="P1200" s="11"/>
    </row>
    <row r="1201" spans="1:16" x14ac:dyDescent="0.25">
      <c r="A1201" s="65" t="str">
        <f t="shared" si="18"/>
        <v/>
      </c>
      <c r="G1201" s="11"/>
      <c r="H1201" s="67"/>
      <c r="I1201" s="11"/>
      <c r="J1201" s="11"/>
      <c r="K1201" s="11"/>
      <c r="L1201" s="11"/>
      <c r="M1201" s="11"/>
      <c r="N1201" s="11"/>
      <c r="O1201" s="67"/>
      <c r="P1201" s="11"/>
    </row>
    <row r="1202" spans="1:16" x14ac:dyDescent="0.25">
      <c r="A1202" s="65" t="str">
        <f t="shared" si="18"/>
        <v/>
      </c>
      <c r="G1202" s="11"/>
      <c r="H1202" s="67"/>
      <c r="I1202" s="11"/>
      <c r="J1202" s="11"/>
      <c r="K1202" s="11"/>
      <c r="L1202" s="11"/>
      <c r="M1202" s="11"/>
      <c r="N1202" s="11"/>
      <c r="O1202" s="67"/>
      <c r="P1202" s="11"/>
    </row>
    <row r="1203" spans="1:16" x14ac:dyDescent="0.25">
      <c r="A1203" s="65" t="str">
        <f t="shared" si="18"/>
        <v/>
      </c>
      <c r="G1203" s="11"/>
      <c r="H1203" s="67"/>
      <c r="I1203" s="11"/>
      <c r="J1203" s="11"/>
      <c r="K1203" s="11"/>
      <c r="L1203" s="11"/>
      <c r="M1203" s="11"/>
      <c r="N1203" s="11"/>
      <c r="O1203" s="67"/>
      <c r="P1203" s="11"/>
    </row>
    <row r="1204" spans="1:16" x14ac:dyDescent="0.25">
      <c r="A1204" s="65" t="str">
        <f t="shared" si="18"/>
        <v/>
      </c>
      <c r="G1204" s="11"/>
      <c r="H1204" s="67"/>
      <c r="I1204" s="11"/>
      <c r="J1204" s="11"/>
      <c r="K1204" s="11"/>
      <c r="L1204" s="11"/>
      <c r="M1204" s="11"/>
      <c r="N1204" s="11"/>
      <c r="O1204" s="67"/>
      <c r="P1204" s="11"/>
    </row>
    <row r="1205" spans="1:16" x14ac:dyDescent="0.25">
      <c r="A1205" s="65" t="str">
        <f t="shared" si="18"/>
        <v/>
      </c>
      <c r="G1205" s="11"/>
      <c r="H1205" s="67"/>
      <c r="I1205" s="11"/>
      <c r="J1205" s="11"/>
      <c r="K1205" s="11"/>
      <c r="L1205" s="11"/>
      <c r="M1205" s="11"/>
      <c r="N1205" s="11"/>
      <c r="O1205" s="67"/>
      <c r="P1205" s="11"/>
    </row>
    <row r="1206" spans="1:16" x14ac:dyDescent="0.25">
      <c r="A1206" s="65" t="str">
        <f t="shared" si="18"/>
        <v/>
      </c>
      <c r="G1206" s="11"/>
      <c r="H1206" s="67"/>
      <c r="I1206" s="11"/>
      <c r="J1206" s="11"/>
      <c r="K1206" s="11"/>
      <c r="L1206" s="11"/>
      <c r="M1206" s="11"/>
      <c r="N1206" s="11"/>
      <c r="O1206" s="67"/>
      <c r="P1206" s="11"/>
    </row>
    <row r="1207" spans="1:16" x14ac:dyDescent="0.25">
      <c r="A1207" s="65" t="str">
        <f t="shared" si="18"/>
        <v/>
      </c>
      <c r="G1207" s="11"/>
      <c r="H1207" s="67"/>
      <c r="I1207" s="11"/>
      <c r="J1207" s="11"/>
      <c r="K1207" s="11"/>
      <c r="L1207" s="11"/>
      <c r="M1207" s="11"/>
      <c r="N1207" s="11"/>
      <c r="O1207" s="67"/>
      <c r="P1207" s="11"/>
    </row>
    <row r="1208" spans="1:16" x14ac:dyDescent="0.25">
      <c r="A1208" s="65" t="str">
        <f t="shared" si="18"/>
        <v/>
      </c>
      <c r="G1208" s="11"/>
      <c r="H1208" s="67"/>
      <c r="I1208" s="11"/>
      <c r="J1208" s="11"/>
      <c r="K1208" s="11"/>
      <c r="L1208" s="11"/>
      <c r="M1208" s="11"/>
      <c r="N1208" s="11"/>
      <c r="O1208" s="67"/>
      <c r="P1208" s="11"/>
    </row>
    <row r="1209" spans="1:16" x14ac:dyDescent="0.25">
      <c r="A1209" s="65" t="str">
        <f t="shared" si="18"/>
        <v/>
      </c>
      <c r="G1209" s="11"/>
      <c r="H1209" s="67"/>
      <c r="I1209" s="11"/>
      <c r="J1209" s="11"/>
      <c r="K1209" s="11"/>
      <c r="L1209" s="11"/>
      <c r="M1209" s="11"/>
      <c r="N1209" s="11"/>
      <c r="O1209" s="67"/>
      <c r="P1209" s="11"/>
    </row>
    <row r="1210" spans="1:16" x14ac:dyDescent="0.25">
      <c r="A1210" s="65" t="str">
        <f t="shared" si="18"/>
        <v/>
      </c>
      <c r="G1210" s="11"/>
      <c r="H1210" s="67"/>
      <c r="I1210" s="11"/>
      <c r="J1210" s="11"/>
      <c r="K1210" s="11"/>
      <c r="L1210" s="11"/>
      <c r="M1210" s="11"/>
      <c r="N1210" s="11"/>
      <c r="O1210" s="67"/>
      <c r="P1210" s="11"/>
    </row>
    <row r="1211" spans="1:16" x14ac:dyDescent="0.25">
      <c r="A1211" s="65" t="str">
        <f t="shared" si="18"/>
        <v/>
      </c>
      <c r="G1211" s="11"/>
      <c r="H1211" s="67"/>
      <c r="I1211" s="11"/>
      <c r="J1211" s="11"/>
      <c r="K1211" s="11"/>
      <c r="L1211" s="11"/>
      <c r="M1211" s="11"/>
      <c r="N1211" s="11"/>
      <c r="O1211" s="67"/>
      <c r="P1211" s="11"/>
    </row>
    <row r="1212" spans="1:16" x14ac:dyDescent="0.25">
      <c r="A1212" s="65" t="str">
        <f t="shared" si="18"/>
        <v/>
      </c>
      <c r="G1212" s="11"/>
      <c r="H1212" s="67"/>
      <c r="I1212" s="11"/>
      <c r="J1212" s="11"/>
      <c r="K1212" s="11"/>
      <c r="L1212" s="11"/>
      <c r="M1212" s="11"/>
      <c r="N1212" s="11"/>
      <c r="O1212" s="67"/>
      <c r="P1212" s="11"/>
    </row>
    <row r="1213" spans="1:16" x14ac:dyDescent="0.25">
      <c r="A1213" s="65" t="str">
        <f t="shared" si="18"/>
        <v/>
      </c>
      <c r="G1213" s="11"/>
      <c r="H1213" s="67"/>
      <c r="I1213" s="11"/>
      <c r="J1213" s="11"/>
      <c r="K1213" s="11"/>
      <c r="L1213" s="11"/>
      <c r="M1213" s="11"/>
      <c r="N1213" s="11"/>
      <c r="O1213" s="67"/>
      <c r="P1213" s="11"/>
    </row>
    <row r="1214" spans="1:16" x14ac:dyDescent="0.25">
      <c r="A1214" s="65" t="str">
        <f t="shared" si="18"/>
        <v/>
      </c>
      <c r="G1214" s="11"/>
      <c r="H1214" s="67"/>
      <c r="I1214" s="11"/>
      <c r="J1214" s="11"/>
      <c r="K1214" s="11"/>
      <c r="L1214" s="11"/>
      <c r="M1214" s="11"/>
      <c r="N1214" s="11"/>
      <c r="O1214" s="67"/>
      <c r="P1214" s="11"/>
    </row>
    <row r="1215" spans="1:16" x14ac:dyDescent="0.25">
      <c r="A1215" s="65" t="str">
        <f t="shared" si="18"/>
        <v/>
      </c>
      <c r="G1215" s="11"/>
      <c r="H1215" s="67"/>
      <c r="I1215" s="11"/>
      <c r="J1215" s="11"/>
      <c r="K1215" s="11"/>
      <c r="L1215" s="11"/>
      <c r="M1215" s="11"/>
      <c r="N1215" s="11"/>
      <c r="O1215" s="67"/>
      <c r="P1215" s="11"/>
    </row>
    <row r="1216" spans="1:16" x14ac:dyDescent="0.25">
      <c r="A1216" s="65" t="str">
        <f t="shared" si="18"/>
        <v/>
      </c>
      <c r="G1216" s="11"/>
      <c r="H1216" s="67"/>
      <c r="I1216" s="11"/>
      <c r="J1216" s="11"/>
      <c r="K1216" s="11"/>
      <c r="L1216" s="11"/>
      <c r="M1216" s="11"/>
      <c r="N1216" s="11"/>
      <c r="O1216" s="67"/>
      <c r="P1216" s="11"/>
    </row>
    <row r="1217" spans="1:16" x14ac:dyDescent="0.25">
      <c r="A1217" s="65" t="str">
        <f t="shared" si="18"/>
        <v/>
      </c>
      <c r="G1217" s="11"/>
      <c r="H1217" s="67"/>
      <c r="I1217" s="11"/>
      <c r="J1217" s="11"/>
      <c r="K1217" s="11"/>
      <c r="L1217" s="11"/>
      <c r="M1217" s="11"/>
      <c r="N1217" s="11"/>
      <c r="O1217" s="67"/>
      <c r="P1217" s="11"/>
    </row>
    <row r="1218" spans="1:16" x14ac:dyDescent="0.25">
      <c r="A1218" s="65" t="str">
        <f t="shared" si="18"/>
        <v/>
      </c>
      <c r="G1218" s="11"/>
      <c r="H1218" s="67"/>
      <c r="I1218" s="11"/>
      <c r="J1218" s="11"/>
      <c r="K1218" s="11"/>
      <c r="L1218" s="11"/>
      <c r="M1218" s="11"/>
      <c r="N1218" s="11"/>
      <c r="O1218" s="67"/>
      <c r="P1218" s="11"/>
    </row>
    <row r="1219" spans="1:16" x14ac:dyDescent="0.25">
      <c r="A1219" s="65" t="str">
        <f t="shared" si="18"/>
        <v/>
      </c>
      <c r="G1219" s="11"/>
      <c r="H1219" s="67"/>
      <c r="I1219" s="11"/>
      <c r="J1219" s="11"/>
      <c r="K1219" s="11"/>
      <c r="L1219" s="11"/>
      <c r="M1219" s="11"/>
      <c r="N1219" s="11"/>
      <c r="O1219" s="67"/>
      <c r="P1219" s="11"/>
    </row>
    <row r="1220" spans="1:16" x14ac:dyDescent="0.25">
      <c r="A1220" s="65" t="str">
        <f t="shared" si="18"/>
        <v/>
      </c>
      <c r="G1220" s="11"/>
      <c r="H1220" s="67"/>
      <c r="I1220" s="11"/>
      <c r="J1220" s="11"/>
      <c r="K1220" s="11"/>
      <c r="L1220" s="11"/>
      <c r="M1220" s="11"/>
      <c r="N1220" s="11"/>
      <c r="O1220" s="67"/>
      <c r="P1220" s="11"/>
    </row>
    <row r="1221" spans="1:16" x14ac:dyDescent="0.25">
      <c r="A1221" s="65" t="str">
        <f t="shared" si="18"/>
        <v/>
      </c>
      <c r="G1221" s="11"/>
      <c r="H1221" s="67"/>
      <c r="I1221" s="11"/>
      <c r="J1221" s="11"/>
      <c r="K1221" s="11"/>
      <c r="L1221" s="11"/>
      <c r="M1221" s="11"/>
      <c r="N1221" s="11"/>
      <c r="O1221" s="67"/>
      <c r="P1221" s="11"/>
    </row>
    <row r="1222" spans="1:16" x14ac:dyDescent="0.25">
      <c r="A1222" s="65" t="str">
        <f t="shared" si="18"/>
        <v/>
      </c>
      <c r="G1222" s="11"/>
      <c r="H1222" s="67"/>
      <c r="I1222" s="11"/>
      <c r="J1222" s="11"/>
      <c r="K1222" s="11"/>
      <c r="L1222" s="11"/>
      <c r="M1222" s="11"/>
      <c r="N1222" s="11"/>
      <c r="O1222" s="67"/>
      <c r="P1222" s="11"/>
    </row>
    <row r="1223" spans="1:16" x14ac:dyDescent="0.25">
      <c r="A1223" s="65" t="str">
        <f t="shared" si="18"/>
        <v/>
      </c>
      <c r="G1223" s="11"/>
      <c r="H1223" s="67"/>
      <c r="I1223" s="11"/>
      <c r="J1223" s="11"/>
      <c r="K1223" s="11"/>
      <c r="L1223" s="11"/>
      <c r="M1223" s="11"/>
      <c r="N1223" s="11"/>
      <c r="O1223" s="67"/>
      <c r="P1223" s="11"/>
    </row>
    <row r="1224" spans="1:16" x14ac:dyDescent="0.25">
      <c r="A1224" s="65" t="str">
        <f t="shared" si="18"/>
        <v/>
      </c>
      <c r="G1224" s="11"/>
      <c r="H1224" s="67"/>
      <c r="I1224" s="11"/>
      <c r="J1224" s="11"/>
      <c r="K1224" s="11"/>
      <c r="L1224" s="11"/>
      <c r="M1224" s="11"/>
      <c r="N1224" s="11"/>
      <c r="O1224" s="67"/>
      <c r="P1224" s="11"/>
    </row>
    <row r="1225" spans="1:16" x14ac:dyDescent="0.25">
      <c r="A1225" s="65" t="str">
        <f t="shared" si="18"/>
        <v/>
      </c>
      <c r="G1225" s="11"/>
      <c r="H1225" s="67"/>
      <c r="I1225" s="11"/>
      <c r="J1225" s="11"/>
      <c r="K1225" s="11"/>
      <c r="L1225" s="11"/>
      <c r="M1225" s="11"/>
      <c r="N1225" s="11"/>
      <c r="O1225" s="67"/>
      <c r="P1225" s="11"/>
    </row>
    <row r="1226" spans="1:16" x14ac:dyDescent="0.25">
      <c r="A1226" s="65" t="str">
        <f t="shared" si="18"/>
        <v/>
      </c>
      <c r="G1226" s="11"/>
      <c r="H1226" s="67"/>
      <c r="I1226" s="11"/>
      <c r="J1226" s="11"/>
      <c r="K1226" s="11"/>
      <c r="L1226" s="11"/>
      <c r="M1226" s="11"/>
      <c r="N1226" s="11"/>
      <c r="O1226" s="67"/>
      <c r="P1226" s="11"/>
    </row>
    <row r="1227" spans="1:16" x14ac:dyDescent="0.25">
      <c r="A1227" s="65" t="str">
        <f t="shared" si="18"/>
        <v/>
      </c>
      <c r="G1227" s="11"/>
      <c r="H1227" s="67"/>
      <c r="I1227" s="11"/>
      <c r="J1227" s="11"/>
      <c r="K1227" s="11"/>
      <c r="L1227" s="11"/>
      <c r="M1227" s="11"/>
      <c r="N1227" s="11"/>
      <c r="O1227" s="67"/>
      <c r="P1227" s="11"/>
    </row>
    <row r="1228" spans="1:16" x14ac:dyDescent="0.25">
      <c r="A1228" s="65" t="str">
        <f t="shared" si="18"/>
        <v/>
      </c>
      <c r="G1228" s="11"/>
      <c r="H1228" s="67"/>
      <c r="I1228" s="11"/>
      <c r="J1228" s="11"/>
      <c r="K1228" s="11"/>
      <c r="L1228" s="11"/>
      <c r="M1228" s="11"/>
      <c r="N1228" s="11"/>
      <c r="O1228" s="67"/>
      <c r="P1228" s="11"/>
    </row>
    <row r="1229" spans="1:16" x14ac:dyDescent="0.25">
      <c r="A1229" s="65" t="str">
        <f t="shared" si="18"/>
        <v/>
      </c>
      <c r="G1229" s="11"/>
      <c r="H1229" s="67"/>
      <c r="I1229" s="11"/>
      <c r="J1229" s="11"/>
      <c r="K1229" s="11"/>
      <c r="L1229" s="11"/>
      <c r="M1229" s="11"/>
      <c r="N1229" s="11"/>
      <c r="O1229" s="67"/>
      <c r="P1229" s="11"/>
    </row>
    <row r="1230" spans="1:16" x14ac:dyDescent="0.25">
      <c r="A1230" s="65" t="str">
        <f t="shared" si="18"/>
        <v/>
      </c>
      <c r="G1230" s="11"/>
      <c r="H1230" s="67"/>
      <c r="I1230" s="11"/>
      <c r="J1230" s="11"/>
      <c r="K1230" s="11"/>
      <c r="L1230" s="11"/>
      <c r="M1230" s="11"/>
      <c r="N1230" s="11"/>
      <c r="O1230" s="67"/>
      <c r="P1230" s="11"/>
    </row>
    <row r="1231" spans="1:16" x14ac:dyDescent="0.25">
      <c r="A1231" s="65" t="str">
        <f t="shared" si="18"/>
        <v/>
      </c>
      <c r="G1231" s="11"/>
      <c r="H1231" s="67"/>
      <c r="I1231" s="11"/>
      <c r="J1231" s="11"/>
      <c r="K1231" s="11"/>
      <c r="L1231" s="11"/>
      <c r="M1231" s="11"/>
      <c r="N1231" s="11"/>
      <c r="O1231" s="67"/>
      <c r="P1231" s="11"/>
    </row>
  </sheetData>
  <mergeCells count="4">
    <mergeCell ref="J14:N14"/>
    <mergeCell ref="Q14:S14"/>
    <mergeCell ref="C14:E14"/>
    <mergeCell ref="B10:E10"/>
  </mergeCells>
  <printOptions horizontalCentered="1"/>
  <pageMargins left="0.70866141732283472" right="0.70866141732283472" top="0.94488188976377963" bottom="0.74803149606299213" header="0.31496062992125984" footer="0.31496062992125984"/>
  <pageSetup paperSize="9" orientation="portrait" r:id="rId1"/>
  <headerFooter>
    <oddHeader>&amp;L&amp;G</oddHeader>
    <oddFooter>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FindCourse">
                <anchor>
                  <from>
                    <xdr:col>4</xdr:col>
                    <xdr:colOff>695325</xdr:colOff>
                    <xdr:row>3</xdr:row>
                    <xdr:rowOff>38100</xdr:rowOff>
                  </from>
                  <to>
                    <xdr:col>5</xdr:col>
                    <xdr:colOff>19050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ShowTrainingForm">
                <anchor>
                  <from>
                    <xdr:col>5</xdr:col>
                    <xdr:colOff>161925</xdr:colOff>
                    <xdr:row>3</xdr:row>
                    <xdr:rowOff>38100</xdr:rowOff>
                  </from>
                  <to>
                    <xdr:col>5</xdr:col>
                    <xdr:colOff>1066800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1548"/>
  <sheetViews>
    <sheetView topLeftCell="A1502" zoomScaleNormal="100" workbookViewId="0">
      <selection activeCell="E1540" sqref="E1540"/>
    </sheetView>
  </sheetViews>
  <sheetFormatPr defaultRowHeight="12" x14ac:dyDescent="0.25"/>
  <cols>
    <col min="1" max="1" width="10.7109375" style="15" bestFit="1" customWidth="1"/>
    <col min="2" max="2" width="10.42578125" style="15" bestFit="1" customWidth="1"/>
    <col min="3" max="3" width="15.85546875" style="15" bestFit="1" customWidth="1"/>
    <col min="4" max="4" width="11.7109375" style="15" bestFit="1" customWidth="1"/>
    <col min="5" max="5" width="63.5703125" style="16" bestFit="1" customWidth="1"/>
    <col min="6" max="6" width="16.5703125" style="15" bestFit="1" customWidth="1"/>
    <col min="7" max="7" width="13.85546875" style="15" bestFit="1" customWidth="1"/>
    <col min="8" max="8" width="12.140625" style="15" bestFit="1" customWidth="1"/>
    <col min="9" max="9" width="8.28515625" style="15" bestFit="1" customWidth="1"/>
    <col min="10" max="16384" width="9.140625" style="15"/>
  </cols>
  <sheetData>
    <row r="1" spans="1:9" x14ac:dyDescent="0.25">
      <c r="A1" s="15" t="s">
        <v>35</v>
      </c>
      <c r="B1" s="15" t="s">
        <v>6</v>
      </c>
      <c r="C1" s="15" t="s">
        <v>7</v>
      </c>
      <c r="D1" s="15" t="s">
        <v>13</v>
      </c>
      <c r="E1" s="16" t="s">
        <v>14</v>
      </c>
      <c r="F1" s="15" t="s">
        <v>36</v>
      </c>
      <c r="G1" s="15" t="s">
        <v>37</v>
      </c>
      <c r="H1" s="15" t="s">
        <v>38</v>
      </c>
      <c r="I1" s="15" t="s">
        <v>39</v>
      </c>
    </row>
    <row r="2" spans="1:9" x14ac:dyDescent="0.25">
      <c r="A2" s="15">
        <v>1</v>
      </c>
      <c r="B2" s="15" t="s">
        <v>120</v>
      </c>
      <c r="C2" s="15" t="str" cm="1">
        <f t="array" ref="C2">IFERROR(_xlfn.XLOOKUP(B2, tblPeople[PersonID], tblPeople[PersonName], ""), "")</f>
        <v>Churchill Bil</v>
      </c>
      <c r="D2" s="15" t="s">
        <v>20</v>
      </c>
      <c r="E2" s="16" t="str">
        <f>IFERROR(_xlfn.XLOOKUP(D2, tblCourses[CourseID], tblCourses[CourseName], ""), "")</f>
        <v>Safety Management Systems (Initial)</v>
      </c>
      <c r="F2" s="18">
        <v>45742</v>
      </c>
      <c r="G2" s="17" t="str" cm="1">
        <f t="array" ref="G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" s="15" t="str">
        <f ca="1">IF(OR(tblTraining[[#This Row],[Status]]="Renewed",tblTraining[[#This Row],[NextDueDate]]=""),"",tblTraining[[#This Row],[NextDueDate]]-TODAY())</f>
        <v/>
      </c>
      <c r="I2" s="15" t="str" cm="1">
        <f t="array" aca="1" ref="I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" spans="1:9" x14ac:dyDescent="0.25">
      <c r="A3" s="15">
        <f>A2+1</f>
        <v>2</v>
      </c>
      <c r="B3" s="15" t="s">
        <v>104</v>
      </c>
      <c r="C3" s="15" t="str" cm="1">
        <f t="array" ref="C3">IFERROR(_xlfn.XLOOKUP(B3, tblPeople[PersonID], tblPeople[PersonName], ""), "")</f>
        <v>Douglas Hurgins</v>
      </c>
      <c r="D3" s="15" t="s">
        <v>126</v>
      </c>
      <c r="E3" s="16" t="str">
        <f>IFERROR(_xlfn.XLOOKUP(D3, tblCourses[CourseID], tblCourses[CourseName], ""), "")</f>
        <v>Maintenance Indoctrination</v>
      </c>
      <c r="F3" s="17">
        <v>43621</v>
      </c>
      <c r="G3" s="17" t="str" cm="1">
        <f t="array" ref="G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" s="15" t="str">
        <f ca="1">IF(OR(tblTraining[[#This Row],[Status]]="Renewed",tblTraining[[#This Row],[NextDueDate]]=""),"",tblTraining[[#This Row],[NextDueDate]]-TODAY())</f>
        <v/>
      </c>
      <c r="I3" s="15" t="str" cm="1">
        <f t="array" aca="1" ref="I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" spans="1:9" x14ac:dyDescent="0.25">
      <c r="A4" s="15">
        <f t="shared" ref="A4:A67" si="0">A3+1</f>
        <v>3</v>
      </c>
      <c r="B4" s="15" t="s">
        <v>89</v>
      </c>
      <c r="C4" s="15" t="str" cm="1">
        <f t="array" ref="C4">IFERROR(_xlfn.XLOOKUP(B4, tblPeople[PersonID], tblPeople[PersonName], ""), "")</f>
        <v>Elina Guda</v>
      </c>
      <c r="D4" s="15" t="s">
        <v>126</v>
      </c>
      <c r="E4" s="16" t="str">
        <f>IFERROR(_xlfn.XLOOKUP(D4, tblCourses[CourseID], tblCourses[CourseName], ""), "")</f>
        <v>Maintenance Indoctrination</v>
      </c>
      <c r="F4" s="17">
        <v>44682</v>
      </c>
      <c r="G4" s="17" t="str" cm="1">
        <f t="array" ref="G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" s="15" t="str">
        <f ca="1">IF(OR(tblTraining[[#This Row],[Status]]="Renewed",tblTraining[[#This Row],[NextDueDate]]=""),"",tblTraining[[#This Row],[NextDueDate]]-TODAY())</f>
        <v/>
      </c>
      <c r="I4" s="15" t="str" cm="1">
        <f t="array" aca="1" ref="I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" spans="1:9" x14ac:dyDescent="0.25">
      <c r="A5" s="15">
        <f t="shared" si="0"/>
        <v>4</v>
      </c>
      <c r="B5" s="15" t="s">
        <v>161</v>
      </c>
      <c r="C5" s="15" t="str" cm="1">
        <f t="array" ref="C5">IFERROR(_xlfn.XLOOKUP(B5, tblPeople[PersonID], tblPeople[PersonName], ""), "")</f>
        <v>Francis Omondi</v>
      </c>
      <c r="D5" s="15" t="s">
        <v>17</v>
      </c>
      <c r="E5" s="16" t="str">
        <f>IFERROR(_xlfn.XLOOKUP(D5, tblCourses[CourseID], tblCourses[CourseName], ""), "")</f>
        <v>Safety Management Systems (Refresher)</v>
      </c>
      <c r="F5" s="17">
        <v>45427</v>
      </c>
      <c r="G5" s="17" t="str" cm="1">
        <f t="array" ref="G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" s="15" t="str">
        <f ca="1">IF(OR(tblTraining[[#This Row],[Status]]="Renewed",tblTraining[[#This Row],[NextDueDate]]=""),"",tblTraining[[#This Row],[NextDueDate]]-TODAY())</f>
        <v/>
      </c>
      <c r="I5" s="15" t="str" cm="1">
        <f t="array" aca="1" ref="I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" spans="1:9" x14ac:dyDescent="0.25">
      <c r="A6" s="15">
        <f t="shared" si="0"/>
        <v>5</v>
      </c>
      <c r="B6" s="15" t="s">
        <v>81</v>
      </c>
      <c r="C6" s="15" t="str" cm="1">
        <f t="array" ref="C6">IFERROR(_xlfn.XLOOKUP(B6, tblPeople[PersonID], tblPeople[PersonName], ""), "")</f>
        <v>Gideon Mwasio</v>
      </c>
      <c r="D6" s="15" t="s">
        <v>124</v>
      </c>
      <c r="E6" s="16" t="str">
        <f>IFERROR(_xlfn.XLOOKUP(D6, tblCourses[CourseID], tblCourses[CourseName], ""), "")</f>
        <v>Aviation Security (Initial)</v>
      </c>
      <c r="F6" s="17">
        <v>45716</v>
      </c>
      <c r="G6" s="17" t="str" cm="1">
        <f t="array" ref="G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" s="15" t="str">
        <f ca="1">IF(OR(tblTraining[[#This Row],[Status]]="Renewed",tblTraining[[#This Row],[NextDueDate]]=""),"",tblTraining[[#This Row],[NextDueDate]]-TODAY())</f>
        <v/>
      </c>
      <c r="I6" s="15" t="str" cm="1">
        <f t="array" aca="1" ref="I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" spans="1:9" x14ac:dyDescent="0.25">
      <c r="A7" s="15">
        <f t="shared" si="0"/>
        <v>6</v>
      </c>
      <c r="B7" s="15" t="s">
        <v>154</v>
      </c>
      <c r="C7" s="15" t="str" cm="1">
        <f t="array" ref="C7">IFERROR(_xlfn.XLOOKUP(B7, tblPeople[PersonID], tblPeople[PersonName], ""), "")</f>
        <v>Judith Wandera</v>
      </c>
      <c r="D7" s="15" t="s">
        <v>126</v>
      </c>
      <c r="E7" s="16" t="str">
        <f>IFERROR(_xlfn.XLOOKUP(D7, tblCourses[CourseID], tblCourses[CourseName], ""), "")</f>
        <v>Maintenance Indoctrination</v>
      </c>
      <c r="F7" s="17">
        <v>45146</v>
      </c>
      <c r="G7" s="17" t="str" cm="1">
        <f t="array" ref="G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" s="15" t="str">
        <f ca="1">IF(OR(tblTraining[[#This Row],[Status]]="Renewed",tblTraining[[#This Row],[NextDueDate]]=""),"",tblTraining[[#This Row],[NextDueDate]]-TODAY())</f>
        <v/>
      </c>
      <c r="I7" s="15" t="str" cm="1">
        <f t="array" aca="1" ref="I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" spans="1:9" x14ac:dyDescent="0.25">
      <c r="A8" s="15">
        <f t="shared" si="0"/>
        <v>7</v>
      </c>
      <c r="B8" s="15" t="s">
        <v>88</v>
      </c>
      <c r="C8" s="15" t="str" cm="1">
        <f t="array" ref="C8">IFERROR(_xlfn.XLOOKUP(B8, tblPeople[PersonID], tblPeople[PersonName], ""), "")</f>
        <v>Michael Njihia</v>
      </c>
      <c r="D8" s="15" t="s">
        <v>126</v>
      </c>
      <c r="E8" s="16" t="str">
        <f>IFERROR(_xlfn.XLOOKUP(D8, tblCourses[CourseID], tblCourses[CourseName], ""), "")</f>
        <v>Maintenance Indoctrination</v>
      </c>
      <c r="F8" s="17">
        <v>44690</v>
      </c>
      <c r="G8" s="17" t="str" cm="1">
        <f t="array" ref="G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" s="15" t="str">
        <f ca="1">IF(OR(tblTraining[[#This Row],[Status]]="Renewed",tblTraining[[#This Row],[NextDueDate]]=""),"",tblTraining[[#This Row],[NextDueDate]]-TODAY())</f>
        <v/>
      </c>
      <c r="I8" s="15" t="str" cm="1">
        <f t="array" aca="1" ref="I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" spans="1:9" x14ac:dyDescent="0.25">
      <c r="A9" s="15">
        <f t="shared" si="0"/>
        <v>8</v>
      </c>
      <c r="B9" s="15" t="s">
        <v>84</v>
      </c>
      <c r="C9" s="15" t="str" cm="1">
        <f t="array" ref="C9">IFERROR(_xlfn.XLOOKUP(B9, tblPeople[PersonID], tblPeople[PersonName], ""), "")</f>
        <v>Patrick Musau</v>
      </c>
      <c r="D9" s="15" t="s">
        <v>126</v>
      </c>
      <c r="E9" s="16" t="str">
        <f>IFERROR(_xlfn.XLOOKUP(D9, tblCourses[CourseID], tblCourses[CourseName], ""), "")</f>
        <v>Maintenance Indoctrination</v>
      </c>
      <c r="F9" s="17">
        <v>44505</v>
      </c>
      <c r="G9" s="17" t="str" cm="1">
        <f t="array" ref="G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" s="15" t="str">
        <f ca="1">IF(OR(tblTraining[[#This Row],[Status]]="Renewed",tblTraining[[#This Row],[NextDueDate]]=""),"",tblTraining[[#This Row],[NextDueDate]]-TODAY())</f>
        <v/>
      </c>
      <c r="I9" s="15" t="str" cm="1">
        <f t="array" aca="1" ref="I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" spans="1:9" x14ac:dyDescent="0.25">
      <c r="A10" s="15">
        <f t="shared" si="0"/>
        <v>9</v>
      </c>
      <c r="B10" s="15" t="s">
        <v>208</v>
      </c>
      <c r="C10" s="15" t="str" cm="1">
        <f t="array" ref="C10">IFERROR(_xlfn.XLOOKUP(B10, tblPeople[PersonID], tblPeople[PersonName], ""), "")</f>
        <v>Stephen Kariuki</v>
      </c>
      <c r="D10" s="15" t="s">
        <v>179</v>
      </c>
      <c r="E10" s="16" t="str">
        <f>IFERROR(_xlfn.XLOOKUP(D10, tblCourses[CourseID], tblCourses[CourseName], ""), "")</f>
        <v>Aircraft Maintenance Engineers' Licence</v>
      </c>
      <c r="F10" s="17">
        <v>45490</v>
      </c>
      <c r="G10" s="17" cm="1">
        <f t="array" ref="G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46220</v>
      </c>
      <c r="H10" s="15">
        <f ca="1">IF(OR(tblTraining[[#This Row],[Status]]="Renewed",tblTraining[[#This Row],[NextDueDate]]=""),"",tblTraining[[#This Row],[NextDueDate]]-TODAY())</f>
        <v>-66</v>
      </c>
      <c r="I10" s="15" t="str" cm="1">
        <f t="array" aca="1" ref="I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1" spans="1:9" x14ac:dyDescent="0.25">
      <c r="A11" s="15">
        <f t="shared" si="0"/>
        <v>10</v>
      </c>
      <c r="B11" s="15" t="s">
        <v>83</v>
      </c>
      <c r="C11" s="15" t="str" cm="1">
        <f t="array" ref="C11">IFERROR(_xlfn.XLOOKUP(B11, tblPeople[PersonID], tblPeople[PersonName], ""), "")</f>
        <v>Wycliffe Kanana</v>
      </c>
      <c r="D11" s="15" t="s">
        <v>126</v>
      </c>
      <c r="E11" s="16" t="str">
        <f>IFERROR(_xlfn.XLOOKUP(D11, tblCourses[CourseID], tblCourses[CourseName], ""), "")</f>
        <v>Maintenance Indoctrination</v>
      </c>
      <c r="F11" s="17">
        <v>43600</v>
      </c>
      <c r="G11" s="17" t="str" cm="1">
        <f t="array" ref="G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" s="15" t="str">
        <f ca="1">IF(OR(tblTraining[[#This Row],[Status]]="Renewed",tblTraining[[#This Row],[NextDueDate]]=""),"",tblTraining[[#This Row],[NextDueDate]]-TODAY())</f>
        <v/>
      </c>
      <c r="I11" s="15" t="str" cm="1">
        <f t="array" aca="1" ref="I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" spans="1:9" x14ac:dyDescent="0.25">
      <c r="A12" s="15">
        <f t="shared" si="0"/>
        <v>11</v>
      </c>
      <c r="B12" s="15" t="s">
        <v>120</v>
      </c>
      <c r="C12" s="15" t="str" cm="1">
        <f t="array" ref="C12">IFERROR(_xlfn.XLOOKUP(B12, tblPeople[PersonID], tblPeople[PersonName], ""), "")</f>
        <v>Churchill Bil</v>
      </c>
      <c r="D12" s="15" t="s">
        <v>24</v>
      </c>
      <c r="E12" s="16" t="str">
        <f>IFERROR(_xlfn.XLOOKUP(D12, tblCourses[CourseID], tblCourses[CourseName], ""), "")</f>
        <v>Human Factors in Aviation (Initial)</v>
      </c>
      <c r="F12" s="18">
        <v>45684</v>
      </c>
      <c r="G12" s="17" t="str" cm="1">
        <f t="array" ref="G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" s="15" t="str">
        <f ca="1">IF(OR(tblTraining[[#This Row],[Status]]="Renewed",tblTraining[[#This Row],[NextDueDate]]=""),"",tblTraining[[#This Row],[NextDueDate]]-TODAY())</f>
        <v/>
      </c>
      <c r="I12" s="15" t="str" cm="1">
        <f t="array" aca="1" ref="I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" spans="1:9" x14ac:dyDescent="0.25">
      <c r="A13" s="15">
        <f t="shared" si="0"/>
        <v>12</v>
      </c>
      <c r="B13" s="15" t="s">
        <v>104</v>
      </c>
      <c r="C13" s="15" t="str" cm="1">
        <f t="array" ref="C13">IFERROR(_xlfn.XLOOKUP(B13, tblPeople[PersonID], tblPeople[PersonName], ""), "")</f>
        <v>Douglas Hurgins</v>
      </c>
      <c r="D13" s="15" t="s">
        <v>179</v>
      </c>
      <c r="E13" s="16" t="str">
        <f>IFERROR(_xlfn.XLOOKUP(D13, tblCourses[CourseID], tblCourses[CourseName], ""), "")</f>
        <v>Aircraft Maintenance Engineers' Licence</v>
      </c>
      <c r="F13" s="17">
        <v>45866</v>
      </c>
      <c r="G13" s="17" t="str" cm="1">
        <f t="array" ref="G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" s="15" t="str">
        <f ca="1">IF(OR(tblTraining[[#This Row],[Status]]="Renewed",tblTraining[[#This Row],[NextDueDate]]=""),"",tblTraining[[#This Row],[NextDueDate]]-TODAY())</f>
        <v/>
      </c>
      <c r="I13" s="15" t="str" cm="1">
        <f t="array" aca="1" ref="I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" spans="1:9" x14ac:dyDescent="0.25">
      <c r="A14" s="15">
        <f t="shared" si="0"/>
        <v>13</v>
      </c>
      <c r="B14" s="15" t="s">
        <v>89</v>
      </c>
      <c r="C14" s="15" t="str" cm="1">
        <f t="array" ref="C14">IFERROR(_xlfn.XLOOKUP(B14, tblPeople[PersonID], tblPeople[PersonName], ""), "")</f>
        <v>Elina Guda</v>
      </c>
      <c r="D14" s="15" t="s">
        <v>173</v>
      </c>
      <c r="E14" s="16" t="str">
        <f>IFERROR(_xlfn.XLOOKUP(D14, tblCourses[CourseID], tblCourses[CourseName], ""), "")</f>
        <v>Quality Management Systems</v>
      </c>
      <c r="F14" s="17">
        <v>45541</v>
      </c>
      <c r="G14" s="17" cm="1">
        <f t="array" ref="G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46636</v>
      </c>
      <c r="H14" s="15">
        <f ca="1">IF(OR(tblTraining[[#This Row],[Status]]="Renewed",tblTraining[[#This Row],[NextDueDate]]=""),"",tblTraining[[#This Row],[NextDueDate]]-TODAY())</f>
        <v>350</v>
      </c>
      <c r="I14" s="15" t="str" cm="1">
        <f t="array" aca="1" ref="I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" spans="1:9" x14ac:dyDescent="0.25">
      <c r="A15" s="15">
        <f t="shared" si="0"/>
        <v>14</v>
      </c>
      <c r="B15" s="15" t="s">
        <v>81</v>
      </c>
      <c r="C15" s="15" t="str" cm="1">
        <f t="array" ref="C15">IFERROR(_xlfn.XLOOKUP(B15, tblPeople[PersonID], tblPeople[PersonName], ""), "")</f>
        <v>Gideon Mwasio</v>
      </c>
      <c r="D15" s="15" t="s">
        <v>125</v>
      </c>
      <c r="E15" s="16" t="str">
        <f>IFERROR(_xlfn.XLOOKUP(D15, tblCourses[CourseID], tblCourses[CourseName], ""), "")</f>
        <v>Aviation Security (Refresher)</v>
      </c>
      <c r="F15" s="17">
        <v>45716</v>
      </c>
      <c r="G15" s="17" cm="1">
        <f t="array" ref="G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5" s="15">
        <f ca="1">IF(OR(tblTraining[[#This Row],[Status]]="Renewed",tblTraining[[#This Row],[NextDueDate]]=""),"",tblTraining[[#This Row],[NextDueDate]]-TODAY())</f>
        <v>160</v>
      </c>
      <c r="I15" s="15" t="str" cm="1">
        <f t="array" aca="1" ref="I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" spans="1:9" x14ac:dyDescent="0.25">
      <c r="A16" s="15">
        <f t="shared" si="0"/>
        <v>15</v>
      </c>
      <c r="B16" s="15" t="s">
        <v>154</v>
      </c>
      <c r="C16" s="15" t="str" cm="1">
        <f t="array" ref="C16">IFERROR(_xlfn.XLOOKUP(B16, tblPeople[PersonID], tblPeople[PersonName], ""), "")</f>
        <v>Judith Wandera</v>
      </c>
      <c r="D16" s="15" t="s">
        <v>176</v>
      </c>
      <c r="E16" s="16" t="str">
        <f>IFERROR(_xlfn.XLOOKUP(D16, tblCourses[CourseID], tblCourses[CourseName], ""), "")</f>
        <v>Aviation Technical Records &amp; Stores Management (TRS)</v>
      </c>
      <c r="F16" s="17">
        <v>45737</v>
      </c>
      <c r="G16" s="17" t="str" cm="1">
        <f t="array" ref="G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" s="15" t="str">
        <f ca="1">IF(OR(tblTraining[[#This Row],[Status]]="Renewed",tblTraining[[#This Row],[NextDueDate]]=""),"",tblTraining[[#This Row],[NextDueDate]]-TODAY())</f>
        <v/>
      </c>
      <c r="I16" s="15" t="str" cm="1">
        <f t="array" aca="1" ref="I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" spans="1:9" x14ac:dyDescent="0.25">
      <c r="A17" s="15">
        <f t="shared" si="0"/>
        <v>16</v>
      </c>
      <c r="B17" s="15" t="s">
        <v>88</v>
      </c>
      <c r="C17" s="15" t="str" cm="1">
        <f t="array" ref="C17">IFERROR(_xlfn.XLOOKUP(B17, tblPeople[PersonID], tblPeople[PersonName], ""), "")</f>
        <v>Michael Njihia</v>
      </c>
      <c r="D17" s="15" t="s">
        <v>17</v>
      </c>
      <c r="E17" s="16" t="str">
        <f>IFERROR(_xlfn.XLOOKUP(D17, tblCourses[CourseID], tblCourses[CourseName], ""), "")</f>
        <v>Safety Management Systems (Refresher)</v>
      </c>
      <c r="F17" s="17">
        <v>45590</v>
      </c>
      <c r="G17" s="17" t="str" cm="1">
        <f t="array" ref="G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" s="15" t="str">
        <f ca="1">IF(OR(tblTraining[[#This Row],[Status]]="Renewed",tblTraining[[#This Row],[NextDueDate]]=""),"",tblTraining[[#This Row],[NextDueDate]]-TODAY())</f>
        <v/>
      </c>
      <c r="I17" s="15" t="str" cm="1">
        <f t="array" aca="1" ref="I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8" spans="1:9" x14ac:dyDescent="0.25">
      <c r="A18" s="15">
        <f t="shared" si="0"/>
        <v>17</v>
      </c>
      <c r="B18" s="15" t="s">
        <v>84</v>
      </c>
      <c r="C18" s="15" t="str" cm="1">
        <f t="array" ref="C18">IFERROR(_xlfn.XLOOKUP(B18, tblPeople[PersonID], tblPeople[PersonName], ""), "")</f>
        <v>Patrick Musau</v>
      </c>
      <c r="D18" s="15" t="s">
        <v>17</v>
      </c>
      <c r="E18" s="16" t="str">
        <f>IFERROR(_xlfn.XLOOKUP(D18, tblCourses[CourseID], tblCourses[CourseName], ""), "")</f>
        <v>Safety Management Systems (Refresher)</v>
      </c>
      <c r="F18" s="17">
        <v>45343</v>
      </c>
      <c r="G18" s="17" t="str" cm="1">
        <f t="array" ref="G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" s="15" t="str">
        <f ca="1">IF(OR(tblTraining[[#This Row],[Status]]="Renewed",tblTraining[[#This Row],[NextDueDate]]=""),"",tblTraining[[#This Row],[NextDueDate]]-TODAY())</f>
        <v/>
      </c>
      <c r="I18" s="15" t="str" cm="1">
        <f t="array" aca="1" ref="I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" spans="1:9" x14ac:dyDescent="0.25">
      <c r="A19" s="15">
        <f t="shared" si="0"/>
        <v>18</v>
      </c>
      <c r="B19" s="15" t="s">
        <v>208</v>
      </c>
      <c r="C19" s="15" t="str" cm="1">
        <f t="array" ref="C19">IFERROR(_xlfn.XLOOKUP(B19, tblPeople[PersonID], tblPeople[PersonName], ""), "")</f>
        <v>Stephen Kariuki</v>
      </c>
      <c r="D19" s="15" t="s">
        <v>20</v>
      </c>
      <c r="E19" s="16" t="str">
        <f>IFERROR(_xlfn.XLOOKUP(D19, tblCourses[CourseID], tblCourses[CourseName], ""), "")</f>
        <v>Safety Management Systems (Initial)</v>
      </c>
      <c r="F19" s="17">
        <v>45846</v>
      </c>
      <c r="G19" s="17" t="str" cm="1">
        <f t="array" ref="G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" s="15" t="str">
        <f ca="1">IF(OR(tblTraining[[#This Row],[Status]]="Renewed",tblTraining[[#This Row],[NextDueDate]]=""),"",tblTraining[[#This Row],[NextDueDate]]-TODAY())</f>
        <v/>
      </c>
      <c r="I19" s="15" t="str" cm="1">
        <f t="array" aca="1" ref="I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" spans="1:9" x14ac:dyDescent="0.25">
      <c r="A20" s="15">
        <f t="shared" si="0"/>
        <v>19</v>
      </c>
      <c r="B20" s="15" t="s">
        <v>83</v>
      </c>
      <c r="C20" s="15" t="str" cm="1">
        <f t="array" ref="C20">IFERROR(_xlfn.XLOOKUP(B20, tblPeople[PersonID], tblPeople[PersonName], ""), "")</f>
        <v>Wycliffe Kanana</v>
      </c>
      <c r="D20" s="15" t="s">
        <v>124</v>
      </c>
      <c r="E20" s="16" t="str">
        <f>IFERROR(_xlfn.XLOOKUP(D20, tblCourses[CourseID], tblCourses[CourseName], ""), "")</f>
        <v>Aviation Security (Initial)</v>
      </c>
      <c r="F20" s="17">
        <v>44123</v>
      </c>
      <c r="G20" s="17" t="str" cm="1">
        <f t="array" ref="G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" s="15" t="str">
        <f ca="1">IF(OR(tblTraining[[#This Row],[Status]]="Renewed",tblTraining[[#This Row],[NextDueDate]]=""),"",tblTraining[[#This Row],[NextDueDate]]-TODAY())</f>
        <v/>
      </c>
      <c r="I20" s="15" t="str" cm="1">
        <f t="array" aca="1" ref="I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" spans="1:9" x14ac:dyDescent="0.25">
      <c r="A21" s="15">
        <f t="shared" si="0"/>
        <v>20</v>
      </c>
      <c r="B21" s="15" t="s">
        <v>120</v>
      </c>
      <c r="C21" s="15" t="str" cm="1">
        <f t="array" ref="C21">IFERROR(_xlfn.XLOOKUP(B21, tblPeople[PersonID], tblPeople[PersonName], ""), "")</f>
        <v>Churchill Bil</v>
      </c>
      <c r="D21" s="15" t="s">
        <v>22</v>
      </c>
      <c r="E21" s="16" t="str">
        <f>IFERROR(_xlfn.XLOOKUP(D21, tblCourses[CourseID], tblCourses[CourseName], ""), "")</f>
        <v>Human Factors in Aviation (Refresher)</v>
      </c>
      <c r="F21" s="17">
        <v>45684</v>
      </c>
      <c r="G21" s="17" cm="1">
        <f t="array" ref="G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46414</v>
      </c>
      <c r="H21" s="15">
        <f ca="1">IF(OR(tblTraining[[#This Row],[Status]]="Renewed",tblTraining[[#This Row],[NextDueDate]]=""),"",tblTraining[[#This Row],[NextDueDate]]-TODAY())</f>
        <v>128</v>
      </c>
      <c r="I21" s="15" t="str" cm="1">
        <f t="array" aca="1" ref="I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" spans="1:9" x14ac:dyDescent="0.25">
      <c r="A22" s="15">
        <f t="shared" si="0"/>
        <v>21</v>
      </c>
      <c r="B22" s="15" t="s">
        <v>104</v>
      </c>
      <c r="C22" s="15" t="str" cm="1">
        <f t="array" ref="C22">IFERROR(_xlfn.XLOOKUP(B22, tblPeople[PersonID], tblPeople[PersonName], ""), "")</f>
        <v>Douglas Hurgins</v>
      </c>
      <c r="D22" s="15" t="s">
        <v>77</v>
      </c>
      <c r="E22" s="16" t="str">
        <f>IFERROR(_xlfn.XLOOKUP(D22, tblCourses[CourseID], tblCourses[CourseName], ""), "")</f>
        <v>DHC8 -100/-200/-300 Collins Wheels &amp; Brakes Familiarization Training (Refresher)</v>
      </c>
      <c r="F22" s="17">
        <v>45637</v>
      </c>
      <c r="G22" s="17" cm="1">
        <f t="array" ref="G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2" s="15">
        <f ca="1">IF(OR(tblTraining[[#This Row],[Status]]="Renewed",tblTraining[[#This Row],[NextDueDate]]=""),"",tblTraining[[#This Row],[NextDueDate]]-TODAY())</f>
        <v>81</v>
      </c>
      <c r="I22" s="15" t="str" cm="1">
        <f t="array" aca="1" ref="I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" spans="1:9" x14ac:dyDescent="0.25">
      <c r="A23" s="15">
        <f t="shared" si="0"/>
        <v>22</v>
      </c>
      <c r="B23" s="15" t="s">
        <v>89</v>
      </c>
      <c r="C23" s="15" t="str" cm="1">
        <f t="array" ref="C23">IFERROR(_xlfn.XLOOKUP(B23, tblPeople[PersonID], tblPeople[PersonName], ""), "")</f>
        <v>Elina Guda</v>
      </c>
      <c r="D23" s="15" t="s">
        <v>30</v>
      </c>
      <c r="E23" s="16" t="str">
        <f>IFERROR(_xlfn.XLOOKUP(D23, tblCourses[CourseID], tblCourses[CourseName], ""), "")</f>
        <v>Dangerous Goods Regulations (CBTA 7.3) (Refresher)</v>
      </c>
      <c r="F23" s="17">
        <v>45726</v>
      </c>
      <c r="G23" s="17" cm="1">
        <f t="array" ref="G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46456</v>
      </c>
      <c r="H23" s="15">
        <f ca="1">IF(OR(tblTraining[[#This Row],[Status]]="Renewed",tblTraining[[#This Row],[NextDueDate]]=""),"",tblTraining[[#This Row],[NextDueDate]]-TODAY())</f>
        <v>170</v>
      </c>
      <c r="I23" s="15" t="str" cm="1">
        <f t="array" aca="1" ref="I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" spans="1:9" x14ac:dyDescent="0.25">
      <c r="A24" s="15">
        <f t="shared" si="0"/>
        <v>23</v>
      </c>
      <c r="B24" s="15" t="s">
        <v>161</v>
      </c>
      <c r="C24" s="15" t="str" cm="1">
        <f t="array" ref="C24">IFERROR(_xlfn.XLOOKUP(B24, tblPeople[PersonID], tblPeople[PersonName], ""), "")</f>
        <v>Francis Omondi</v>
      </c>
      <c r="D24" s="15" t="s">
        <v>126</v>
      </c>
      <c r="E24" s="16" t="str">
        <f>IFERROR(_xlfn.XLOOKUP(D24, tblCourses[CourseID], tblCourses[CourseName], ""), "")</f>
        <v>Maintenance Indoctrination</v>
      </c>
      <c r="F24" s="17">
        <v>43600</v>
      </c>
      <c r="G24" s="17" t="str" cm="1">
        <f t="array" ref="G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" s="15" t="str">
        <f ca="1">IF(OR(tblTraining[[#This Row],[Status]]="Renewed",tblTraining[[#This Row],[NextDueDate]]=""),"",tblTraining[[#This Row],[NextDueDate]]-TODAY())</f>
        <v/>
      </c>
      <c r="I24" s="15" t="str" cm="1">
        <f t="array" aca="1" ref="I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" spans="1:9" x14ac:dyDescent="0.25">
      <c r="A25" s="15">
        <f t="shared" si="0"/>
        <v>24</v>
      </c>
      <c r="B25" s="15" t="s">
        <v>81</v>
      </c>
      <c r="C25" s="15" t="str" cm="1">
        <f t="array" ref="C25">IFERROR(_xlfn.XLOOKUP(B25, tblPeople[PersonID], tblPeople[PersonName], ""), "")</f>
        <v>Gideon Mwasio</v>
      </c>
      <c r="D25" s="15" t="s">
        <v>20</v>
      </c>
      <c r="E25" s="16" t="str">
        <f>IFERROR(_xlfn.XLOOKUP(D25, tblCourses[CourseID], tblCourses[CourseName], ""), "")</f>
        <v>Safety Management Systems (Initial)</v>
      </c>
      <c r="F25" s="17">
        <v>45379</v>
      </c>
      <c r="G25" s="17" t="str" cm="1">
        <f t="array" ref="G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" s="15" t="str">
        <f ca="1">IF(OR(tblTraining[[#This Row],[Status]]="Renewed",tblTraining[[#This Row],[NextDueDate]]=""),"",tblTraining[[#This Row],[NextDueDate]]-TODAY())</f>
        <v/>
      </c>
      <c r="I25" s="15" t="str" cm="1">
        <f t="array" aca="1" ref="I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" spans="1:9" x14ac:dyDescent="0.25">
      <c r="A26" s="15">
        <f t="shared" si="0"/>
        <v>25</v>
      </c>
      <c r="B26" s="15" t="s">
        <v>154</v>
      </c>
      <c r="C26" s="15" t="str" cm="1">
        <f t="array" ref="C26">IFERROR(_xlfn.XLOOKUP(B26, tblPeople[PersonID], tblPeople[PersonName], ""), "")</f>
        <v>Judith Wandera</v>
      </c>
      <c r="D26" s="15" t="s">
        <v>20</v>
      </c>
      <c r="E26" s="16" t="str">
        <f>IFERROR(_xlfn.XLOOKUP(D26, tblCourses[CourseID], tblCourses[CourseName], ""), "")</f>
        <v>Safety Management Systems (Initial)</v>
      </c>
      <c r="F26" s="17">
        <v>45379</v>
      </c>
      <c r="G26" s="17" t="str" cm="1">
        <f t="array" ref="G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" s="15" t="str">
        <f ca="1">IF(OR(tblTraining[[#This Row],[Status]]="Renewed",tblTraining[[#This Row],[NextDueDate]]=""),"",tblTraining[[#This Row],[NextDueDate]]-TODAY())</f>
        <v/>
      </c>
      <c r="I26" s="15" t="str" cm="1">
        <f t="array" aca="1" ref="I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" spans="1:9" x14ac:dyDescent="0.25">
      <c r="A27" s="15">
        <f t="shared" si="0"/>
        <v>26</v>
      </c>
      <c r="B27" s="15" t="s">
        <v>88</v>
      </c>
      <c r="C27" s="15" t="str" cm="1">
        <f t="array" ref="C27">IFERROR(_xlfn.XLOOKUP(B27, tblPeople[PersonID], tblPeople[PersonName], ""), "")</f>
        <v>Michael Njihia</v>
      </c>
      <c r="D27" s="15" t="s">
        <v>20</v>
      </c>
      <c r="E27" s="16" t="str">
        <f>IFERROR(_xlfn.XLOOKUP(D27, tblCourses[CourseID], tblCourses[CourseName], ""), "")</f>
        <v>Safety Management Systems (Initial)</v>
      </c>
      <c r="F27" s="17">
        <v>44853</v>
      </c>
      <c r="G27" s="17" t="str" cm="1">
        <f t="array" ref="G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" s="15" t="str">
        <f ca="1">IF(OR(tblTraining[[#This Row],[Status]]="Renewed",tblTraining[[#This Row],[NextDueDate]]=""),"",tblTraining[[#This Row],[NextDueDate]]-TODAY())</f>
        <v/>
      </c>
      <c r="I27" s="15" t="str" cm="1">
        <f t="array" aca="1" ref="I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" spans="1:9" x14ac:dyDescent="0.25">
      <c r="A28" s="15">
        <f t="shared" si="0"/>
        <v>27</v>
      </c>
      <c r="B28" s="15" t="s">
        <v>84</v>
      </c>
      <c r="C28" s="15" t="str" cm="1">
        <f t="array" ref="C28">IFERROR(_xlfn.XLOOKUP(B28, tblPeople[PersonID], tblPeople[PersonName], ""), "")</f>
        <v>Patrick Musau</v>
      </c>
      <c r="D28" s="15" t="s">
        <v>20</v>
      </c>
      <c r="E28" s="16" t="str">
        <f>IFERROR(_xlfn.XLOOKUP(D28, tblCourses[CourseID], tblCourses[CourseName], ""), "")</f>
        <v>Safety Management Systems (Initial)</v>
      </c>
      <c r="F28" s="17">
        <v>44512</v>
      </c>
      <c r="G28" s="17" t="str" cm="1">
        <f t="array" ref="G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" s="15" t="str">
        <f ca="1">IF(OR(tblTraining[[#This Row],[Status]]="Renewed",tblTraining[[#This Row],[NextDueDate]]=""),"",tblTraining[[#This Row],[NextDueDate]]-TODAY())</f>
        <v/>
      </c>
      <c r="I28" s="15" t="str" cm="1">
        <f t="array" aca="1" ref="I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" spans="1:9" x14ac:dyDescent="0.25">
      <c r="A29" s="15">
        <f t="shared" si="0"/>
        <v>28</v>
      </c>
      <c r="B29" s="15" t="s">
        <v>208</v>
      </c>
      <c r="C29" s="15" t="str" cm="1">
        <f t="array" ref="C29">IFERROR(_xlfn.XLOOKUP(B29, tblPeople[PersonID], tblPeople[PersonName], ""), "")</f>
        <v>Stephen Kariuki</v>
      </c>
      <c r="D29" s="15" t="s">
        <v>17</v>
      </c>
      <c r="E29" s="16" t="str">
        <f>IFERROR(_xlfn.XLOOKUP(D29, tblCourses[CourseID], tblCourses[CourseName], ""), "")</f>
        <v>Safety Management Systems (Refresher)</v>
      </c>
      <c r="F29" s="17">
        <v>45846</v>
      </c>
      <c r="G29" s="17" cm="1">
        <f t="array" ref="G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29" s="15">
        <f ca="1">IF(OR(tblTraining[[#This Row],[Status]]="Renewed",tblTraining[[#This Row],[NextDueDate]]=""),"",tblTraining[[#This Row],[NextDueDate]]-TODAY())</f>
        <v>290</v>
      </c>
      <c r="I29" s="15" t="str" cm="1">
        <f t="array" aca="1" ref="I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" spans="1:9" x14ac:dyDescent="0.25">
      <c r="A30" s="15">
        <f t="shared" si="0"/>
        <v>29</v>
      </c>
      <c r="B30" s="15" t="s">
        <v>83</v>
      </c>
      <c r="C30" s="15" t="str" cm="1">
        <f t="array" ref="C30">IFERROR(_xlfn.XLOOKUP(B30, tblPeople[PersonID], tblPeople[PersonName], ""), "")</f>
        <v>Wycliffe Kanana</v>
      </c>
      <c r="D30" s="15" t="s">
        <v>125</v>
      </c>
      <c r="E30" s="16" t="str">
        <f>IFERROR(_xlfn.XLOOKUP(D30, tblCourses[CourseID], tblCourses[CourseName], ""), "")</f>
        <v>Aviation Security (Refresher)</v>
      </c>
      <c r="F30" s="17">
        <v>45730</v>
      </c>
      <c r="G30" s="17" cm="1">
        <f t="array" ref="G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30" s="15">
        <f ca="1">IF(OR(tblTraining[[#This Row],[Status]]="Renewed",tblTraining[[#This Row],[NextDueDate]]=""),"",tblTraining[[#This Row],[NextDueDate]]-TODAY())</f>
        <v>174</v>
      </c>
      <c r="I30" s="15" t="str" cm="1">
        <f t="array" aca="1" ref="I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" spans="1:9" x14ac:dyDescent="0.25">
      <c r="A31" s="15">
        <f t="shared" si="0"/>
        <v>30</v>
      </c>
      <c r="B31" s="15" t="s">
        <v>120</v>
      </c>
      <c r="C31" s="15" t="str" cm="1">
        <f t="array" ref="C31">IFERROR(_xlfn.XLOOKUP(B31, tblPeople[PersonID], tblPeople[PersonName], ""), "")</f>
        <v>Churchill Bil</v>
      </c>
      <c r="D31" s="15" t="s">
        <v>17</v>
      </c>
      <c r="E31" s="16" t="str">
        <f>IFERROR(_xlfn.XLOOKUP(D31, tblCourses[CourseID], tblCourses[CourseName], ""), "")</f>
        <v>Safety Management Systems (Refresher)</v>
      </c>
      <c r="F31" s="17">
        <v>45742</v>
      </c>
      <c r="G31" s="17" cm="1">
        <f t="array" ref="G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46472</v>
      </c>
      <c r="H31" s="15">
        <f ca="1">IF(OR(tblTraining[[#This Row],[Status]]="Renewed",tblTraining[[#This Row],[NextDueDate]]=""),"",tblTraining[[#This Row],[NextDueDate]]-TODAY())</f>
        <v>186</v>
      </c>
      <c r="I31" s="15" t="str" cm="1">
        <f t="array" aca="1" ref="I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" spans="1:9" x14ac:dyDescent="0.25">
      <c r="A32" s="15">
        <f t="shared" si="0"/>
        <v>31</v>
      </c>
      <c r="B32" s="15" t="s">
        <v>104</v>
      </c>
      <c r="C32" s="15" t="str" cm="1">
        <f t="array" ref="C32">IFERROR(_xlfn.XLOOKUP(B32, tblPeople[PersonID], tblPeople[PersonName], ""), "")</f>
        <v>Douglas Hurgins</v>
      </c>
      <c r="D32" s="15" t="s">
        <v>75</v>
      </c>
      <c r="E32" s="16" t="str">
        <f>IFERROR(_xlfn.XLOOKUP(D32, tblCourses[CourseID], tblCourses[CourseName], ""), "")</f>
        <v>Fuel Tank Safety Phase 1 &amp; 2 Course (Refresher)</v>
      </c>
      <c r="F32" s="17">
        <v>45405</v>
      </c>
      <c r="G32" s="17" t="str" cm="1">
        <f t="array" ref="G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" s="15" t="str">
        <f ca="1">IF(OR(tblTraining[[#This Row],[Status]]="Renewed",tblTraining[[#This Row],[NextDueDate]]=""),"",tblTraining[[#This Row],[NextDueDate]]-TODAY())</f>
        <v/>
      </c>
      <c r="I32" s="15" t="str" cm="1">
        <f t="array" aca="1" ref="I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" spans="1:9" x14ac:dyDescent="0.25">
      <c r="A33" s="15">
        <f t="shared" si="0"/>
        <v>32</v>
      </c>
      <c r="B33" s="15" t="s">
        <v>89</v>
      </c>
      <c r="C33" s="15" t="str" cm="1">
        <f t="array" ref="C33">IFERROR(_xlfn.XLOOKUP(B33, tblPeople[PersonID], tblPeople[PersonName], ""), "")</f>
        <v>Elina Guda</v>
      </c>
      <c r="D33" s="15" t="s">
        <v>32</v>
      </c>
      <c r="E33" s="16" t="str">
        <f>IFERROR(_xlfn.XLOOKUP(D33, tblCourses[CourseID], tblCourses[CourseName], ""), "")</f>
        <v>Dangerous Goods Regulations (CBTA 7.3) (Initial)</v>
      </c>
      <c r="F33" s="17">
        <v>45008</v>
      </c>
      <c r="G33" s="17" t="str" cm="1">
        <f t="array" ref="G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" s="15" t="str">
        <f ca="1">IF(OR(tblTraining[[#This Row],[Status]]="Renewed",tblTraining[[#This Row],[NextDueDate]]=""),"",tblTraining[[#This Row],[NextDueDate]]-TODAY())</f>
        <v/>
      </c>
      <c r="I33" s="15" t="str" cm="1">
        <f t="array" aca="1" ref="I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" spans="1:9" x14ac:dyDescent="0.25">
      <c r="A34" s="15">
        <f t="shared" si="0"/>
        <v>33</v>
      </c>
      <c r="B34" s="15" t="s">
        <v>161</v>
      </c>
      <c r="C34" s="15" t="str" cm="1">
        <f t="array" ref="C34">IFERROR(_xlfn.XLOOKUP(B34, tblPeople[PersonID], tblPeople[PersonName], ""), "")</f>
        <v>Francis Omondi</v>
      </c>
      <c r="D34" s="15" t="s">
        <v>17</v>
      </c>
      <c r="E34" s="16" t="str">
        <f>IFERROR(_xlfn.XLOOKUP(D34, tblCourses[CourseID], tblCourses[CourseName], ""), "")</f>
        <v>Safety Management Systems (Refresher)</v>
      </c>
      <c r="F34" s="17">
        <v>45482</v>
      </c>
      <c r="G34" s="17" t="str" cm="1">
        <f t="array" ref="G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" s="15" t="str">
        <f ca="1">IF(OR(tblTraining[[#This Row],[Status]]="Renewed",tblTraining[[#This Row],[NextDueDate]]=""),"",tblTraining[[#This Row],[NextDueDate]]-TODAY())</f>
        <v/>
      </c>
      <c r="I34" s="15" t="str" cm="1">
        <f t="array" aca="1" ref="I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" spans="1:9" x14ac:dyDescent="0.25">
      <c r="A35" s="15">
        <f t="shared" si="0"/>
        <v>34</v>
      </c>
      <c r="B35" s="15" t="s">
        <v>81</v>
      </c>
      <c r="C35" s="15" t="str" cm="1">
        <f t="array" ref="C35">IFERROR(_xlfn.XLOOKUP(B35, tblPeople[PersonID], tblPeople[PersonName], ""), "")</f>
        <v>Gideon Mwasio</v>
      </c>
      <c r="D35" s="15" t="s">
        <v>17</v>
      </c>
      <c r="E35" s="16" t="str">
        <f>IFERROR(_xlfn.XLOOKUP(D35, tblCourses[CourseID], tblCourses[CourseName], ""), "")</f>
        <v>Safety Management Systems (Refresher)</v>
      </c>
      <c r="F35" s="17">
        <v>45379</v>
      </c>
      <c r="G35" s="17" t="str" cm="1">
        <f t="array" ref="G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" s="15" t="str">
        <f ca="1">IF(OR(tblTraining[[#This Row],[Status]]="Renewed",tblTraining[[#This Row],[NextDueDate]]=""),"",tblTraining[[#This Row],[NextDueDate]]-TODAY())</f>
        <v/>
      </c>
      <c r="I35" s="15" t="str" cm="1">
        <f t="array" aca="1" ref="I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" spans="1:9" x14ac:dyDescent="0.25">
      <c r="A36" s="15">
        <f t="shared" si="0"/>
        <v>35</v>
      </c>
      <c r="B36" s="15" t="s">
        <v>154</v>
      </c>
      <c r="C36" s="15" t="str" cm="1">
        <f t="array" ref="C36">IFERROR(_xlfn.XLOOKUP(B36, tblPeople[PersonID], tblPeople[PersonName], ""), "")</f>
        <v>Judith Wandera</v>
      </c>
      <c r="D36" s="15" t="s">
        <v>17</v>
      </c>
      <c r="E36" s="16" t="str">
        <f>IFERROR(_xlfn.XLOOKUP(D36, tblCourses[CourseID], tblCourses[CourseName], ""), "")</f>
        <v>Safety Management Systems (Refresher)</v>
      </c>
      <c r="F36" s="17">
        <v>45379</v>
      </c>
      <c r="G36" s="17" t="str" cm="1">
        <f t="array" ref="G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" s="15" t="str">
        <f ca="1">IF(OR(tblTraining[[#This Row],[Status]]="Renewed",tblTraining[[#This Row],[NextDueDate]]=""),"",tblTraining[[#This Row],[NextDueDate]]-TODAY())</f>
        <v/>
      </c>
      <c r="I36" s="15" t="str" cm="1">
        <f t="array" aca="1" ref="I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7" spans="1:9" x14ac:dyDescent="0.25">
      <c r="A37" s="15">
        <f t="shared" si="0"/>
        <v>36</v>
      </c>
      <c r="B37" s="15" t="s">
        <v>88</v>
      </c>
      <c r="C37" s="15" t="str" cm="1">
        <f t="array" ref="C37">IFERROR(_xlfn.XLOOKUP(B37, tblPeople[PersonID], tblPeople[PersonName], ""), "")</f>
        <v>Michael Njihia</v>
      </c>
      <c r="D37" s="15" t="s">
        <v>22</v>
      </c>
      <c r="E37" s="16" t="str">
        <f>IFERROR(_xlfn.XLOOKUP(D37, tblCourses[CourseID], tblCourses[CourseName], ""), "")</f>
        <v>Human Factors in Aviation (Refresher)</v>
      </c>
      <c r="F37" s="17">
        <v>45895</v>
      </c>
      <c r="G37" s="17" cm="1">
        <f t="array" ref="G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37" s="15">
        <f ca="1">IF(OR(tblTraining[[#This Row],[Status]]="Renewed",tblTraining[[#This Row],[NextDueDate]]=""),"",tblTraining[[#This Row],[NextDueDate]]-TODAY())</f>
        <v>339</v>
      </c>
      <c r="I37" s="15" t="str" cm="1">
        <f t="array" aca="1" ref="I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" spans="1:9" x14ac:dyDescent="0.25">
      <c r="A38" s="15">
        <f t="shared" si="0"/>
        <v>37</v>
      </c>
      <c r="B38" s="15" t="s">
        <v>84</v>
      </c>
      <c r="C38" s="15" t="str" cm="1">
        <f t="array" ref="C38">IFERROR(_xlfn.XLOOKUP(B38, tblPeople[PersonID], tblPeople[PersonName], ""), "")</f>
        <v>Patrick Musau</v>
      </c>
      <c r="D38" s="15" t="s">
        <v>24</v>
      </c>
      <c r="E38" s="16" t="str">
        <f>IFERROR(_xlfn.XLOOKUP(D38, tblCourses[CourseID], tblCourses[CourseName], ""), "")</f>
        <v>Human Factors in Aviation (Initial)</v>
      </c>
      <c r="F38" s="17">
        <v>44633</v>
      </c>
      <c r="G38" s="17" t="str" cm="1">
        <f t="array" ref="G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" s="15" t="str">
        <f ca="1">IF(OR(tblTraining[[#This Row],[Status]]="Renewed",tblTraining[[#This Row],[NextDueDate]]=""),"",tblTraining[[#This Row],[NextDueDate]]-TODAY())</f>
        <v/>
      </c>
      <c r="I38" s="15" t="str" cm="1">
        <f t="array" aca="1" ref="I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" spans="1:9" x14ac:dyDescent="0.25">
      <c r="A39" s="15">
        <f t="shared" si="0"/>
        <v>38</v>
      </c>
      <c r="B39" s="15" t="s">
        <v>157</v>
      </c>
      <c r="C39" s="15" t="str" cm="1">
        <f t="array" ref="C39">IFERROR(_xlfn.XLOOKUP(B39, tblPeople[PersonID], tblPeople[PersonName], ""), "")</f>
        <v>Stephen Mutambu</v>
      </c>
      <c r="D39" s="15" t="s">
        <v>126</v>
      </c>
      <c r="E39" s="16" t="str">
        <f>IFERROR(_xlfn.XLOOKUP(D39, tblCourses[CourseID], tblCourses[CourseName], ""), "")</f>
        <v>Maintenance Indoctrination</v>
      </c>
      <c r="F39" s="17">
        <v>43895</v>
      </c>
      <c r="G39" s="17" t="str" cm="1">
        <f t="array" ref="G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" s="15" t="str">
        <f ca="1">IF(OR(tblTraining[[#This Row],[Status]]="Renewed",tblTraining[[#This Row],[NextDueDate]]=""),"",tblTraining[[#This Row],[NextDueDate]]-TODAY())</f>
        <v/>
      </c>
      <c r="I39" s="15" t="str" cm="1">
        <f t="array" aca="1" ref="I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" spans="1:9" x14ac:dyDescent="0.25">
      <c r="A40" s="15">
        <f t="shared" si="0"/>
        <v>39</v>
      </c>
      <c r="B40" s="15" t="s">
        <v>83</v>
      </c>
      <c r="C40" s="15" t="str" cm="1">
        <f t="array" ref="C40">IFERROR(_xlfn.XLOOKUP(B40, tblPeople[PersonID], tblPeople[PersonName], ""), "")</f>
        <v>Wycliffe Kanana</v>
      </c>
      <c r="D40" s="15" t="s">
        <v>17</v>
      </c>
      <c r="E40" s="16" t="str">
        <f>IFERROR(_xlfn.XLOOKUP(D40, tblCourses[CourseID], tblCourses[CourseName], ""), "")</f>
        <v>Safety Management Systems (Refresher)</v>
      </c>
      <c r="F40" s="17">
        <v>45343</v>
      </c>
      <c r="G40" s="17" t="str" cm="1">
        <f t="array" ref="G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" s="15" t="str">
        <f ca="1">IF(OR(tblTraining[[#This Row],[Status]]="Renewed",tblTraining[[#This Row],[NextDueDate]]=""),"",tblTraining[[#This Row],[NextDueDate]]-TODAY())</f>
        <v/>
      </c>
      <c r="I40" s="15" t="str" cm="1">
        <f t="array" aca="1" ref="I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" spans="1:9" x14ac:dyDescent="0.25">
      <c r="A41" s="15">
        <f t="shared" si="0"/>
        <v>40</v>
      </c>
      <c r="B41" s="15" t="s">
        <v>104</v>
      </c>
      <c r="C41" s="15" t="str" cm="1">
        <f t="array" ref="C41">IFERROR(_xlfn.XLOOKUP(B41, tblPeople[PersonID], tblPeople[PersonName], ""), "")</f>
        <v>Douglas Hurgins</v>
      </c>
      <c r="D41" s="15" t="s">
        <v>28</v>
      </c>
      <c r="E41" s="16" t="str">
        <f>IFERROR(_xlfn.XLOOKUP(D41, tblCourses[CourseID], tblCourses[CourseName], ""), "")</f>
        <v>DHC-8 100/200/300 with PWC 120/120A/121/123B/C/D/E Series Engines(Refresher)</v>
      </c>
      <c r="F41" s="17">
        <v>45373</v>
      </c>
      <c r="G41" s="17" t="str" cm="1">
        <f t="array" ref="G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" s="15" t="str">
        <f ca="1">IF(OR(tblTraining[[#This Row],[Status]]="Renewed",tblTraining[[#This Row],[NextDueDate]]=""),"",tblTraining[[#This Row],[NextDueDate]]-TODAY())</f>
        <v/>
      </c>
      <c r="I41" s="15" t="str" cm="1">
        <f t="array" aca="1" ref="I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2" spans="1:9" x14ac:dyDescent="0.25">
      <c r="A42" s="15">
        <f t="shared" si="0"/>
        <v>41</v>
      </c>
      <c r="B42" s="15" t="s">
        <v>89</v>
      </c>
      <c r="C42" s="15" t="str" cm="1">
        <f t="array" ref="C42">IFERROR(_xlfn.XLOOKUP(B42, tblPeople[PersonID], tblPeople[PersonName], ""), "")</f>
        <v>Elina Guda</v>
      </c>
      <c r="D42" s="15" t="s">
        <v>22</v>
      </c>
      <c r="E42" s="16" t="str">
        <f>IFERROR(_xlfn.XLOOKUP(D42, tblCourses[CourseID], tblCourses[CourseName], ""), "")</f>
        <v>Human Factors in Aviation (Refresher)</v>
      </c>
      <c r="F42" s="17">
        <v>45703</v>
      </c>
      <c r="G42" s="17" cm="1">
        <f t="array" ref="G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46433</v>
      </c>
      <c r="H42" s="15">
        <f ca="1">IF(OR(tblTraining[[#This Row],[Status]]="Renewed",tblTraining[[#This Row],[NextDueDate]]=""),"",tblTraining[[#This Row],[NextDueDate]]-TODAY())</f>
        <v>147</v>
      </c>
      <c r="I42" s="15" t="str" cm="1">
        <f t="array" aca="1" ref="I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" spans="1:9" x14ac:dyDescent="0.25">
      <c r="A43" s="15">
        <f t="shared" si="0"/>
        <v>42</v>
      </c>
      <c r="B43" s="15" t="s">
        <v>81</v>
      </c>
      <c r="C43" s="15" t="str" cm="1">
        <f t="array" ref="C43">IFERROR(_xlfn.XLOOKUP(B43, tblPeople[PersonID], tblPeople[PersonName], ""), "")</f>
        <v>Gideon Mwasio</v>
      </c>
      <c r="D43" s="15" t="s">
        <v>132</v>
      </c>
      <c r="E43" s="16" t="str">
        <f>IFERROR(_xlfn.XLOOKUP(D43, tblCourses[CourseID], tblCourses[CourseName], ""), "")</f>
        <v>Marshalling Techniques Course</v>
      </c>
      <c r="F43" s="17">
        <v>45469</v>
      </c>
      <c r="G43" s="17" t="str" cm="1">
        <f t="array" ref="G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" s="15" t="str">
        <f ca="1">IF(OR(tblTraining[[#This Row],[Status]]="Renewed",tblTraining[[#This Row],[NextDueDate]]=""),"",tblTraining[[#This Row],[NextDueDate]]-TODAY())</f>
        <v/>
      </c>
      <c r="I43" s="15" t="str" cm="1">
        <f t="array" aca="1" ref="I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" spans="1:9" x14ac:dyDescent="0.25">
      <c r="A44" s="15">
        <f t="shared" si="0"/>
        <v>43</v>
      </c>
      <c r="B44" s="15" t="s">
        <v>154</v>
      </c>
      <c r="C44" s="15" t="str" cm="1">
        <f t="array" ref="C44">IFERROR(_xlfn.XLOOKUP(B44, tblPeople[PersonID], tblPeople[PersonName], ""), "")</f>
        <v>Judith Wandera</v>
      </c>
      <c r="D44" s="15" t="s">
        <v>32</v>
      </c>
      <c r="E44" s="16" t="str">
        <f>IFERROR(_xlfn.XLOOKUP(D44, tblCourses[CourseID], tblCourses[CourseName], ""), "")</f>
        <v>Dangerous Goods Regulations (CBTA 7.3) (Initial)</v>
      </c>
      <c r="F44" s="17">
        <v>45427</v>
      </c>
      <c r="G44" s="17" t="str" cm="1">
        <f t="array" ref="G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" s="15" t="str">
        <f ca="1">IF(OR(tblTraining[[#This Row],[Status]]="Renewed",tblTraining[[#This Row],[NextDueDate]]=""),"",tblTraining[[#This Row],[NextDueDate]]-TODAY())</f>
        <v/>
      </c>
      <c r="I44" s="15" t="str" cm="1">
        <f t="array" aca="1" ref="I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" spans="1:9" x14ac:dyDescent="0.25">
      <c r="A45" s="15">
        <f t="shared" si="0"/>
        <v>44</v>
      </c>
      <c r="B45" s="15" t="s">
        <v>84</v>
      </c>
      <c r="C45" s="15" t="str" cm="1">
        <f t="array" ref="C45">IFERROR(_xlfn.XLOOKUP(B45, tblPeople[PersonID], tblPeople[PersonName], ""), "")</f>
        <v>Patrick Musau</v>
      </c>
      <c r="D45" s="15" t="s">
        <v>22</v>
      </c>
      <c r="E45" s="16" t="str">
        <f>IFERROR(_xlfn.XLOOKUP(D45, tblCourses[CourseID], tblCourses[CourseName], ""), "")</f>
        <v>Human Factors in Aviation (Refresher)</v>
      </c>
      <c r="F45" s="17">
        <v>44633</v>
      </c>
      <c r="G45" s="17" t="str" cm="1">
        <f t="array" ref="G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" s="15" t="str">
        <f ca="1">IF(OR(tblTraining[[#This Row],[Status]]="Renewed",tblTraining[[#This Row],[NextDueDate]]=""),"",tblTraining[[#This Row],[NextDueDate]]-TODAY())</f>
        <v/>
      </c>
      <c r="I45" s="15" t="str" cm="1">
        <f t="array" aca="1" ref="I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6" spans="1:9" x14ac:dyDescent="0.25">
      <c r="A46" s="15">
        <f t="shared" si="0"/>
        <v>45</v>
      </c>
      <c r="B46" s="15" t="s">
        <v>157</v>
      </c>
      <c r="C46" s="15" t="str" cm="1">
        <f t="array" ref="C46">IFERROR(_xlfn.XLOOKUP(B46, tblPeople[PersonID], tblPeople[PersonName], ""), "")</f>
        <v>Stephen Mutambu</v>
      </c>
      <c r="D46" s="15" t="s">
        <v>172</v>
      </c>
      <c r="E46" s="16" t="str">
        <f>IFERROR(_xlfn.XLOOKUP(D46, tblCourses[CourseID], tblCourses[CourseName], ""), "")</f>
        <v>PR328: QMS ISO 9001:2015 (Lead Auditor Training)</v>
      </c>
      <c r="F46" s="17">
        <v>45792</v>
      </c>
      <c r="G46" s="17" cm="1">
        <f t="array" ref="G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47618</v>
      </c>
      <c r="H46" s="15">
        <f ca="1">IF(OR(tblTraining[[#This Row],[Status]]="Renewed",tblTraining[[#This Row],[NextDueDate]]=""),"",tblTraining[[#This Row],[NextDueDate]]-TODAY())</f>
        <v>1332</v>
      </c>
      <c r="I46" s="15" t="str" cm="1">
        <f t="array" aca="1" ref="I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" spans="1:9" x14ac:dyDescent="0.25">
      <c r="A47" s="15">
        <f t="shared" si="0"/>
        <v>46</v>
      </c>
      <c r="B47" s="15" t="s">
        <v>83</v>
      </c>
      <c r="C47" s="15" t="str" cm="1">
        <f t="array" ref="C47">IFERROR(_xlfn.XLOOKUP(B47, tblPeople[PersonID], tblPeople[PersonName], ""), "")</f>
        <v>Wycliffe Kanana</v>
      </c>
      <c r="D47" s="15" t="s">
        <v>22</v>
      </c>
      <c r="E47" s="16" t="str">
        <f>IFERROR(_xlfn.XLOOKUP(D47, tblCourses[CourseID], tblCourses[CourseName], ""), "")</f>
        <v>Human Factors in Aviation (Refresher)</v>
      </c>
      <c r="F47" s="17">
        <v>45111</v>
      </c>
      <c r="G47" s="17" t="str" cm="1">
        <f t="array" ref="G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" s="15" t="str">
        <f ca="1">IF(OR(tblTraining[[#This Row],[Status]]="Renewed",tblTraining[[#This Row],[NextDueDate]]=""),"",tblTraining[[#This Row],[NextDueDate]]-TODAY())</f>
        <v/>
      </c>
      <c r="I47" s="15" t="str" cm="1">
        <f t="array" aca="1" ref="I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8" spans="1:9" x14ac:dyDescent="0.25">
      <c r="A48" s="15">
        <f t="shared" si="0"/>
        <v>47</v>
      </c>
      <c r="B48" s="15" t="s">
        <v>104</v>
      </c>
      <c r="C48" s="15" t="str" cm="1">
        <f t="array" ref="C48">IFERROR(_xlfn.XLOOKUP(B48, tblPeople[PersonID], tblPeople[PersonName], ""), "")</f>
        <v>Douglas Hurgins</v>
      </c>
      <c r="D48" s="15" t="s">
        <v>22</v>
      </c>
      <c r="E48" s="16" t="str">
        <f>IFERROR(_xlfn.XLOOKUP(D48, tblCourses[CourseID], tblCourses[CourseName], ""), "")</f>
        <v>Human Factors in Aviation (Refresher)</v>
      </c>
      <c r="F48" s="17">
        <v>45119</v>
      </c>
      <c r="G48" s="17" t="str" cm="1">
        <f t="array" ref="G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" s="15" t="str">
        <f ca="1">IF(OR(tblTraining[[#This Row],[Status]]="Renewed",tblTraining[[#This Row],[NextDueDate]]=""),"",tblTraining[[#This Row],[NextDueDate]]-TODAY())</f>
        <v/>
      </c>
      <c r="I48" s="15" t="str" cm="1">
        <f t="array" aca="1" ref="I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9" spans="1:9" x14ac:dyDescent="0.25">
      <c r="A49" s="15">
        <f t="shared" si="0"/>
        <v>48</v>
      </c>
      <c r="B49" s="15" t="s">
        <v>89</v>
      </c>
      <c r="C49" s="15" t="str" cm="1">
        <f t="array" ref="C49">IFERROR(_xlfn.XLOOKUP(B49, tblPeople[PersonID], tblPeople[PersonName], ""), "")</f>
        <v>Elina Guda</v>
      </c>
      <c r="D49" s="15" t="s">
        <v>33</v>
      </c>
      <c r="E49" s="16" t="str">
        <f>IFERROR(_xlfn.XLOOKUP(D49, tblCourses[CourseID], tblCourses[CourseName], ""), "")</f>
        <v>Audit Techniques</v>
      </c>
      <c r="F49" s="17">
        <v>45756</v>
      </c>
      <c r="G49" s="17" t="str" cm="1">
        <f t="array" ref="G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" s="15" t="str">
        <f ca="1">IF(OR(tblTraining[[#This Row],[Status]]="Renewed",tblTraining[[#This Row],[NextDueDate]]=""),"",tblTraining[[#This Row],[NextDueDate]]-TODAY())</f>
        <v/>
      </c>
      <c r="I49" s="15" t="str" cm="1">
        <f t="array" aca="1" ref="I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" spans="1:9" x14ac:dyDescent="0.25">
      <c r="A50" s="15">
        <f t="shared" si="0"/>
        <v>49</v>
      </c>
      <c r="B50" s="15" t="s">
        <v>161</v>
      </c>
      <c r="C50" s="15" t="str" cm="1">
        <f t="array" ref="C50">IFERROR(_xlfn.XLOOKUP(B50, tblPeople[PersonID], tblPeople[PersonName], ""), "")</f>
        <v>Francis Omondi</v>
      </c>
      <c r="D50" s="15" t="s">
        <v>17</v>
      </c>
      <c r="E50" s="16" t="str">
        <f>IFERROR(_xlfn.XLOOKUP(D50, tblCourses[CourseID], tblCourses[CourseName], ""), "")</f>
        <v>Safety Management Systems (Refresher)</v>
      </c>
      <c r="F50" s="17">
        <v>44610</v>
      </c>
      <c r="G50" s="17" t="str" cm="1">
        <f t="array" ref="G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" s="15" t="str">
        <f ca="1">IF(OR(tblTraining[[#This Row],[Status]]="Renewed",tblTraining[[#This Row],[NextDueDate]]=""),"",tblTraining[[#This Row],[NextDueDate]]-TODAY())</f>
        <v/>
      </c>
      <c r="I50" s="15" t="str" cm="1">
        <f t="array" aca="1" ref="I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1" spans="1:9" x14ac:dyDescent="0.25">
      <c r="A51" s="15">
        <f t="shared" si="0"/>
        <v>50</v>
      </c>
      <c r="B51" s="15" t="s">
        <v>81</v>
      </c>
      <c r="C51" s="15" t="str" cm="1">
        <f t="array" ref="C51">IFERROR(_xlfn.XLOOKUP(B51, tblPeople[PersonID], tblPeople[PersonName], ""), "")</f>
        <v>Gideon Mwasio</v>
      </c>
      <c r="D51" s="15" t="s">
        <v>126</v>
      </c>
      <c r="E51" s="16" t="str">
        <f>IFERROR(_xlfn.XLOOKUP(D51, tblCourses[CourseID], tblCourses[CourseName], ""), "")</f>
        <v>Maintenance Indoctrination</v>
      </c>
      <c r="F51" s="17">
        <v>45146</v>
      </c>
      <c r="G51" s="17" t="str" cm="1">
        <f t="array" ref="G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" s="15" t="str">
        <f ca="1">IF(OR(tblTraining[[#This Row],[Status]]="Renewed",tblTraining[[#This Row],[NextDueDate]]=""),"",tblTraining[[#This Row],[NextDueDate]]-TODAY())</f>
        <v/>
      </c>
      <c r="I51" s="15" t="str" cm="1">
        <f t="array" aca="1" ref="I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" spans="1:9" x14ac:dyDescent="0.25">
      <c r="A52" s="15">
        <f t="shared" si="0"/>
        <v>51</v>
      </c>
      <c r="B52" s="15" t="s">
        <v>154</v>
      </c>
      <c r="C52" s="15" t="str" cm="1">
        <f t="array" ref="C52">IFERROR(_xlfn.XLOOKUP(B52, tblPeople[PersonID], tblPeople[PersonName], ""), "")</f>
        <v>Judith Wandera</v>
      </c>
      <c r="D52" s="15" t="s">
        <v>30</v>
      </c>
      <c r="E52" s="16" t="str">
        <f>IFERROR(_xlfn.XLOOKUP(D52, tblCourses[CourseID], tblCourses[CourseName], ""), "")</f>
        <v>Dangerous Goods Regulations (CBTA 7.3) (Refresher)</v>
      </c>
      <c r="F52" s="17">
        <v>45427</v>
      </c>
      <c r="G52" s="17" t="str" cm="1">
        <f t="array" ref="G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" s="15" t="str">
        <f ca="1">IF(OR(tblTraining[[#This Row],[Status]]="Renewed",tblTraining[[#This Row],[NextDueDate]]=""),"",tblTraining[[#This Row],[NextDueDate]]-TODAY())</f>
        <v/>
      </c>
      <c r="I52" s="15" t="str" cm="1">
        <f t="array" aca="1" ref="I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3" spans="1:9" x14ac:dyDescent="0.25">
      <c r="A53" s="15">
        <f t="shared" si="0"/>
        <v>52</v>
      </c>
      <c r="B53" s="15" t="s">
        <v>84</v>
      </c>
      <c r="C53" s="15" t="str" cm="1">
        <f t="array" ref="C53">IFERROR(_xlfn.XLOOKUP(B53, tblPeople[PersonID], tblPeople[PersonName], ""), "")</f>
        <v>Patrick Musau</v>
      </c>
      <c r="D53" s="15" t="s">
        <v>22</v>
      </c>
      <c r="E53" s="16" t="str">
        <f>IFERROR(_xlfn.XLOOKUP(D53, tblCourses[CourseID], tblCourses[CourseName], ""), "")</f>
        <v>Human Factors in Aviation (Refresher)</v>
      </c>
      <c r="F53" s="17">
        <v>45337</v>
      </c>
      <c r="G53" s="17" t="str" cm="1">
        <f t="array" ref="G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" s="15" t="str">
        <f ca="1">IF(OR(tblTraining[[#This Row],[Status]]="Renewed",tblTraining[[#This Row],[NextDueDate]]=""),"",tblTraining[[#This Row],[NextDueDate]]-TODAY())</f>
        <v/>
      </c>
      <c r="I53" s="15" t="str" cm="1">
        <f t="array" aca="1" ref="I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4" spans="1:9" x14ac:dyDescent="0.25">
      <c r="A54" s="15">
        <f t="shared" si="0"/>
        <v>53</v>
      </c>
      <c r="B54" s="15" t="s">
        <v>157</v>
      </c>
      <c r="C54" s="15" t="str" cm="1">
        <f t="array" ref="C54">IFERROR(_xlfn.XLOOKUP(B54, tblPeople[PersonID], tblPeople[PersonName], ""), "")</f>
        <v>Stephen Mutambu</v>
      </c>
      <c r="D54" s="15" t="s">
        <v>171</v>
      </c>
      <c r="E54" s="16" t="str">
        <f>IFERROR(_xlfn.XLOOKUP(D54, tblCourses[CourseID], tblCourses[CourseName], ""), "")</f>
        <v>Safety Management Systems (For Managers)</v>
      </c>
      <c r="F54" s="17">
        <v>45751</v>
      </c>
      <c r="G54" s="17" t="str" cm="1">
        <f t="array" ref="G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" s="15" t="str">
        <f ca="1">IF(OR(tblTraining[[#This Row],[Status]]="Renewed",tblTraining[[#This Row],[NextDueDate]]=""),"",tblTraining[[#This Row],[NextDueDate]]-TODAY())</f>
        <v/>
      </c>
      <c r="I54" s="15" t="str" cm="1">
        <f t="array" aca="1" ref="I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" spans="1:9" x14ac:dyDescent="0.25">
      <c r="A55" s="15">
        <f t="shared" si="0"/>
        <v>54</v>
      </c>
      <c r="B55" s="15" t="s">
        <v>83</v>
      </c>
      <c r="C55" s="15" t="str" cm="1">
        <f t="array" ref="C55">IFERROR(_xlfn.XLOOKUP(B55, tblPeople[PersonID], tblPeople[PersonName], ""), "")</f>
        <v>Wycliffe Kanana</v>
      </c>
      <c r="D55" s="15" t="s">
        <v>30</v>
      </c>
      <c r="E55" s="16" t="str">
        <f>IFERROR(_xlfn.XLOOKUP(D55, tblCourses[CourseID], tblCourses[CourseName], ""), "")</f>
        <v>Dangerous Goods Regulations (CBTA 7.3) (Refresher)</v>
      </c>
      <c r="F55" s="17">
        <v>44897</v>
      </c>
      <c r="G55" s="17" t="str" cm="1">
        <f t="array" ref="G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" s="15" t="str">
        <f ca="1">IF(OR(tblTraining[[#This Row],[Status]]="Renewed",tblTraining[[#This Row],[NextDueDate]]=""),"",tblTraining[[#This Row],[NextDueDate]]-TODAY())</f>
        <v/>
      </c>
      <c r="I55" s="15" t="str" cm="1">
        <f t="array" aca="1" ref="I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6" spans="1:9" x14ac:dyDescent="0.25">
      <c r="A56" s="15">
        <f t="shared" si="0"/>
        <v>55</v>
      </c>
      <c r="B56" s="15" t="s">
        <v>104</v>
      </c>
      <c r="C56" s="15" t="str" cm="1">
        <f t="array" ref="C56">IFERROR(_xlfn.XLOOKUP(B56, tblPeople[PersonID], tblPeople[PersonName], ""), "")</f>
        <v>Douglas Hurgins</v>
      </c>
      <c r="D56" s="15" t="s">
        <v>17</v>
      </c>
      <c r="E56" s="16" t="str">
        <f>IFERROR(_xlfn.XLOOKUP(D56, tblCourses[CourseID], tblCourses[CourseName], ""), "")</f>
        <v>Safety Management Systems (Refresher)</v>
      </c>
      <c r="F56" s="17">
        <v>45195</v>
      </c>
      <c r="G56" s="17" t="str" cm="1">
        <f t="array" ref="G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" s="15" t="str">
        <f ca="1">IF(OR(tblTraining[[#This Row],[Status]]="Renewed",tblTraining[[#This Row],[NextDueDate]]=""),"",tblTraining[[#This Row],[NextDueDate]]-TODAY())</f>
        <v/>
      </c>
      <c r="I56" s="15" t="str" cm="1">
        <f t="array" aca="1" ref="I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7" spans="1:9" x14ac:dyDescent="0.25">
      <c r="A57" s="15">
        <f t="shared" si="0"/>
        <v>56</v>
      </c>
      <c r="B57" s="15" t="s">
        <v>89</v>
      </c>
      <c r="C57" s="15" t="str" cm="1">
        <f t="array" ref="C57">IFERROR(_xlfn.XLOOKUP(B57, tblPeople[PersonID], tblPeople[PersonName], ""), "")</f>
        <v>Elina Guda</v>
      </c>
      <c r="D57" s="15" t="s">
        <v>24</v>
      </c>
      <c r="E57" s="16" t="str">
        <f>IFERROR(_xlfn.XLOOKUP(D57, tblCourses[CourseID], tblCourses[CourseName], ""), "")</f>
        <v>Human Factors in Aviation (Initial)</v>
      </c>
      <c r="F57" s="17">
        <v>44984</v>
      </c>
      <c r="G57" s="17" t="str" cm="1">
        <f t="array" ref="G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" s="15" t="str">
        <f ca="1">IF(OR(tblTraining[[#This Row],[Status]]="Renewed",tblTraining[[#This Row],[NextDueDate]]=""),"",tblTraining[[#This Row],[NextDueDate]]-TODAY())</f>
        <v/>
      </c>
      <c r="I57" s="15" t="str" cm="1">
        <f t="array" aca="1" ref="I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" spans="1:9" x14ac:dyDescent="0.25">
      <c r="A58" s="15">
        <f t="shared" si="0"/>
        <v>57</v>
      </c>
      <c r="B58" s="15" t="s">
        <v>161</v>
      </c>
      <c r="C58" s="15" t="str" cm="1">
        <f t="array" ref="C58">IFERROR(_xlfn.XLOOKUP(B58, tblPeople[PersonID], tblPeople[PersonName], ""), "")</f>
        <v>Francis Omondi</v>
      </c>
      <c r="D58" s="15" t="s">
        <v>202</v>
      </c>
      <c r="E58" s="16" t="str">
        <f>IFERROR(_xlfn.XLOOKUP(D58, tblCourses[CourseID], tblCourses[CourseName], ""), "")</f>
        <v>Maintenance Procedures &amp; Standard Maintenance Practices (Refresher)</v>
      </c>
      <c r="F58" s="17">
        <v>45322</v>
      </c>
      <c r="G58" s="17" t="str" cm="1">
        <f t="array" ref="G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" s="15" t="str">
        <f ca="1">IF(OR(tblTraining[[#This Row],[Status]]="Renewed",tblTraining[[#This Row],[NextDueDate]]=""),"",tblTraining[[#This Row],[NextDueDate]]-TODAY())</f>
        <v/>
      </c>
      <c r="I58" s="15" t="str" cm="1">
        <f t="array" aca="1" ref="I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9" spans="1:9" x14ac:dyDescent="0.25">
      <c r="A59" s="15">
        <f t="shared" si="0"/>
        <v>58</v>
      </c>
      <c r="B59" s="15" t="s">
        <v>81</v>
      </c>
      <c r="C59" s="15" t="str" cm="1">
        <f t="array" ref="C59">IFERROR(_xlfn.XLOOKUP(B59, tblPeople[PersonID], tblPeople[PersonName], ""), "")</f>
        <v>Gideon Mwasio</v>
      </c>
      <c r="D59" s="15" t="s">
        <v>29</v>
      </c>
      <c r="E59" s="16" t="str">
        <f>IFERROR(_xlfn.XLOOKUP(D59, tblCourses[CourseID], tblCourses[CourseName], ""), "")</f>
        <v>DHC-8 100/200/300 with PWC 120/120A/121/123B/C/D/E Series Engines(Initial)</v>
      </c>
      <c r="F59" s="17">
        <v>45637</v>
      </c>
      <c r="G59" s="17" t="str" cm="1">
        <f t="array" ref="G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" s="15" t="str">
        <f ca="1">IF(OR(tblTraining[[#This Row],[Status]]="Renewed",tblTraining[[#This Row],[NextDueDate]]=""),"",tblTraining[[#This Row],[NextDueDate]]-TODAY())</f>
        <v/>
      </c>
      <c r="I59" s="15" t="str" cm="1">
        <f t="array" aca="1" ref="I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" spans="1:9" x14ac:dyDescent="0.25">
      <c r="A60" s="15">
        <f t="shared" si="0"/>
        <v>59</v>
      </c>
      <c r="B60" s="15" t="s">
        <v>154</v>
      </c>
      <c r="C60" s="15" t="str" cm="1">
        <f t="array" ref="C60">IFERROR(_xlfn.XLOOKUP(B60, tblPeople[PersonID], tblPeople[PersonName], ""), "")</f>
        <v>Judith Wandera</v>
      </c>
      <c r="D60" s="15" t="s">
        <v>124</v>
      </c>
      <c r="E60" s="16" t="str">
        <f>IFERROR(_xlfn.XLOOKUP(D60, tblCourses[CourseID], tblCourses[CourseName], ""), "")</f>
        <v>Aviation Security (Initial)</v>
      </c>
      <c r="F60" s="17">
        <v>45716</v>
      </c>
      <c r="G60" s="17" t="str" cm="1">
        <f t="array" ref="G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" s="15" t="str">
        <f ca="1">IF(OR(tblTraining[[#This Row],[Status]]="Renewed",tblTraining[[#This Row],[NextDueDate]]=""),"",tblTraining[[#This Row],[NextDueDate]]-TODAY())</f>
        <v/>
      </c>
      <c r="I60" s="15" t="str" cm="1">
        <f t="array" aca="1" ref="I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" spans="1:9" x14ac:dyDescent="0.25">
      <c r="A61" s="15">
        <f t="shared" si="0"/>
        <v>60</v>
      </c>
      <c r="B61" s="15" t="s">
        <v>84</v>
      </c>
      <c r="C61" s="15" t="str" cm="1">
        <f t="array" ref="C61">IFERROR(_xlfn.XLOOKUP(B61, tblPeople[PersonID], tblPeople[PersonName], ""), "")</f>
        <v>Patrick Musau</v>
      </c>
      <c r="D61" s="15" t="s">
        <v>17</v>
      </c>
      <c r="E61" s="16" t="str">
        <f>IFERROR(_xlfn.XLOOKUP(D61, tblCourses[CourseID], tblCourses[CourseName], ""), "")</f>
        <v>Safety Management Systems (Refresher)</v>
      </c>
      <c r="F61" s="17">
        <v>45895</v>
      </c>
      <c r="G61" s="17" cm="1">
        <f t="array" ref="G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61" s="15">
        <f ca="1">IF(OR(tblTraining[[#This Row],[Status]]="Renewed",tblTraining[[#This Row],[NextDueDate]]=""),"",tblTraining[[#This Row],[NextDueDate]]-TODAY())</f>
        <v>339</v>
      </c>
      <c r="I61" s="15" t="str" cm="1">
        <f t="array" aca="1" ref="I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" spans="1:9" x14ac:dyDescent="0.25">
      <c r="A62" s="15">
        <f t="shared" si="0"/>
        <v>61</v>
      </c>
      <c r="B62" s="15" t="s">
        <v>157</v>
      </c>
      <c r="C62" s="15" t="str" cm="1">
        <f t="array" ref="C62">IFERROR(_xlfn.XLOOKUP(B62, tblPeople[PersonID], tblPeople[PersonName], ""), "")</f>
        <v>Stephen Mutambu</v>
      </c>
      <c r="D62" s="15" t="s">
        <v>22</v>
      </c>
      <c r="E62" s="16" t="str">
        <f>IFERROR(_xlfn.XLOOKUP(D62, tblCourses[CourseID], tblCourses[CourseName], ""), "")</f>
        <v>Human Factors in Aviation (Refresher)</v>
      </c>
      <c r="F62" s="17">
        <v>45721</v>
      </c>
      <c r="G62" s="17" cm="1">
        <f t="array" ref="G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46451</v>
      </c>
      <c r="H62" s="15">
        <f ca="1">IF(OR(tblTraining[[#This Row],[Status]]="Renewed",tblTraining[[#This Row],[NextDueDate]]=""),"",tblTraining[[#This Row],[NextDueDate]]-TODAY())</f>
        <v>165</v>
      </c>
      <c r="I62" s="15" t="str" cm="1">
        <f t="array" aca="1" ref="I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" spans="1:9" x14ac:dyDescent="0.25">
      <c r="A63" s="15">
        <f t="shared" si="0"/>
        <v>62</v>
      </c>
      <c r="B63" s="15" t="s">
        <v>83</v>
      </c>
      <c r="C63" s="15" t="str" cm="1">
        <f t="array" ref="C63">IFERROR(_xlfn.XLOOKUP(B63, tblPeople[PersonID], tblPeople[PersonName], ""), "")</f>
        <v>Wycliffe Kanana</v>
      </c>
      <c r="D63" s="15" t="s">
        <v>17</v>
      </c>
      <c r="E63" s="16" t="str">
        <f>IFERROR(_xlfn.XLOOKUP(D63, tblCourses[CourseID], tblCourses[CourseName], ""), "")</f>
        <v>Safety Management Systems (Refresher)</v>
      </c>
      <c r="F63" s="17">
        <v>44610</v>
      </c>
      <c r="G63" s="17" t="str" cm="1">
        <f t="array" ref="G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" s="15" t="str">
        <f ca="1">IF(OR(tblTraining[[#This Row],[Status]]="Renewed",tblTraining[[#This Row],[NextDueDate]]=""),"",tblTraining[[#This Row],[NextDueDate]]-TODAY())</f>
        <v/>
      </c>
      <c r="I63" s="15" t="str" cm="1">
        <f t="array" aca="1" ref="I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4" spans="1:9" x14ac:dyDescent="0.25">
      <c r="A64" s="15">
        <f t="shared" si="0"/>
        <v>63</v>
      </c>
      <c r="B64" s="15" t="s">
        <v>104</v>
      </c>
      <c r="C64" s="15" t="str" cm="1">
        <f t="array" ref="C64">IFERROR(_xlfn.XLOOKUP(B64, tblPeople[PersonID], tblPeople[PersonName], ""), "")</f>
        <v>Douglas Hurgins</v>
      </c>
      <c r="D64" s="15" t="s">
        <v>17</v>
      </c>
      <c r="E64" s="16" t="str">
        <f>IFERROR(_xlfn.XLOOKUP(D64, tblCourses[CourseID], tblCourses[CourseName], ""), "")</f>
        <v>Safety Management Systems (Refresher)</v>
      </c>
      <c r="F64" s="17">
        <v>45910</v>
      </c>
      <c r="G64" s="17" cm="1">
        <f t="array" ref="G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64" s="15">
        <f ca="1">IF(OR(tblTraining[[#This Row],[Status]]="Renewed",tblTraining[[#This Row],[NextDueDate]]=""),"",tblTraining[[#This Row],[NextDueDate]]-TODAY())</f>
        <v>354</v>
      </c>
      <c r="I64" s="15" t="str" cm="1">
        <f t="array" aca="1" ref="I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" spans="1:9" x14ac:dyDescent="0.25">
      <c r="A65" s="15">
        <f t="shared" si="0"/>
        <v>64</v>
      </c>
      <c r="B65" s="15" t="s">
        <v>89</v>
      </c>
      <c r="C65" s="15" t="str" cm="1">
        <f t="array" ref="C65">IFERROR(_xlfn.XLOOKUP(B65, tblPeople[PersonID], tblPeople[PersonName], ""), "")</f>
        <v>Elina Guda</v>
      </c>
      <c r="D65" s="15" t="s">
        <v>17</v>
      </c>
      <c r="E65" s="16" t="str">
        <f>IFERROR(_xlfn.XLOOKUP(D65, tblCourses[CourseID], tblCourses[CourseName], ""), "")</f>
        <v>Safety Management Systems (Refresher)</v>
      </c>
      <c r="F65" s="17">
        <v>45590</v>
      </c>
      <c r="G65" s="17" cm="1">
        <f t="array" ref="G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65" s="15">
        <f ca="1">IF(OR(tblTraining[[#This Row],[Status]]="Renewed",tblTraining[[#This Row],[NextDueDate]]=""),"",tblTraining[[#This Row],[NextDueDate]]-TODAY())</f>
        <v>34</v>
      </c>
      <c r="I65" s="15" t="str" cm="1">
        <f t="array" aca="1" ref="I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66" spans="1:9" x14ac:dyDescent="0.25">
      <c r="A66" s="15">
        <f t="shared" si="0"/>
        <v>65</v>
      </c>
      <c r="B66" s="15" t="s">
        <v>81</v>
      </c>
      <c r="C66" s="15" t="str" cm="1">
        <f t="array" ref="C66">IFERROR(_xlfn.XLOOKUP(B66, tblPeople[PersonID], tblPeople[PersonName], ""), "")</f>
        <v>Gideon Mwasio</v>
      </c>
      <c r="D66" s="15" t="s">
        <v>28</v>
      </c>
      <c r="E66" s="16" t="str">
        <f>IFERROR(_xlfn.XLOOKUP(D66, tblCourses[CourseID], tblCourses[CourseName], ""), "")</f>
        <v>DHC-8 100/200/300 with PWC 120/120A/121/123B/C/D/E Series Engines(Refresher)</v>
      </c>
      <c r="F66" s="17">
        <v>45637</v>
      </c>
      <c r="G66" s="17" cm="1">
        <f t="array" ref="G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66" s="15">
        <f ca="1">IF(OR(tblTraining[[#This Row],[Status]]="Renewed",tblTraining[[#This Row],[NextDueDate]]=""),"",tblTraining[[#This Row],[NextDueDate]]-TODAY())</f>
        <v>81</v>
      </c>
      <c r="I66" s="15" t="str" cm="1">
        <f t="array" aca="1" ref="I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" spans="1:9" x14ac:dyDescent="0.25">
      <c r="A67" s="15">
        <f t="shared" si="0"/>
        <v>66</v>
      </c>
      <c r="B67" s="15" t="s">
        <v>154</v>
      </c>
      <c r="C67" s="15" t="str" cm="1">
        <f t="array" ref="C67">IFERROR(_xlfn.XLOOKUP(B67, tblPeople[PersonID], tblPeople[PersonName], ""), "")</f>
        <v>Judith Wandera</v>
      </c>
      <c r="D67" s="15" t="s">
        <v>125</v>
      </c>
      <c r="E67" s="16" t="str">
        <f>IFERROR(_xlfn.XLOOKUP(D67, tblCourses[CourseID], tblCourses[CourseName], ""), "")</f>
        <v>Aviation Security (Refresher)</v>
      </c>
      <c r="F67" s="17">
        <v>45716</v>
      </c>
      <c r="G67" s="17" cm="1">
        <f t="array" ref="G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67" s="15">
        <f ca="1">IF(OR(tblTraining[[#This Row],[Status]]="Renewed",tblTraining[[#This Row],[NextDueDate]]=""),"",tblTraining[[#This Row],[NextDueDate]]-TODAY())</f>
        <v>160</v>
      </c>
      <c r="I67" s="15" t="str" cm="1">
        <f t="array" aca="1" ref="I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" spans="1:9" x14ac:dyDescent="0.25">
      <c r="A68" s="15">
        <f t="shared" ref="A68:A131" si="1">A67+1</f>
        <v>67</v>
      </c>
      <c r="B68" s="15" t="s">
        <v>94</v>
      </c>
      <c r="C68" s="15" t="str" cm="1">
        <f t="array" ref="C68">IFERROR(_xlfn.XLOOKUP(B68, tblPeople[PersonID], tblPeople[PersonName], ""), "")</f>
        <v>Moses Musyoka</v>
      </c>
      <c r="D68" s="15" t="s">
        <v>17</v>
      </c>
      <c r="E68" s="16" t="str">
        <f>IFERROR(_xlfn.XLOOKUP(D68, tblCourses[CourseID], tblCourses[CourseName], ""), "")</f>
        <v>Safety Management Systems (Refresher)</v>
      </c>
      <c r="F68" s="17">
        <v>45379</v>
      </c>
      <c r="G68" s="17" t="str" cm="1">
        <f t="array" ref="G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" s="15" t="str">
        <f ca="1">IF(OR(tblTraining[[#This Row],[Status]]="Renewed",tblTraining[[#This Row],[NextDueDate]]=""),"",tblTraining[[#This Row],[NextDueDate]]-TODAY())</f>
        <v/>
      </c>
      <c r="I68" s="15" t="str" cm="1">
        <f t="array" aca="1" ref="I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" spans="1:9" x14ac:dyDescent="0.25">
      <c r="A69" s="15">
        <f t="shared" si="1"/>
        <v>68</v>
      </c>
      <c r="B69" s="15" t="s">
        <v>157</v>
      </c>
      <c r="C69" s="15" t="str" cm="1">
        <f t="array" ref="C69">IFERROR(_xlfn.XLOOKUP(B69, tblPeople[PersonID], tblPeople[PersonName], ""), "")</f>
        <v>Stephen Mutambu</v>
      </c>
      <c r="D69" s="15" t="s">
        <v>77</v>
      </c>
      <c r="E69" s="16" t="str">
        <f>IFERROR(_xlfn.XLOOKUP(D69, tblCourses[CourseID], tblCourses[CourseName], ""), "")</f>
        <v>DHC8 -100/-200/-300 Collins Wheels &amp; Brakes Familiarization Training (Refresher)</v>
      </c>
      <c r="F69" s="17">
        <v>45637</v>
      </c>
      <c r="G69" s="17" cm="1">
        <f t="array" ref="G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69" s="15">
        <f ca="1">IF(OR(tblTraining[[#This Row],[Status]]="Renewed",tblTraining[[#This Row],[NextDueDate]]=""),"",tblTraining[[#This Row],[NextDueDate]]-TODAY())</f>
        <v>81</v>
      </c>
      <c r="I69" s="15" t="str" cm="1">
        <f t="array" aca="1" ref="I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" spans="1:9" x14ac:dyDescent="0.25">
      <c r="A70" s="15">
        <f t="shared" si="1"/>
        <v>69</v>
      </c>
      <c r="B70" s="15" t="s">
        <v>83</v>
      </c>
      <c r="C70" s="15" t="str" cm="1">
        <f t="array" ref="C70">IFERROR(_xlfn.XLOOKUP(B70, tblPeople[PersonID], tblPeople[PersonName], ""), "")</f>
        <v>Wycliffe Kanana</v>
      </c>
      <c r="D70" s="15" t="s">
        <v>22</v>
      </c>
      <c r="E70" s="16" t="str">
        <f>IFERROR(_xlfn.XLOOKUP(D70, tblCourses[CourseID], tblCourses[CourseName], ""), "")</f>
        <v>Human Factors in Aviation (Refresher)</v>
      </c>
      <c r="F70" s="17">
        <v>45850</v>
      </c>
      <c r="G70" s="17" cm="1">
        <f t="array" ref="G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46580</v>
      </c>
      <c r="H70" s="15">
        <f ca="1">IF(OR(tblTraining[[#This Row],[Status]]="Renewed",tblTraining[[#This Row],[NextDueDate]]=""),"",tblTraining[[#This Row],[NextDueDate]]-TODAY())</f>
        <v>294</v>
      </c>
      <c r="I70" s="15" t="str" cm="1">
        <f t="array" aca="1" ref="I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" spans="1:9" x14ac:dyDescent="0.25">
      <c r="A71" s="15">
        <f t="shared" si="1"/>
        <v>70</v>
      </c>
      <c r="B71" s="15" t="s">
        <v>104</v>
      </c>
      <c r="C71" s="15" t="str" cm="1">
        <f t="array" ref="C71">IFERROR(_xlfn.XLOOKUP(B71, tblPeople[PersonID], tblPeople[PersonName], ""), "")</f>
        <v>Douglas Hurgins</v>
      </c>
      <c r="D71" s="15" t="s">
        <v>110</v>
      </c>
      <c r="E71" s="16" t="str">
        <f>IFERROR(_xlfn.XLOOKUP(D71, tblCourses[CourseID], tblCourses[CourseName], ""), "")</f>
        <v>Electrical Wiring Interconnection System Target Groups 1 &amp; 2 (Initial)</v>
      </c>
      <c r="F71" s="17">
        <v>45839</v>
      </c>
      <c r="G71" s="17" t="str" cm="1">
        <f t="array" ref="G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" s="15" t="str">
        <f ca="1">IF(OR(tblTraining[[#This Row],[Status]]="Renewed",tblTraining[[#This Row],[NextDueDate]]=""),"",tblTraining[[#This Row],[NextDueDate]]-TODAY())</f>
        <v/>
      </c>
      <c r="I71" s="15" t="str" cm="1">
        <f t="array" aca="1" ref="I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" spans="1:9" x14ac:dyDescent="0.25">
      <c r="A72" s="15">
        <f t="shared" si="1"/>
        <v>71</v>
      </c>
      <c r="B72" s="15" t="s">
        <v>89</v>
      </c>
      <c r="C72" s="15" t="str" cm="1">
        <f t="array" ref="C72">IFERROR(_xlfn.XLOOKUP(B72, tblPeople[PersonID], tblPeople[PersonName], ""), "")</f>
        <v>Elina Guda</v>
      </c>
      <c r="D72" s="15" t="s">
        <v>20</v>
      </c>
      <c r="E72" s="16" t="str">
        <f>IFERROR(_xlfn.XLOOKUP(D72, tblCourses[CourseID], tblCourses[CourseName], ""), "")</f>
        <v>Safety Management Systems (Initial)</v>
      </c>
      <c r="F72" s="17">
        <v>44853</v>
      </c>
      <c r="G72" s="17" t="str" cm="1">
        <f t="array" ref="G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" s="15" t="str">
        <f ca="1">IF(OR(tblTraining[[#This Row],[Status]]="Renewed",tblTraining[[#This Row],[NextDueDate]]=""),"",tblTraining[[#This Row],[NextDueDate]]-TODAY())</f>
        <v/>
      </c>
      <c r="I72" s="15" t="str" cm="1">
        <f t="array" aca="1" ref="I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" spans="1:9" x14ac:dyDescent="0.25">
      <c r="A73" s="15">
        <f t="shared" si="1"/>
        <v>72</v>
      </c>
      <c r="B73" s="15" t="s">
        <v>105</v>
      </c>
      <c r="C73" s="15" t="str" cm="1">
        <f t="array" ref="C73">IFERROR(_xlfn.XLOOKUP(B73, tblPeople[PersonID], tblPeople[PersonName], ""), "")</f>
        <v>Fred Magotsi</v>
      </c>
      <c r="D73" s="15" t="s">
        <v>126</v>
      </c>
      <c r="E73" s="16" t="str">
        <f>IFERROR(_xlfn.XLOOKUP(D73, tblCourses[CourseID], tblCourses[CourseName], ""), "")</f>
        <v>Maintenance Indoctrination</v>
      </c>
      <c r="F73" s="17">
        <v>43600</v>
      </c>
      <c r="G73" s="17" t="str" cm="1">
        <f t="array" ref="G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" s="15" t="str">
        <f ca="1">IF(OR(tblTraining[[#This Row],[Status]]="Renewed",tblTraining[[#This Row],[NextDueDate]]=""),"",tblTraining[[#This Row],[NextDueDate]]-TODAY())</f>
        <v/>
      </c>
      <c r="I73" s="15" t="str" cm="1">
        <f t="array" aca="1" ref="I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" spans="1:9" x14ac:dyDescent="0.25">
      <c r="A74" s="15">
        <f t="shared" si="1"/>
        <v>73</v>
      </c>
      <c r="B74" s="15" t="s">
        <v>81</v>
      </c>
      <c r="C74" s="15" t="str" cm="1">
        <f t="array" ref="C74">IFERROR(_xlfn.XLOOKUP(B74, tblPeople[PersonID], tblPeople[PersonName], ""), "")</f>
        <v>Gideon Mwasio</v>
      </c>
      <c r="D74" s="15" t="s">
        <v>76</v>
      </c>
      <c r="E74" s="16" t="str">
        <f>IFERROR(_xlfn.XLOOKUP(D74, tblCourses[CourseID], tblCourses[CourseName], ""), "")</f>
        <v>Fuel Tank Safety Phase 1 &amp; 2 Course (Initial)</v>
      </c>
      <c r="F74" s="17">
        <v>45184</v>
      </c>
      <c r="G74" s="17" t="str" cm="1">
        <f t="array" ref="G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" s="15" t="str">
        <f ca="1">IF(OR(tblTraining[[#This Row],[Status]]="Renewed",tblTraining[[#This Row],[NextDueDate]]=""),"",tblTraining[[#This Row],[NextDueDate]]-TODAY())</f>
        <v/>
      </c>
      <c r="I74" s="15" t="str" cm="1">
        <f t="array" aca="1" ref="I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" spans="1:9" x14ac:dyDescent="0.25">
      <c r="A75" s="15">
        <f t="shared" si="1"/>
        <v>74</v>
      </c>
      <c r="B75" s="15" t="s">
        <v>154</v>
      </c>
      <c r="C75" s="15" t="str" cm="1">
        <f t="array" ref="C75">IFERROR(_xlfn.XLOOKUP(B75, tblPeople[PersonID], tblPeople[PersonName], ""), "")</f>
        <v>Judith Wandera</v>
      </c>
      <c r="D75" s="15" t="s">
        <v>24</v>
      </c>
      <c r="E75" s="16" t="str">
        <f>IFERROR(_xlfn.XLOOKUP(D75, tblCourses[CourseID], tblCourses[CourseName], ""), "")</f>
        <v>Human Factors in Aviation (Initial)</v>
      </c>
      <c r="F75" s="17">
        <v>45213</v>
      </c>
      <c r="G75" s="17" t="str" cm="1">
        <f t="array" ref="G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" s="15" t="str">
        <f ca="1">IF(OR(tblTraining[[#This Row],[Status]]="Renewed",tblTraining[[#This Row],[NextDueDate]]=""),"",tblTraining[[#This Row],[NextDueDate]]-TODAY())</f>
        <v/>
      </c>
      <c r="I75" s="15" t="str" cm="1">
        <f t="array" aca="1" ref="I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" spans="1:9" x14ac:dyDescent="0.25">
      <c r="A76" s="15">
        <f t="shared" si="1"/>
        <v>75</v>
      </c>
      <c r="B76" s="15" t="s">
        <v>157</v>
      </c>
      <c r="C76" s="15" t="str" cm="1">
        <f t="array" ref="C76">IFERROR(_xlfn.XLOOKUP(B76, tblPeople[PersonID], tblPeople[PersonName], ""), "")</f>
        <v>Stephen Mutambu</v>
      </c>
      <c r="D76" s="15" t="s">
        <v>75</v>
      </c>
      <c r="E76" s="16" t="str">
        <f>IFERROR(_xlfn.XLOOKUP(D76, tblCourses[CourseID], tblCourses[CourseName], ""), "")</f>
        <v>Fuel Tank Safety Phase 1 &amp; 2 Course (Refresher)</v>
      </c>
      <c r="F76" s="17">
        <v>45395</v>
      </c>
      <c r="G76" s="17" t="str" cm="1">
        <f t="array" ref="G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" s="15" t="str">
        <f ca="1">IF(OR(tblTraining[[#This Row],[Status]]="Renewed",tblTraining[[#This Row],[NextDueDate]]=""),"",tblTraining[[#This Row],[NextDueDate]]-TODAY())</f>
        <v/>
      </c>
      <c r="I76" s="15" t="str" cm="1">
        <f t="array" aca="1" ref="I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7" spans="1:9" x14ac:dyDescent="0.25">
      <c r="A77" s="15">
        <f t="shared" si="1"/>
        <v>76</v>
      </c>
      <c r="B77" s="15" t="s">
        <v>83</v>
      </c>
      <c r="C77" s="15" t="str" cm="1">
        <f t="array" ref="C77">IFERROR(_xlfn.XLOOKUP(B77, tblPeople[PersonID], tblPeople[PersonName], ""), "")</f>
        <v>Wycliffe Kanana</v>
      </c>
      <c r="D77" s="15" t="s">
        <v>138</v>
      </c>
      <c r="E77" s="16" t="str">
        <f>IFERROR(_xlfn.XLOOKUP(D77, tblCourses[CourseID], tblCourses[CourseName], ""), "")</f>
        <v>Fire Marshal Training (OSHA, 2007)</v>
      </c>
      <c r="F77" s="17">
        <v>45184</v>
      </c>
      <c r="G77" s="17" t="str" cm="1">
        <f t="array" ref="G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" s="15" t="str">
        <f ca="1">IF(OR(tblTraining[[#This Row],[Status]]="Renewed",tblTraining[[#This Row],[NextDueDate]]=""),"",tblTraining[[#This Row],[NextDueDate]]-TODAY())</f>
        <v/>
      </c>
      <c r="I77" s="15" t="str" cm="1">
        <f t="array" aca="1" ref="I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" spans="1:9" x14ac:dyDescent="0.25">
      <c r="A78" s="15">
        <f t="shared" si="1"/>
        <v>77</v>
      </c>
      <c r="B78" s="15" t="s">
        <v>104</v>
      </c>
      <c r="C78" s="15" t="str" cm="1">
        <f t="array" ref="C78">IFERROR(_xlfn.XLOOKUP(B78, tblPeople[PersonID], tblPeople[PersonName], ""), "")</f>
        <v>Douglas Hurgins</v>
      </c>
      <c r="D78" s="15" t="s">
        <v>109</v>
      </c>
      <c r="E78" s="16" t="str">
        <f>IFERROR(_xlfn.XLOOKUP(D78, tblCourses[CourseID], tblCourses[CourseName], ""), "")</f>
        <v>Electrical Wiring Interconnection System Target Groups 1 &amp; 2 (Refresher)</v>
      </c>
      <c r="F78" s="17">
        <v>45839</v>
      </c>
      <c r="G78" s="17" cm="1">
        <f t="array" ref="G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46569</v>
      </c>
      <c r="H78" s="15">
        <f ca="1">IF(OR(tblTraining[[#This Row],[Status]]="Renewed",tblTraining[[#This Row],[NextDueDate]]=""),"",tblTraining[[#This Row],[NextDueDate]]-TODAY())</f>
        <v>283</v>
      </c>
      <c r="I78" s="15" t="str" cm="1">
        <f t="array" aca="1" ref="I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" spans="1:9" x14ac:dyDescent="0.25">
      <c r="A79" s="15">
        <f t="shared" si="1"/>
        <v>78</v>
      </c>
      <c r="B79" s="15" t="s">
        <v>89</v>
      </c>
      <c r="C79" s="15" t="str" cm="1">
        <f t="array" ref="C79">IFERROR(_xlfn.XLOOKUP(B79, tblPeople[PersonID], tblPeople[PersonName], ""), "")</f>
        <v>Elina Guda</v>
      </c>
      <c r="D79" s="15" t="s">
        <v>176</v>
      </c>
      <c r="E79" s="16" t="str">
        <f>IFERROR(_xlfn.XLOOKUP(D79, tblCourses[CourseID], tblCourses[CourseName], ""), "")</f>
        <v>Aviation Technical Records &amp; Stores Management (TRS)</v>
      </c>
      <c r="F79" s="17">
        <v>45002</v>
      </c>
      <c r="G79" s="17" t="str" cm="1">
        <f t="array" ref="G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" s="15" t="str">
        <f ca="1">IF(OR(tblTraining[[#This Row],[Status]]="Renewed",tblTraining[[#This Row],[NextDueDate]]=""),"",tblTraining[[#This Row],[NextDueDate]]-TODAY())</f>
        <v/>
      </c>
      <c r="I79" s="15" t="str" cm="1">
        <f t="array" aca="1" ref="I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" spans="1:9" x14ac:dyDescent="0.25">
      <c r="A80" s="15">
        <f t="shared" si="1"/>
        <v>79</v>
      </c>
      <c r="B80" s="15" t="s">
        <v>105</v>
      </c>
      <c r="C80" s="15" t="str" cm="1">
        <f t="array" ref="C80">IFERROR(_xlfn.XLOOKUP(B80, tblPeople[PersonID], tblPeople[PersonName], ""), "")</f>
        <v>Fred Magotsi</v>
      </c>
      <c r="D80" s="15" t="s">
        <v>110</v>
      </c>
      <c r="E80" s="16" t="str">
        <f>IFERROR(_xlfn.XLOOKUP(D80, tblCourses[CourseID], tblCourses[CourseName], ""), "")</f>
        <v>Electrical Wiring Interconnection System Target Groups 1 &amp; 2 (Initial)</v>
      </c>
      <c r="F80" s="17">
        <v>45808</v>
      </c>
      <c r="G80" s="17" t="str" cm="1">
        <f t="array" ref="G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" s="15" t="str">
        <f ca="1">IF(OR(tblTraining[[#This Row],[Status]]="Renewed",tblTraining[[#This Row],[NextDueDate]]=""),"",tblTraining[[#This Row],[NextDueDate]]-TODAY())</f>
        <v/>
      </c>
      <c r="I80" s="15" t="str" cm="1">
        <f t="array" aca="1" ref="I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" spans="1:9" x14ac:dyDescent="0.25">
      <c r="A81" s="15">
        <f t="shared" si="1"/>
        <v>80</v>
      </c>
      <c r="B81" s="15" t="s">
        <v>81</v>
      </c>
      <c r="C81" s="15" t="str" cm="1">
        <f t="array" ref="C81">IFERROR(_xlfn.XLOOKUP(B81, tblPeople[PersonID], tblPeople[PersonName], ""), "")</f>
        <v>Gideon Mwasio</v>
      </c>
      <c r="D81" s="15" t="s">
        <v>138</v>
      </c>
      <c r="E81" s="16" t="str">
        <f>IFERROR(_xlfn.XLOOKUP(D81, tblCourses[CourseID], tblCourses[CourseName], ""), "")</f>
        <v>Fire Marshal Training (OSHA, 2007)</v>
      </c>
      <c r="F81" s="17">
        <v>45184</v>
      </c>
      <c r="G81" s="17" t="str" cm="1">
        <f t="array" ref="G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" s="15" t="str">
        <f ca="1">IF(OR(tblTraining[[#This Row],[Status]]="Renewed",tblTraining[[#This Row],[NextDueDate]]=""),"",tblTraining[[#This Row],[NextDueDate]]-TODAY())</f>
        <v/>
      </c>
      <c r="I81" s="15" t="str" cm="1">
        <f t="array" aca="1" ref="I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2" spans="1:9" x14ac:dyDescent="0.25">
      <c r="A82" s="15">
        <f t="shared" si="1"/>
        <v>81</v>
      </c>
      <c r="B82" s="15" t="s">
        <v>154</v>
      </c>
      <c r="C82" s="15" t="str" cm="1">
        <f t="array" ref="C82">IFERROR(_xlfn.XLOOKUP(B82, tblPeople[PersonID], tblPeople[PersonName], ""), "")</f>
        <v>Judith Wandera</v>
      </c>
      <c r="D82" s="15" t="s">
        <v>22</v>
      </c>
      <c r="E82" s="16" t="str">
        <f>IFERROR(_xlfn.XLOOKUP(D82, tblCourses[CourseID], tblCourses[CourseName], ""), "")</f>
        <v>Human Factors in Aviation (Refresher)</v>
      </c>
      <c r="F82" s="17">
        <v>45213</v>
      </c>
      <c r="G82" s="17" t="str" cm="1">
        <f t="array" ref="G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" s="15" t="str">
        <f ca="1">IF(OR(tblTraining[[#This Row],[Status]]="Renewed",tblTraining[[#This Row],[NextDueDate]]=""),"",tblTraining[[#This Row],[NextDueDate]]-TODAY())</f>
        <v/>
      </c>
      <c r="I82" s="15" t="str" cm="1">
        <f t="array" aca="1" ref="I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" spans="1:9" x14ac:dyDescent="0.25">
      <c r="A83" s="15">
        <f t="shared" si="1"/>
        <v>82</v>
      </c>
      <c r="B83" s="15" t="s">
        <v>157</v>
      </c>
      <c r="C83" s="15" t="str" cm="1">
        <f t="array" ref="C83">IFERROR(_xlfn.XLOOKUP(B83, tblPeople[PersonID], tblPeople[PersonName], ""), "")</f>
        <v>Stephen Mutambu</v>
      </c>
      <c r="D83" s="15" t="s">
        <v>30</v>
      </c>
      <c r="E83" s="16" t="str">
        <f>IFERROR(_xlfn.XLOOKUP(D83, tblCourses[CourseID], tblCourses[CourseName], ""), "")</f>
        <v>Dangerous Goods Regulations (CBTA 7.3) (Refresher)</v>
      </c>
      <c r="F83" s="17">
        <v>45758</v>
      </c>
      <c r="G83" s="17" cm="1">
        <f t="array" ref="G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83" s="15">
        <f ca="1">IF(OR(tblTraining[[#This Row],[Status]]="Renewed",tblTraining[[#This Row],[NextDueDate]]=""),"",tblTraining[[#This Row],[NextDueDate]]-TODAY())</f>
        <v>202</v>
      </c>
      <c r="I83" s="15" t="str" cm="1">
        <f t="array" aca="1" ref="I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" spans="1:9" x14ac:dyDescent="0.25">
      <c r="A84" s="15">
        <f t="shared" si="1"/>
        <v>83</v>
      </c>
      <c r="B84" s="15" t="s">
        <v>104</v>
      </c>
      <c r="C84" s="15" t="str" cm="1">
        <f t="array" ref="C84">IFERROR(_xlfn.XLOOKUP(B84, tblPeople[PersonID], tblPeople[PersonName], ""), "")</f>
        <v>Douglas Hurgins</v>
      </c>
      <c r="D84" s="15" t="s">
        <v>22</v>
      </c>
      <c r="E84" s="16" t="str">
        <f>IFERROR(_xlfn.XLOOKUP(D84, tblCourses[CourseID], tblCourses[CourseName], ""), "")</f>
        <v>Human Factors in Aviation (Refresher)</v>
      </c>
      <c r="F84" s="17">
        <v>45913</v>
      </c>
      <c r="G84" s="17" cm="1">
        <f t="array" ref="G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46643</v>
      </c>
      <c r="H84" s="15">
        <f ca="1">IF(OR(tblTraining[[#This Row],[Status]]="Renewed",tblTraining[[#This Row],[NextDueDate]]=""),"",tblTraining[[#This Row],[NextDueDate]]-TODAY())</f>
        <v>357</v>
      </c>
      <c r="I84" s="15" t="str" cm="1">
        <f t="array" aca="1" ref="I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" spans="1:9" x14ac:dyDescent="0.25">
      <c r="A85" s="15">
        <f t="shared" si="1"/>
        <v>84</v>
      </c>
      <c r="B85" s="15" t="s">
        <v>135</v>
      </c>
      <c r="C85" s="15" t="str" cm="1">
        <f t="array" ref="C85">IFERROR(_xlfn.XLOOKUP(B85, tblPeople[PersonID], tblPeople[PersonName], ""), "")</f>
        <v>Francis Muriuki</v>
      </c>
      <c r="D85" s="15" t="s">
        <v>109</v>
      </c>
      <c r="E85" s="16" t="str">
        <f>IFERROR(_xlfn.XLOOKUP(D85, tblCourses[CourseID], tblCourses[CourseName], ""), "")</f>
        <v>Electrical Wiring Interconnection System Target Groups 1 &amp; 2 (Refresher)</v>
      </c>
      <c r="F85" s="17">
        <v>45805</v>
      </c>
      <c r="G85" s="17" cm="1">
        <f t="array" ref="G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85" s="15">
        <f ca="1">IF(OR(tblTraining[[#This Row],[Status]]="Renewed",tblTraining[[#This Row],[NextDueDate]]=""),"",tblTraining[[#This Row],[NextDueDate]]-TODAY())</f>
        <v>249</v>
      </c>
      <c r="I85" s="15" t="str" cm="1">
        <f t="array" aca="1" ref="I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" spans="1:9" x14ac:dyDescent="0.25">
      <c r="A86" s="15">
        <f t="shared" si="1"/>
        <v>85</v>
      </c>
      <c r="B86" s="15" t="s">
        <v>105</v>
      </c>
      <c r="C86" s="15" t="str" cm="1">
        <f t="array" ref="C86">IFERROR(_xlfn.XLOOKUP(B86, tblPeople[PersonID], tblPeople[PersonName], ""), "")</f>
        <v>Fred Magotsi</v>
      </c>
      <c r="D86" s="15" t="s">
        <v>109</v>
      </c>
      <c r="E86" s="16" t="str">
        <f>IFERROR(_xlfn.XLOOKUP(D86, tblCourses[CourseID], tblCourses[CourseName], ""), "")</f>
        <v>Electrical Wiring Interconnection System Target Groups 1 &amp; 2 (Refresher)</v>
      </c>
      <c r="F86" s="17">
        <v>45808</v>
      </c>
      <c r="G86" s="17" cm="1">
        <f t="array" ref="G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46538</v>
      </c>
      <c r="H86" s="15">
        <f ca="1">IF(OR(tblTraining[[#This Row],[Status]]="Renewed",tblTraining[[#This Row],[NextDueDate]]=""),"",tblTraining[[#This Row],[NextDueDate]]-TODAY())</f>
        <v>252</v>
      </c>
      <c r="I86" s="15" t="str" cm="1">
        <f t="array" aca="1" ref="I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7" spans="1:9" x14ac:dyDescent="0.25">
      <c r="A87" s="15">
        <f t="shared" si="1"/>
        <v>86</v>
      </c>
      <c r="B87" s="15" t="s">
        <v>81</v>
      </c>
      <c r="C87" s="15" t="str" cm="1">
        <f t="array" ref="C87">IFERROR(_xlfn.XLOOKUP(B87, tblPeople[PersonID], tblPeople[PersonName], ""), "")</f>
        <v>Gideon Mwasio</v>
      </c>
      <c r="D87" s="15" t="s">
        <v>75</v>
      </c>
      <c r="E87" s="16" t="str">
        <f>IFERROR(_xlfn.XLOOKUP(D87, tblCourses[CourseID], tblCourses[CourseName], ""), "")</f>
        <v>Fuel Tank Safety Phase 1 &amp; 2 Course (Refresher)</v>
      </c>
      <c r="F87" s="17">
        <v>45421</v>
      </c>
      <c r="G87" s="17" cm="1">
        <f t="array" ref="G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46151</v>
      </c>
      <c r="H87" s="15">
        <f ca="1">IF(OR(tblTraining[[#This Row],[Status]]="Renewed",tblTraining[[#This Row],[NextDueDate]]=""),"",tblTraining[[#This Row],[NextDueDate]]-TODAY())</f>
        <v>-135</v>
      </c>
      <c r="I87" s="15" t="str" cm="1">
        <f t="array" aca="1" ref="I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88" spans="1:9" x14ac:dyDescent="0.25">
      <c r="A88" s="15">
        <f t="shared" si="1"/>
        <v>87</v>
      </c>
      <c r="B88" s="15" t="s">
        <v>154</v>
      </c>
      <c r="C88" s="15" t="str" cm="1">
        <f t="array" ref="C88">IFERROR(_xlfn.XLOOKUP(B88, tblPeople[PersonID], tblPeople[PersonName], ""), "")</f>
        <v>Judith Wandera</v>
      </c>
      <c r="D88" s="15" t="s">
        <v>22</v>
      </c>
      <c r="E88" s="16" t="str">
        <f>IFERROR(_xlfn.XLOOKUP(D88, tblCourses[CourseID], tblCourses[CourseName], ""), "")</f>
        <v>Human Factors in Aviation (Refresher)</v>
      </c>
      <c r="F88" s="17">
        <v>45915</v>
      </c>
      <c r="G88" s="17" cm="1">
        <f t="array" ref="G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46645</v>
      </c>
      <c r="H88" s="15">
        <f ca="1">IF(OR(tblTraining[[#This Row],[Status]]="Renewed",tblTraining[[#This Row],[NextDueDate]]=""),"",tblTraining[[#This Row],[NextDueDate]]-TODAY())</f>
        <v>359</v>
      </c>
      <c r="I88" s="15" t="str" cm="1">
        <f t="array" aca="1" ref="I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" spans="1:9" x14ac:dyDescent="0.25">
      <c r="A89" s="15">
        <f t="shared" si="1"/>
        <v>88</v>
      </c>
      <c r="B89" s="15" t="s">
        <v>157</v>
      </c>
      <c r="C89" s="15" t="str" cm="1">
        <f t="array" ref="C89">IFERROR(_xlfn.XLOOKUP(B89, tblPeople[PersonID], tblPeople[PersonName], ""), "")</f>
        <v>Stephen Mutambu</v>
      </c>
      <c r="D89" s="15" t="s">
        <v>17</v>
      </c>
      <c r="E89" s="16" t="str">
        <f>IFERROR(_xlfn.XLOOKUP(D89, tblCourses[CourseID], tblCourses[CourseName], ""), "")</f>
        <v>Safety Management Systems (Refresher)</v>
      </c>
      <c r="F89" s="17">
        <v>45510</v>
      </c>
      <c r="G89" s="17" t="str" cm="1">
        <f t="array" ref="G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" s="15" t="str">
        <f ca="1">IF(OR(tblTraining[[#This Row],[Status]]="Renewed",tblTraining[[#This Row],[NextDueDate]]=""),"",tblTraining[[#This Row],[NextDueDate]]-TODAY())</f>
        <v/>
      </c>
      <c r="I89" s="15" t="str" cm="1">
        <f t="array" aca="1" ref="I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0" spans="1:9" x14ac:dyDescent="0.25">
      <c r="A90" s="15">
        <f t="shared" si="1"/>
        <v>89</v>
      </c>
      <c r="B90" s="15" t="s">
        <v>91</v>
      </c>
      <c r="C90" s="15" t="str" cm="1">
        <f t="array" ref="C90">IFERROR(_xlfn.XLOOKUP(B90, tblPeople[PersonID], tblPeople[PersonName], ""), "")</f>
        <v>Dunstan Kwalanda</v>
      </c>
      <c r="D90" s="15" t="s">
        <v>17</v>
      </c>
      <c r="E90" s="16" t="str">
        <f>IFERROR(_xlfn.XLOOKUP(D90, tblCourses[CourseID], tblCourses[CourseName], ""), "")</f>
        <v>Safety Management Systems (Refresher)</v>
      </c>
      <c r="F90" s="17">
        <v>45379</v>
      </c>
      <c r="G90" s="17" t="str" cm="1">
        <f t="array" ref="G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" s="15" t="str">
        <f ca="1">IF(OR(tblTraining[[#This Row],[Status]]="Renewed",tblTraining[[#This Row],[NextDueDate]]=""),"",tblTraining[[#This Row],[NextDueDate]]-TODAY())</f>
        <v/>
      </c>
      <c r="I90" s="15" t="str" cm="1">
        <f t="array" aca="1" ref="I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1" spans="1:9" x14ac:dyDescent="0.25">
      <c r="A91" s="15">
        <f t="shared" si="1"/>
        <v>90</v>
      </c>
      <c r="B91" s="15" t="s">
        <v>135</v>
      </c>
      <c r="C91" s="15" t="str" cm="1">
        <f t="array" ref="C91">IFERROR(_xlfn.XLOOKUP(B91, tblPeople[PersonID], tblPeople[PersonName], ""), "")</f>
        <v>Francis Muriuki</v>
      </c>
      <c r="D91" s="15" t="s">
        <v>126</v>
      </c>
      <c r="E91" s="16" t="str">
        <f>IFERROR(_xlfn.XLOOKUP(D91, tblCourses[CourseID], tblCourses[CourseName], ""), "")</f>
        <v>Maintenance Indoctrination</v>
      </c>
      <c r="F91" s="17">
        <v>43725</v>
      </c>
      <c r="G91" s="17" t="str" cm="1">
        <f t="array" ref="G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" s="15" t="str">
        <f ca="1">IF(OR(tblTraining[[#This Row],[Status]]="Renewed",tblTraining[[#This Row],[NextDueDate]]=""),"",tblTraining[[#This Row],[NextDueDate]]-TODAY())</f>
        <v/>
      </c>
      <c r="I91" s="15" t="str" cm="1">
        <f t="array" aca="1" ref="I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" spans="1:9" x14ac:dyDescent="0.25">
      <c r="A92" s="15">
        <f t="shared" si="1"/>
        <v>91</v>
      </c>
      <c r="B92" s="15" t="s">
        <v>105</v>
      </c>
      <c r="C92" s="15" t="str" cm="1">
        <f t="array" ref="C92">IFERROR(_xlfn.XLOOKUP(B92, tblPeople[PersonID], tblPeople[PersonName], ""), "")</f>
        <v>Fred Magotsi</v>
      </c>
      <c r="D92" s="15" t="s">
        <v>22</v>
      </c>
      <c r="E92" s="16" t="str">
        <f>IFERROR(_xlfn.XLOOKUP(D92, tblCourses[CourseID], tblCourses[CourseName], ""), "")</f>
        <v>Human Factors in Aviation (Refresher)</v>
      </c>
      <c r="F92" s="17">
        <v>45852</v>
      </c>
      <c r="G92" s="17" cm="1">
        <f t="array" ref="G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46582</v>
      </c>
      <c r="H92" s="15">
        <f ca="1">IF(OR(tblTraining[[#This Row],[Status]]="Renewed",tblTraining[[#This Row],[NextDueDate]]=""),"",tblTraining[[#This Row],[NextDueDate]]-TODAY())</f>
        <v>296</v>
      </c>
      <c r="I92" s="15" t="str" cm="1">
        <f t="array" aca="1" ref="I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" spans="1:9" x14ac:dyDescent="0.25">
      <c r="A93" s="15">
        <f t="shared" si="1"/>
        <v>92</v>
      </c>
      <c r="B93" s="15" t="s">
        <v>81</v>
      </c>
      <c r="C93" s="15" t="str" cm="1">
        <f t="array" ref="C93">IFERROR(_xlfn.XLOOKUP(B93, tblPeople[PersonID], tblPeople[PersonName], ""), "")</f>
        <v>Gideon Mwasio</v>
      </c>
      <c r="D93" s="15" t="s">
        <v>24</v>
      </c>
      <c r="E93" s="16" t="str">
        <f>IFERROR(_xlfn.XLOOKUP(D93, tblCourses[CourseID], tblCourses[CourseName], ""), "")</f>
        <v>Human Factors in Aviation (Initial)</v>
      </c>
      <c r="F93" s="17">
        <v>45211</v>
      </c>
      <c r="G93" s="17" t="str" cm="1">
        <f t="array" ref="G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" s="15" t="str">
        <f ca="1">IF(OR(tblTraining[[#This Row],[Status]]="Renewed",tblTraining[[#This Row],[NextDueDate]]=""),"",tblTraining[[#This Row],[NextDueDate]]-TODAY())</f>
        <v/>
      </c>
      <c r="I93" s="15" t="str" cm="1">
        <f t="array" aca="1" ref="I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" spans="1:9" x14ac:dyDescent="0.25">
      <c r="A94" s="15">
        <f t="shared" si="1"/>
        <v>93</v>
      </c>
      <c r="B94" s="15" t="s">
        <v>107</v>
      </c>
      <c r="C94" s="15" t="str" cm="1">
        <f t="array" ref="C94">IFERROR(_xlfn.XLOOKUP(B94, tblPeople[PersonID], tblPeople[PersonName], ""), "")</f>
        <v>Julius Nyawira</v>
      </c>
      <c r="D94" s="15" t="s">
        <v>76</v>
      </c>
      <c r="E94" s="16" t="str">
        <f>IFERROR(_xlfn.XLOOKUP(D94, tblCourses[CourseID], tblCourses[CourseName], ""), "")</f>
        <v>Fuel Tank Safety Phase 1 &amp; 2 Course (Initial)</v>
      </c>
      <c r="F94" s="18">
        <v>45403</v>
      </c>
      <c r="G94" s="17" t="str" cm="1">
        <f t="array" ref="G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" s="15" t="str">
        <f ca="1">IF(OR(tblTraining[[#This Row],[Status]]="Renewed",tblTraining[[#This Row],[NextDueDate]]=""),"",tblTraining[[#This Row],[NextDueDate]]-TODAY())</f>
        <v/>
      </c>
      <c r="I94" s="15" t="str" cm="1">
        <f t="array" aca="1" ref="I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" spans="1:9" x14ac:dyDescent="0.25">
      <c r="A95" s="15">
        <f t="shared" si="1"/>
        <v>94</v>
      </c>
      <c r="B95" s="15" t="s">
        <v>112</v>
      </c>
      <c r="C95" s="15" t="str" cm="1">
        <f t="array" ref="C95">IFERROR(_xlfn.XLOOKUP(B95, tblPeople[PersonID], tblPeople[PersonName], ""), "")</f>
        <v>Patrick Mwangi</v>
      </c>
      <c r="D95" s="15" t="s">
        <v>124</v>
      </c>
      <c r="E95" s="16" t="str">
        <f>IFERROR(_xlfn.XLOOKUP(D95, tblCourses[CourseID], tblCourses[CourseName], ""), "")</f>
        <v>Aviation Security (Initial)</v>
      </c>
      <c r="F95" s="17">
        <v>45716</v>
      </c>
      <c r="G95" s="17" t="str" cm="1">
        <f t="array" ref="G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5" s="15" t="str">
        <f ca="1">IF(OR(tblTraining[[#This Row],[Status]]="Renewed",tblTraining[[#This Row],[NextDueDate]]=""),"",tblTraining[[#This Row],[NextDueDate]]-TODAY())</f>
        <v/>
      </c>
      <c r="I95" s="15" t="str" cm="1">
        <f t="array" aca="1" ref="I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" spans="1:9" x14ac:dyDescent="0.25">
      <c r="A96" s="15">
        <f t="shared" si="1"/>
        <v>95</v>
      </c>
      <c r="B96" s="15" t="s">
        <v>157</v>
      </c>
      <c r="C96" s="15" t="str" cm="1">
        <f t="array" ref="C96">IFERROR(_xlfn.XLOOKUP(B96, tblPeople[PersonID], tblPeople[PersonName], ""), "")</f>
        <v>Stephen Mutambu</v>
      </c>
      <c r="D96" s="15" t="s">
        <v>202</v>
      </c>
      <c r="E96" s="16" t="str">
        <f>IFERROR(_xlfn.XLOOKUP(D96, tblCourses[CourseID], tblCourses[CourseName], ""), "")</f>
        <v>Maintenance Procedures &amp; Standard Maintenance Practices (Refresher)</v>
      </c>
      <c r="F96" s="17">
        <v>45322</v>
      </c>
      <c r="G96" s="17" t="str" cm="1">
        <f t="array" ref="G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" s="15" t="str">
        <f ca="1">IF(OR(tblTraining[[#This Row],[Status]]="Renewed",tblTraining[[#This Row],[NextDueDate]]=""),"",tblTraining[[#This Row],[NextDueDate]]-TODAY())</f>
        <v/>
      </c>
      <c r="I96" s="15" t="str" cm="1">
        <f t="array" aca="1" ref="I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7" spans="1:9" x14ac:dyDescent="0.25">
      <c r="A97" s="15">
        <f t="shared" si="1"/>
        <v>96</v>
      </c>
      <c r="B97" s="15" t="s">
        <v>91</v>
      </c>
      <c r="C97" s="15" t="str" cm="1">
        <f t="array" ref="C97">IFERROR(_xlfn.XLOOKUP(B97, tblPeople[PersonID], tblPeople[PersonName], ""), "")</f>
        <v>Dunstan Kwalanda</v>
      </c>
      <c r="D97" s="15" t="s">
        <v>76</v>
      </c>
      <c r="E97" s="16" t="str">
        <f>IFERROR(_xlfn.XLOOKUP(D97, tblCourses[CourseID], tblCourses[CourseName], ""), "")</f>
        <v>Fuel Tank Safety Phase 1 &amp; 2 Course (Initial)</v>
      </c>
      <c r="F97" s="18">
        <v>45409</v>
      </c>
      <c r="G97" s="17" t="str" cm="1">
        <f t="array" ref="G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" s="15" t="str">
        <f ca="1">IF(OR(tblTraining[[#This Row],[Status]]="Renewed",tblTraining[[#This Row],[NextDueDate]]=""),"",tblTraining[[#This Row],[NextDueDate]]-TODAY())</f>
        <v/>
      </c>
      <c r="I97" s="15" t="str" cm="1">
        <f t="array" aca="1" ref="I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" spans="1:9" x14ac:dyDescent="0.25">
      <c r="A98" s="15">
        <f t="shared" si="1"/>
        <v>97</v>
      </c>
      <c r="B98" s="15" t="s">
        <v>135</v>
      </c>
      <c r="C98" s="15" t="str" cm="1">
        <f t="array" ref="C98">IFERROR(_xlfn.XLOOKUP(B98, tblPeople[PersonID], tblPeople[PersonName], ""), "")</f>
        <v>Francis Muriuki</v>
      </c>
      <c r="D98" s="15" t="s">
        <v>28</v>
      </c>
      <c r="E98" s="16" t="str">
        <f>IFERROR(_xlfn.XLOOKUP(D98, tblCourses[CourseID], tblCourses[CourseName], ""), "")</f>
        <v>DHC-8 100/200/300 with PWC 120/120A/121/123B/C/D/E Series Engines(Refresher)</v>
      </c>
      <c r="F98" s="17">
        <v>45856</v>
      </c>
      <c r="G98" s="17" cm="1">
        <f t="array" ref="G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98" s="15">
        <f ca="1">IF(OR(tblTraining[[#This Row],[Status]]="Renewed",tblTraining[[#This Row],[NextDueDate]]=""),"",tblTraining[[#This Row],[NextDueDate]]-TODAY())</f>
        <v>300</v>
      </c>
      <c r="I98" s="15" t="str" cm="1">
        <f t="array" aca="1" ref="I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" spans="1:9" x14ac:dyDescent="0.25">
      <c r="A99" s="15">
        <f t="shared" si="1"/>
        <v>98</v>
      </c>
      <c r="B99" s="15" t="s">
        <v>105</v>
      </c>
      <c r="C99" s="15" t="str" cm="1">
        <f t="array" ref="C99">IFERROR(_xlfn.XLOOKUP(B99, tblPeople[PersonID], tblPeople[PersonName], ""), "")</f>
        <v>Fred Magotsi</v>
      </c>
      <c r="D99" s="15" t="s">
        <v>181</v>
      </c>
      <c r="E99" s="16" t="str">
        <f>IFERROR(_xlfn.XLOOKUP(D99, tblCourses[CourseID], tblCourses[CourseName], ""), "")</f>
        <v>Cessna 208 Series (Caravan) With P&amp;WC PT6A-114/ -114A/ -140 Engines (Initial)</v>
      </c>
      <c r="F99" s="17">
        <v>45814</v>
      </c>
      <c r="G99" s="17" t="str" cm="1">
        <f t="array" ref="G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" s="15" t="str">
        <f ca="1">IF(OR(tblTraining[[#This Row],[Status]]="Renewed",tblTraining[[#This Row],[NextDueDate]]=""),"",tblTraining[[#This Row],[NextDueDate]]-TODAY())</f>
        <v/>
      </c>
      <c r="I99" s="15" t="str" cm="1">
        <f t="array" aca="1" ref="I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" spans="1:9" x14ac:dyDescent="0.25">
      <c r="A100" s="15">
        <f t="shared" si="1"/>
        <v>99</v>
      </c>
      <c r="B100" s="15" t="s">
        <v>81</v>
      </c>
      <c r="C100" s="15" t="str" cm="1">
        <f t="array" ref="C100">IFERROR(_xlfn.XLOOKUP(B100, tblPeople[PersonID], tblPeople[PersonName], ""), "")</f>
        <v>Gideon Mwasio</v>
      </c>
      <c r="D100" s="15" t="s">
        <v>22</v>
      </c>
      <c r="E100" s="16" t="str">
        <f>IFERROR(_xlfn.XLOOKUP(D100, tblCourses[CourseID], tblCourses[CourseName], ""), "")</f>
        <v>Human Factors in Aviation (Refresher)</v>
      </c>
      <c r="F100" s="17">
        <v>45211</v>
      </c>
      <c r="G100" s="17" t="str" cm="1">
        <f t="array" ref="G1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" s="15" t="str">
        <f ca="1">IF(OR(tblTraining[[#This Row],[Status]]="Renewed",tblTraining[[#This Row],[NextDueDate]]=""),"",tblTraining[[#This Row],[NextDueDate]]-TODAY())</f>
        <v/>
      </c>
      <c r="I100" s="15" t="str" cm="1">
        <f t="array" aca="1" ref="I1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1" spans="1:9" x14ac:dyDescent="0.25">
      <c r="A101" s="15">
        <f t="shared" si="1"/>
        <v>100</v>
      </c>
      <c r="B101" s="15" t="s">
        <v>107</v>
      </c>
      <c r="C101" s="15" t="str" cm="1">
        <f t="array" ref="C101">IFERROR(_xlfn.XLOOKUP(B101, tblPeople[PersonID], tblPeople[PersonName], ""), "")</f>
        <v>Julius Nyawira</v>
      </c>
      <c r="D101" s="15" t="s">
        <v>78</v>
      </c>
      <c r="E101" s="16" t="str">
        <f>IFERROR(_xlfn.XLOOKUP(D101, tblCourses[CourseID], tblCourses[CourseName], ""), "")</f>
        <v>DHC8 -100/-200/-300 Collins Wheels &amp; Brakes Familiarization Training (Initial)</v>
      </c>
      <c r="F101" s="18">
        <v>45637</v>
      </c>
      <c r="G101" s="17" t="str" cm="1">
        <f t="array" ref="G1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1" s="15" t="str">
        <f ca="1">IF(OR(tblTraining[[#This Row],[Status]]="Renewed",tblTraining[[#This Row],[NextDueDate]]=""),"",tblTraining[[#This Row],[NextDueDate]]-TODAY())</f>
        <v/>
      </c>
      <c r="I101" s="15" t="str" cm="1">
        <f t="array" aca="1" ref="I1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" spans="1:9" x14ac:dyDescent="0.25">
      <c r="A102" s="15">
        <f t="shared" si="1"/>
        <v>101</v>
      </c>
      <c r="B102" s="15" t="s">
        <v>112</v>
      </c>
      <c r="C102" s="15" t="str" cm="1">
        <f t="array" ref="C102">IFERROR(_xlfn.XLOOKUP(B102, tblPeople[PersonID], tblPeople[PersonName], ""), "")</f>
        <v>Patrick Mwangi</v>
      </c>
      <c r="D102" s="15" t="s">
        <v>77</v>
      </c>
      <c r="E102" s="16" t="str">
        <f>IFERROR(_xlfn.XLOOKUP(D102, tblCourses[CourseID], tblCourses[CourseName], ""), "")</f>
        <v>DHC8 -100/-200/-300 Collins Wheels &amp; Brakes Familiarization Training (Refresher)</v>
      </c>
      <c r="F102" s="17">
        <v>45637</v>
      </c>
      <c r="G102" s="17" cm="1">
        <f t="array" ref="G1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02" s="15">
        <f ca="1">IF(OR(tblTraining[[#This Row],[Status]]="Renewed",tblTraining[[#This Row],[NextDueDate]]=""),"",tblTraining[[#This Row],[NextDueDate]]-TODAY())</f>
        <v>81</v>
      </c>
      <c r="I102" s="15" t="str" cm="1">
        <f t="array" aca="1" ref="I1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" spans="1:9" x14ac:dyDescent="0.25">
      <c r="A103" s="15">
        <f t="shared" si="1"/>
        <v>102</v>
      </c>
      <c r="B103" s="15" t="s">
        <v>157</v>
      </c>
      <c r="C103" s="15" t="str" cm="1">
        <f t="array" ref="C103">IFERROR(_xlfn.XLOOKUP(B103, tblPeople[PersonID], tblPeople[PersonName], ""), "")</f>
        <v>Stephen Mutambu</v>
      </c>
      <c r="D103" s="15" t="s">
        <v>22</v>
      </c>
      <c r="E103" s="16" t="str">
        <f>IFERROR(_xlfn.XLOOKUP(D103, tblCourses[CourseID], tblCourses[CourseName], ""), "")</f>
        <v>Human Factors in Aviation (Refresher)</v>
      </c>
      <c r="F103" s="17">
        <v>44987</v>
      </c>
      <c r="G103" s="17" t="str" cm="1">
        <f t="array" ref="G1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" s="15" t="str">
        <f ca="1">IF(OR(tblTraining[[#This Row],[Status]]="Renewed",tblTraining[[#This Row],[NextDueDate]]=""),"",tblTraining[[#This Row],[NextDueDate]]-TODAY())</f>
        <v/>
      </c>
      <c r="I103" s="15" t="str" cm="1">
        <f t="array" aca="1" ref="I1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4" spans="1:9" x14ac:dyDescent="0.25">
      <c r="A104" s="15">
        <f t="shared" si="1"/>
        <v>103</v>
      </c>
      <c r="B104" s="15" t="s">
        <v>91</v>
      </c>
      <c r="C104" s="15" t="str" cm="1">
        <f t="array" ref="C104">IFERROR(_xlfn.XLOOKUP(B104, tblPeople[PersonID], tblPeople[PersonName], ""), "")</f>
        <v>Dunstan Kwalanda</v>
      </c>
      <c r="D104" s="15" t="s">
        <v>78</v>
      </c>
      <c r="E104" s="16" t="str">
        <f>IFERROR(_xlfn.XLOOKUP(D104, tblCourses[CourseID], tblCourses[CourseName], ""), "")</f>
        <v>DHC8 -100/-200/-300 Collins Wheels &amp; Brakes Familiarization Training (Initial)</v>
      </c>
      <c r="F104" s="18">
        <v>45637</v>
      </c>
      <c r="G104" s="17" t="str" cm="1">
        <f t="array" ref="G1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" s="15" t="str">
        <f ca="1">IF(OR(tblTraining[[#This Row],[Status]]="Renewed",tblTraining[[#This Row],[NextDueDate]]=""),"",tblTraining[[#This Row],[NextDueDate]]-TODAY())</f>
        <v/>
      </c>
      <c r="I104" s="15" t="str" cm="1">
        <f t="array" aca="1" ref="I1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" spans="1:9" x14ac:dyDescent="0.25">
      <c r="A105" s="15">
        <f t="shared" si="1"/>
        <v>104</v>
      </c>
      <c r="B105" s="15" t="s">
        <v>135</v>
      </c>
      <c r="C105" s="15" t="str" cm="1">
        <f t="array" ref="C105">IFERROR(_xlfn.XLOOKUP(B105, tblPeople[PersonID], tblPeople[PersonName], ""), "")</f>
        <v>Francis Muriuki</v>
      </c>
      <c r="D105" s="15" t="s">
        <v>229</v>
      </c>
      <c r="E105" s="16" t="str">
        <f>IFERROR(_xlfn.XLOOKUP(D105, tblCourses[CourseID], tblCourses[CourseName], ""), "")</f>
        <v>Core Instructional Technique (Refresher)</v>
      </c>
      <c r="F105" s="17">
        <v>45816</v>
      </c>
      <c r="G105" s="17" cm="1">
        <f t="array" ref="G1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46546</v>
      </c>
      <c r="H105" s="15">
        <f ca="1">IF(OR(tblTraining[[#This Row],[Status]]="Renewed",tblTraining[[#This Row],[NextDueDate]]=""),"",tblTraining[[#This Row],[NextDueDate]]-TODAY())</f>
        <v>260</v>
      </c>
      <c r="I105" s="15" t="str" cm="1">
        <f t="array" aca="1" ref="I1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" spans="1:9" x14ac:dyDescent="0.25">
      <c r="A106" s="15">
        <f t="shared" si="1"/>
        <v>105</v>
      </c>
      <c r="B106" s="15" t="s">
        <v>105</v>
      </c>
      <c r="C106" s="15" t="str" cm="1">
        <f t="array" ref="C106">IFERROR(_xlfn.XLOOKUP(B106, tblPeople[PersonID], tblPeople[PersonName], ""), "")</f>
        <v>Fred Magotsi</v>
      </c>
      <c r="D106" s="15" t="s">
        <v>182</v>
      </c>
      <c r="E106" s="16" t="str">
        <f>IFERROR(_xlfn.XLOOKUP(D106, tblCourses[CourseID], tblCourses[CourseName], ""), "")</f>
        <v>Cessna 208 Series (Caravan) With P&amp;WC PT6A-114/ -114A/ -140 Engines (Refresher)</v>
      </c>
      <c r="F106" s="17">
        <v>45814</v>
      </c>
      <c r="G106" s="17" cm="1">
        <f t="array" ref="G1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46544</v>
      </c>
      <c r="H106" s="15">
        <f ca="1">IF(OR(tblTraining[[#This Row],[Status]]="Renewed",tblTraining[[#This Row],[NextDueDate]]=""),"",tblTraining[[#This Row],[NextDueDate]]-TODAY())</f>
        <v>258</v>
      </c>
      <c r="I106" s="15" t="str" cm="1">
        <f t="array" aca="1" ref="I1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" spans="1:9" x14ac:dyDescent="0.25">
      <c r="A107" s="15">
        <f t="shared" si="1"/>
        <v>106</v>
      </c>
      <c r="B107" s="15" t="s">
        <v>81</v>
      </c>
      <c r="C107" s="15" t="str" cm="1">
        <f t="array" ref="C107">IFERROR(_xlfn.XLOOKUP(B107, tblPeople[PersonID], tblPeople[PersonName], ""), "")</f>
        <v>Gideon Mwasio</v>
      </c>
      <c r="D107" s="15" t="s">
        <v>78</v>
      </c>
      <c r="E107" s="16" t="str">
        <f>IFERROR(_xlfn.XLOOKUP(D107, tblCourses[CourseID], tblCourses[CourseName], ""), "")</f>
        <v>DHC8 -100/-200/-300 Collins Wheels &amp; Brakes Familiarization Training (Initial)</v>
      </c>
      <c r="F107" s="17">
        <v>45637</v>
      </c>
      <c r="G107" s="17" t="str" cm="1">
        <f t="array" ref="G1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" s="15" t="str">
        <f ca="1">IF(OR(tblTraining[[#This Row],[Status]]="Renewed",tblTraining[[#This Row],[NextDueDate]]=""),"",tblTraining[[#This Row],[NextDueDate]]-TODAY())</f>
        <v/>
      </c>
      <c r="I107" s="15" t="str" cm="1">
        <f t="array" aca="1" ref="I1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" spans="1:9" x14ac:dyDescent="0.25">
      <c r="A108" s="15">
        <f t="shared" si="1"/>
        <v>107</v>
      </c>
      <c r="B108" s="15" t="s">
        <v>107</v>
      </c>
      <c r="C108" s="15" t="str" cm="1">
        <f t="array" ref="C108">IFERROR(_xlfn.XLOOKUP(B108, tblPeople[PersonID], tblPeople[PersonName], ""), "")</f>
        <v>Julius Nyawira</v>
      </c>
      <c r="D108" s="15" t="s">
        <v>17</v>
      </c>
      <c r="E108" s="16" t="str">
        <f>IFERROR(_xlfn.XLOOKUP(D108, tblCourses[CourseID], tblCourses[CourseName], ""), "")</f>
        <v>Safety Management Systems (Refresher)</v>
      </c>
      <c r="F108" s="18">
        <v>45750</v>
      </c>
      <c r="G108" s="17" cm="1">
        <f t="array" ref="G1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46480</v>
      </c>
      <c r="H108" s="15">
        <f ca="1">IF(OR(tblTraining[[#This Row],[Status]]="Renewed",tblTraining[[#This Row],[NextDueDate]]=""),"",tblTraining[[#This Row],[NextDueDate]]-TODAY())</f>
        <v>194</v>
      </c>
      <c r="I108" s="15" t="str" cm="1">
        <f t="array" aca="1" ref="I1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" spans="1:9" x14ac:dyDescent="0.25">
      <c r="A109" s="15">
        <f t="shared" si="1"/>
        <v>108</v>
      </c>
      <c r="B109" s="15" t="s">
        <v>101</v>
      </c>
      <c r="C109" s="15" t="str" cm="1">
        <f t="array" ref="C109">IFERROR(_xlfn.XLOOKUP(B109, tblPeople[PersonID], tblPeople[PersonName], ""), "")</f>
        <v>Paul Mzera</v>
      </c>
      <c r="D109" s="15" t="s">
        <v>126</v>
      </c>
      <c r="E109" s="16" t="str">
        <f>IFERROR(_xlfn.XLOOKUP(D109, tblCourses[CourseID], tblCourses[CourseName], ""), "")</f>
        <v>Maintenance Indoctrination</v>
      </c>
      <c r="F109" s="17">
        <v>44686</v>
      </c>
      <c r="G109" s="17" t="str" cm="1">
        <f t="array" ref="G1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" s="15" t="str">
        <f ca="1">IF(OR(tblTraining[[#This Row],[Status]]="Renewed",tblTraining[[#This Row],[NextDueDate]]=""),"",tblTraining[[#This Row],[NextDueDate]]-TODAY())</f>
        <v/>
      </c>
      <c r="I109" s="15" t="str" cm="1">
        <f t="array" aca="1" ref="I1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" spans="1:9" x14ac:dyDescent="0.25">
      <c r="A110" s="15">
        <f t="shared" si="1"/>
        <v>109</v>
      </c>
      <c r="B110" s="15" t="s">
        <v>157</v>
      </c>
      <c r="C110" s="15" t="str" cm="1">
        <f t="array" ref="C110">IFERROR(_xlfn.XLOOKUP(B110, tblPeople[PersonID], tblPeople[PersonName], ""), "")</f>
        <v>Stephen Mutambu</v>
      </c>
      <c r="D110" s="15" t="s">
        <v>169</v>
      </c>
      <c r="E110" s="16" t="str">
        <f>IFERROR(_xlfn.XLOOKUP(D110, tblCourses[CourseID], tblCourses[CourseName], ""), "")</f>
        <v xml:space="preserve">Aircraft Reliability </v>
      </c>
      <c r="F110" s="17">
        <v>44545</v>
      </c>
      <c r="G110" s="17" t="str" cm="1">
        <f t="array" ref="G1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" s="15" t="str">
        <f ca="1">IF(OR(tblTraining[[#This Row],[Status]]="Renewed",tblTraining[[#This Row],[NextDueDate]]=""),"",tblTraining[[#This Row],[NextDueDate]]-TODAY())</f>
        <v/>
      </c>
      <c r="I110" s="15" t="str" cm="1">
        <f t="array" aca="1" ref="I1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" spans="1:9" x14ac:dyDescent="0.25">
      <c r="A111" s="15">
        <f t="shared" si="1"/>
        <v>110</v>
      </c>
      <c r="B111" s="15" t="s">
        <v>91</v>
      </c>
      <c r="C111" s="15" t="str" cm="1">
        <f t="array" ref="C111">IFERROR(_xlfn.XLOOKUP(B111, tblPeople[PersonID], tblPeople[PersonName], ""), "")</f>
        <v>Dunstan Kwalanda</v>
      </c>
      <c r="D111" s="15" t="s">
        <v>32</v>
      </c>
      <c r="E111" s="16" t="str">
        <f>IFERROR(_xlfn.XLOOKUP(D111, tblCourses[CourseID], tblCourses[CourseName], ""), "")</f>
        <v>Dangerous Goods Regulations (CBTA 7.3) (Initial)</v>
      </c>
      <c r="F111" s="18">
        <v>45427</v>
      </c>
      <c r="G111" s="17" t="str" cm="1">
        <f t="array" ref="G1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" s="15" t="str">
        <f ca="1">IF(OR(tblTraining[[#This Row],[Status]]="Renewed",tblTraining[[#This Row],[NextDueDate]]=""),"",tblTraining[[#This Row],[NextDueDate]]-TODAY())</f>
        <v/>
      </c>
      <c r="I111" s="15" t="str" cm="1">
        <f t="array" aca="1" ref="I1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" spans="1:9" x14ac:dyDescent="0.25">
      <c r="A112" s="15">
        <f t="shared" si="1"/>
        <v>111</v>
      </c>
      <c r="B112" s="15" t="s">
        <v>135</v>
      </c>
      <c r="C112" s="15" t="str" cm="1">
        <f t="array" ref="C112">IFERROR(_xlfn.XLOOKUP(B112, tblPeople[PersonID], tblPeople[PersonName], ""), "")</f>
        <v>Francis Muriuki</v>
      </c>
      <c r="D112" s="15" t="s">
        <v>179</v>
      </c>
      <c r="E112" s="16" t="str">
        <f>IFERROR(_xlfn.XLOOKUP(D112, tblCourses[CourseID], tblCourses[CourseName], ""), "")</f>
        <v>Aircraft Maintenance Engineers' Licence</v>
      </c>
      <c r="F112" s="17">
        <v>45417</v>
      </c>
      <c r="G112" s="17" t="str" cm="1">
        <f t="array" ref="G1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" s="15" t="str">
        <f ca="1">IF(OR(tblTraining[[#This Row],[Status]]="Renewed",tblTraining[[#This Row],[NextDueDate]]=""),"",tblTraining[[#This Row],[NextDueDate]]-TODAY())</f>
        <v/>
      </c>
      <c r="I112" s="15" t="str" cm="1">
        <f t="array" aca="1" ref="I1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3" spans="1:9" x14ac:dyDescent="0.25">
      <c r="A113" s="15">
        <f t="shared" si="1"/>
        <v>112</v>
      </c>
      <c r="B113" s="15" t="s">
        <v>105</v>
      </c>
      <c r="C113" s="15" t="str" cm="1">
        <f t="array" ref="C113">IFERROR(_xlfn.XLOOKUP(B113, tblPeople[PersonID], tblPeople[PersonName], ""), "")</f>
        <v>Fred Magotsi</v>
      </c>
      <c r="D113" s="15" t="s">
        <v>77</v>
      </c>
      <c r="E113" s="16" t="str">
        <f>IFERROR(_xlfn.XLOOKUP(D113, tblCourses[CourseID], tblCourses[CourseName], ""), "")</f>
        <v>DHC8 -100/-200/-300 Collins Wheels &amp; Brakes Familiarization Training (Refresher)</v>
      </c>
      <c r="F113" s="17">
        <v>45637</v>
      </c>
      <c r="G113" s="17" cm="1">
        <f t="array" ref="G1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13" s="15">
        <f ca="1">IF(OR(tblTraining[[#This Row],[Status]]="Renewed",tblTraining[[#This Row],[NextDueDate]]=""),"",tblTraining[[#This Row],[NextDueDate]]-TODAY())</f>
        <v>81</v>
      </c>
      <c r="I113" s="15" t="str" cm="1">
        <f t="array" aca="1" ref="I1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" spans="1:9" x14ac:dyDescent="0.25">
      <c r="A114" s="15">
        <f t="shared" si="1"/>
        <v>113</v>
      </c>
      <c r="B114" s="15" t="s">
        <v>81</v>
      </c>
      <c r="C114" s="15" t="str" cm="1">
        <f t="array" ref="C114">IFERROR(_xlfn.XLOOKUP(B114, tblPeople[PersonID], tblPeople[PersonName], ""), "")</f>
        <v>Gideon Mwasio</v>
      </c>
      <c r="D114" s="15" t="s">
        <v>77</v>
      </c>
      <c r="E114" s="16" t="str">
        <f>IFERROR(_xlfn.XLOOKUP(D114, tblCourses[CourseID], tblCourses[CourseName], ""), "")</f>
        <v>DHC8 -100/-200/-300 Collins Wheels &amp; Brakes Familiarization Training (Refresher)</v>
      </c>
      <c r="F114" s="17">
        <v>45637</v>
      </c>
      <c r="G114" s="17" cm="1">
        <f t="array" ref="G1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14" s="15">
        <f ca="1">IF(OR(tblTraining[[#This Row],[Status]]="Renewed",tblTraining[[#This Row],[NextDueDate]]=""),"",tblTraining[[#This Row],[NextDueDate]]-TODAY())</f>
        <v>81</v>
      </c>
      <c r="I114" s="15" t="str" cm="1">
        <f t="array" aca="1" ref="I1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" spans="1:9" x14ac:dyDescent="0.25">
      <c r="A115" s="15">
        <f t="shared" si="1"/>
        <v>114</v>
      </c>
      <c r="B115" s="15" t="s">
        <v>107</v>
      </c>
      <c r="C115" s="15" t="str" cm="1">
        <f t="array" ref="C115">IFERROR(_xlfn.XLOOKUP(B115, tblPeople[PersonID], tblPeople[PersonName], ""), "")</f>
        <v>Julius Nyawira</v>
      </c>
      <c r="D115" s="15" t="s">
        <v>109</v>
      </c>
      <c r="E115" s="16" t="str">
        <f>IFERROR(_xlfn.XLOOKUP(D115, tblCourses[CourseID], tblCourses[CourseName], ""), "")</f>
        <v>Electrical Wiring Interconnection System Target Groups 1 &amp; 2 (Refresher)</v>
      </c>
      <c r="F115" s="17">
        <v>45796</v>
      </c>
      <c r="G115" s="17" t="str" cm="1">
        <f t="array" ref="G1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5" s="15" t="str">
        <f ca="1">IF(OR(tblTraining[[#This Row],[Status]]="Renewed",tblTraining[[#This Row],[NextDueDate]]=""),"",tblTraining[[#This Row],[NextDueDate]]-TODAY())</f>
        <v/>
      </c>
      <c r="I115" s="15" t="str" cm="1">
        <f t="array" aca="1" ref="I1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6" spans="1:9" x14ac:dyDescent="0.25">
      <c r="A116" s="15">
        <f t="shared" si="1"/>
        <v>115</v>
      </c>
      <c r="B116" s="15" t="s">
        <v>101</v>
      </c>
      <c r="C116" s="15" t="str" cm="1">
        <f t="array" ref="C116">IFERROR(_xlfn.XLOOKUP(B116, tblPeople[PersonID], tblPeople[PersonName], ""), "")</f>
        <v>Paul Mzera</v>
      </c>
      <c r="D116" s="15" t="s">
        <v>179</v>
      </c>
      <c r="E116" s="16" t="str">
        <f>IFERROR(_xlfn.XLOOKUP(D116, tblCourses[CourseID], tblCourses[CourseName], ""), "")</f>
        <v>Aircraft Maintenance Engineers' Licence</v>
      </c>
      <c r="F116" s="17">
        <v>45716</v>
      </c>
      <c r="G116" s="17" cm="1">
        <f t="array" ref="G1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16" s="15">
        <f ca="1">IF(OR(tblTraining[[#This Row],[Status]]="Renewed",tblTraining[[#This Row],[NextDueDate]]=""),"",tblTraining[[#This Row],[NextDueDate]]-TODAY())</f>
        <v>160</v>
      </c>
      <c r="I116" s="15" t="str" cm="1">
        <f t="array" aca="1" ref="I1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" spans="1:9" x14ac:dyDescent="0.25">
      <c r="A117" s="15">
        <f t="shared" si="1"/>
        <v>116</v>
      </c>
      <c r="B117" s="15" t="s">
        <v>93</v>
      </c>
      <c r="C117" s="15" t="str" cm="1">
        <f t="array" ref="C117">IFERROR(_xlfn.XLOOKUP(B117, tblPeople[PersonID], tblPeople[PersonName], ""), "")</f>
        <v>Stephen Tunje</v>
      </c>
      <c r="D117" s="15" t="s">
        <v>126</v>
      </c>
      <c r="E117" s="16" t="str">
        <f>IFERROR(_xlfn.XLOOKUP(D117, tblCourses[CourseID], tblCourses[CourseName], ""), "")</f>
        <v>Maintenance Indoctrination</v>
      </c>
      <c r="F117" s="17">
        <v>45146</v>
      </c>
      <c r="G117" s="17" t="str" cm="1">
        <f t="array" ref="G1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" s="15" t="str">
        <f ca="1">IF(OR(tblTraining[[#This Row],[Status]]="Renewed",tblTraining[[#This Row],[NextDueDate]]=""),"",tblTraining[[#This Row],[NextDueDate]]-TODAY())</f>
        <v/>
      </c>
      <c r="I117" s="15" t="str" cm="1">
        <f t="array" aca="1" ref="I1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" spans="1:9" x14ac:dyDescent="0.25">
      <c r="A118" s="15">
        <f t="shared" si="1"/>
        <v>117</v>
      </c>
      <c r="B118" s="15" t="s">
        <v>91</v>
      </c>
      <c r="C118" s="15" t="str" cm="1">
        <f t="array" ref="C118">IFERROR(_xlfn.XLOOKUP(B118, tblPeople[PersonID], tblPeople[PersonName], ""), "")</f>
        <v>Dunstan Kwalanda</v>
      </c>
      <c r="D118" s="15" t="s">
        <v>137</v>
      </c>
      <c r="E118" s="16" t="str">
        <f>IFERROR(_xlfn.XLOOKUP(D118, tblCourses[CourseID], tblCourses[CourseName], ""), "")</f>
        <v>GARMIN 1000 Avionics</v>
      </c>
      <c r="F118" s="18">
        <v>45505</v>
      </c>
      <c r="G118" s="17" t="str" cm="1">
        <f t="array" ref="G1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" s="15" t="str">
        <f ca="1">IF(OR(tblTraining[[#This Row],[Status]]="Renewed",tblTraining[[#This Row],[NextDueDate]]=""),"",tblTraining[[#This Row],[NextDueDate]]-TODAY())</f>
        <v/>
      </c>
      <c r="I118" s="15" t="str" cm="1">
        <f t="array" aca="1" ref="I1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" spans="1:9" x14ac:dyDescent="0.25">
      <c r="A119" s="15">
        <f t="shared" si="1"/>
        <v>118</v>
      </c>
      <c r="B119" s="15" t="s">
        <v>135</v>
      </c>
      <c r="C119" s="15" t="str" cm="1">
        <f t="array" ref="C119">IFERROR(_xlfn.XLOOKUP(B119, tblPeople[PersonID], tblPeople[PersonName], ""), "")</f>
        <v>Francis Muriuki</v>
      </c>
      <c r="D119" s="15" t="s">
        <v>223</v>
      </c>
      <c r="E119" s="16" t="str">
        <f>IFERROR(_xlfn.XLOOKUP(D119, tblCourses[CourseID], tblCourses[CourseName], ""), "")</f>
        <v>SOCATA TBM 700 Series (Refresher)</v>
      </c>
      <c r="F119" s="17">
        <v>45733</v>
      </c>
      <c r="G119" s="17" cm="1">
        <f t="array" ref="G1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119" s="15">
        <f ca="1">IF(OR(tblTraining[[#This Row],[Status]]="Renewed",tblTraining[[#This Row],[NextDueDate]]=""),"",tblTraining[[#This Row],[NextDueDate]]-TODAY())</f>
        <v>177</v>
      </c>
      <c r="I119" s="15" t="str" cm="1">
        <f t="array" aca="1" ref="I1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" spans="1:9" x14ac:dyDescent="0.25">
      <c r="A120" s="15">
        <f t="shared" si="1"/>
        <v>119</v>
      </c>
      <c r="B120" s="15" t="s">
        <v>105</v>
      </c>
      <c r="C120" s="15" t="str" cm="1">
        <f t="array" ref="C120">IFERROR(_xlfn.XLOOKUP(B120, tblPeople[PersonID], tblPeople[PersonName], ""), "")</f>
        <v>Fred Magotsi</v>
      </c>
      <c r="D120" s="15" t="s">
        <v>132</v>
      </c>
      <c r="E120" s="16" t="str">
        <f>IFERROR(_xlfn.XLOOKUP(D120, tblCourses[CourseID], tblCourses[CourseName], ""), "")</f>
        <v>Marshalling Techniques Course</v>
      </c>
      <c r="F120" s="17">
        <v>45470</v>
      </c>
      <c r="G120" s="17" t="str" cm="1">
        <f t="array" ref="G1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" s="15" t="str">
        <f ca="1">IF(OR(tblTraining[[#This Row],[Status]]="Renewed",tblTraining[[#This Row],[NextDueDate]]=""),"",tblTraining[[#This Row],[NextDueDate]]-TODAY())</f>
        <v/>
      </c>
      <c r="I120" s="15" t="str" cm="1">
        <f t="array" aca="1" ref="I1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" spans="1:9" x14ac:dyDescent="0.25">
      <c r="A121" s="15">
        <f t="shared" si="1"/>
        <v>120</v>
      </c>
      <c r="B121" s="15" t="s">
        <v>166</v>
      </c>
      <c r="C121" s="15" t="str" cm="1">
        <f t="array" ref="C121">IFERROR(_xlfn.XLOOKUP(B121, tblPeople[PersonID], tblPeople[PersonName], ""), "")</f>
        <v>Hannah Wambui</v>
      </c>
      <c r="D121" s="15" t="s">
        <v>126</v>
      </c>
      <c r="E121" s="16" t="str">
        <f>IFERROR(_xlfn.XLOOKUP(D121, tblCourses[CourseID], tblCourses[CourseName], ""), "")</f>
        <v>Maintenance Indoctrination</v>
      </c>
      <c r="F121" s="17">
        <v>44198</v>
      </c>
      <c r="G121" s="17" t="str" cm="1">
        <f t="array" ref="G1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" s="15" t="str">
        <f ca="1">IF(OR(tblTraining[[#This Row],[Status]]="Renewed",tblTraining[[#This Row],[NextDueDate]]=""),"",tblTraining[[#This Row],[NextDueDate]]-TODAY())</f>
        <v/>
      </c>
      <c r="I121" s="15" t="str" cm="1">
        <f t="array" aca="1" ref="I1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" spans="1:9" x14ac:dyDescent="0.25">
      <c r="A122" s="15">
        <f t="shared" si="1"/>
        <v>121</v>
      </c>
      <c r="B122" s="15" t="s">
        <v>107</v>
      </c>
      <c r="C122" s="15" t="str" cm="1">
        <f t="array" ref="C122">IFERROR(_xlfn.XLOOKUP(B122, tblPeople[PersonID], tblPeople[PersonName], ""), "")</f>
        <v>Julius Nyawira</v>
      </c>
      <c r="D122" s="15" t="s">
        <v>109</v>
      </c>
      <c r="E122" s="16" t="str">
        <f>IFERROR(_xlfn.XLOOKUP(D122, tblCourses[CourseID], tblCourses[CourseName], ""), "")</f>
        <v>Electrical Wiring Interconnection System Target Groups 1 &amp; 2 (Refresher)</v>
      </c>
      <c r="F122" s="17">
        <v>45803</v>
      </c>
      <c r="G122" s="17" cm="1">
        <f t="array" ref="G1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46533</v>
      </c>
      <c r="H122" s="15">
        <f ca="1">IF(OR(tblTraining[[#This Row],[Status]]="Renewed",tblTraining[[#This Row],[NextDueDate]]=""),"",tblTraining[[#This Row],[NextDueDate]]-TODAY())</f>
        <v>247</v>
      </c>
      <c r="I122" s="15" t="str" cm="1">
        <f t="array" aca="1" ref="I1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" spans="1:9" x14ac:dyDescent="0.25">
      <c r="A123" s="15">
        <f t="shared" si="1"/>
        <v>122</v>
      </c>
      <c r="B123" s="15" t="s">
        <v>101</v>
      </c>
      <c r="C123" s="15" t="str" cm="1">
        <f t="array" ref="C123">IFERROR(_xlfn.XLOOKUP(B123, tblPeople[PersonID], tblPeople[PersonName], ""), "")</f>
        <v>Paul Mzera</v>
      </c>
      <c r="D123" s="15" t="s">
        <v>77</v>
      </c>
      <c r="E123" s="16" t="str">
        <f>IFERROR(_xlfn.XLOOKUP(D123, tblCourses[CourseID], tblCourses[CourseName], ""), "")</f>
        <v>DHC8 -100/-200/-300 Collins Wheels &amp; Brakes Familiarization Training (Refresher)</v>
      </c>
      <c r="F123" s="17">
        <v>45637</v>
      </c>
      <c r="G123" s="17" cm="1">
        <f t="array" ref="G1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23" s="15">
        <f ca="1">IF(OR(tblTraining[[#This Row],[Status]]="Renewed",tblTraining[[#This Row],[NextDueDate]]=""),"",tblTraining[[#This Row],[NextDueDate]]-TODAY())</f>
        <v>81</v>
      </c>
      <c r="I123" s="15" t="str" cm="1">
        <f t="array" aca="1" ref="I1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" spans="1:9" x14ac:dyDescent="0.25">
      <c r="A124" s="15">
        <f t="shared" si="1"/>
        <v>123</v>
      </c>
      <c r="B124" s="15" t="s">
        <v>93</v>
      </c>
      <c r="C124" s="15" t="str" cm="1">
        <f t="array" ref="C124">IFERROR(_xlfn.XLOOKUP(B124, tblPeople[PersonID], tblPeople[PersonName], ""), "")</f>
        <v>Stephen Tunje</v>
      </c>
      <c r="D124" s="15" t="s">
        <v>78</v>
      </c>
      <c r="E124" s="16" t="str">
        <f>IFERROR(_xlfn.XLOOKUP(D124, tblCourses[CourseID], tblCourses[CourseName], ""), "")</f>
        <v>DHC8 -100/-200/-300 Collins Wheels &amp; Brakes Familiarization Training (Initial)</v>
      </c>
      <c r="F124" s="17">
        <v>45637</v>
      </c>
      <c r="G124" s="17" t="str" cm="1">
        <f t="array" ref="G1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" s="15" t="str">
        <f ca="1">IF(OR(tblTraining[[#This Row],[Status]]="Renewed",tblTraining[[#This Row],[NextDueDate]]=""),"",tblTraining[[#This Row],[NextDueDate]]-TODAY())</f>
        <v/>
      </c>
      <c r="I124" s="15" t="str" cm="1">
        <f t="array" aca="1" ref="I1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" spans="1:9" x14ac:dyDescent="0.25">
      <c r="A125" s="15">
        <f t="shared" si="1"/>
        <v>124</v>
      </c>
      <c r="B125" s="15" t="s">
        <v>91</v>
      </c>
      <c r="C125" s="15" t="str" cm="1">
        <f t="array" ref="C125">IFERROR(_xlfn.XLOOKUP(B125, tblPeople[PersonID], tblPeople[PersonName], ""), "")</f>
        <v>Dunstan Kwalanda</v>
      </c>
      <c r="D125" s="15" t="s">
        <v>22</v>
      </c>
      <c r="E125" s="16" t="str">
        <f>IFERROR(_xlfn.XLOOKUP(D125, tblCourses[CourseID], tblCourses[CourseName], ""), "")</f>
        <v>Human Factors in Aviation (Refresher)</v>
      </c>
      <c r="F125" s="18">
        <v>45943</v>
      </c>
      <c r="G125" s="17" t="str" cm="1">
        <f t="array" ref="G1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" s="15" t="str">
        <f ca="1">IF(OR(tblTraining[[#This Row],[Status]]="Renewed",tblTraining[[#This Row],[NextDueDate]]=""),"",tblTraining[[#This Row],[NextDueDate]]-TODAY())</f>
        <v/>
      </c>
      <c r="I125" s="15" t="str" cm="1">
        <f t="array" aca="1" ref="I1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6" spans="1:9" x14ac:dyDescent="0.25">
      <c r="A126" s="15">
        <f t="shared" si="1"/>
        <v>125</v>
      </c>
      <c r="B126" s="15" t="s">
        <v>135</v>
      </c>
      <c r="C126" s="15" t="str" cm="1">
        <f t="array" ref="C126">IFERROR(_xlfn.XLOOKUP(B126, tblPeople[PersonID], tblPeople[PersonName], ""), "")</f>
        <v>Francis Muriuki</v>
      </c>
      <c r="D126" s="15" t="s">
        <v>77</v>
      </c>
      <c r="E126" s="16" t="str">
        <f>IFERROR(_xlfn.XLOOKUP(D126, tblCourses[CourseID], tblCourses[CourseName], ""), "")</f>
        <v>DHC8 -100/-200/-300 Collins Wheels &amp; Brakes Familiarization Training (Refresher)</v>
      </c>
      <c r="F126" s="17">
        <v>45637</v>
      </c>
      <c r="G126" s="17" cm="1">
        <f t="array" ref="G1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26" s="15">
        <f ca="1">IF(OR(tblTraining[[#This Row],[Status]]="Renewed",tblTraining[[#This Row],[NextDueDate]]=""),"",tblTraining[[#This Row],[NextDueDate]]-TODAY())</f>
        <v>81</v>
      </c>
      <c r="I126" s="15" t="str" cm="1">
        <f t="array" aca="1" ref="I1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" spans="1:9" x14ac:dyDescent="0.25">
      <c r="A127" s="15">
        <f t="shared" si="1"/>
        <v>126</v>
      </c>
      <c r="B127" s="15" t="s">
        <v>105</v>
      </c>
      <c r="C127" s="15" t="str" cm="1">
        <f t="array" ref="C127">IFERROR(_xlfn.XLOOKUP(B127, tblPeople[PersonID], tblPeople[PersonName], ""), "")</f>
        <v>Fred Magotsi</v>
      </c>
      <c r="D127" s="15" t="s">
        <v>28</v>
      </c>
      <c r="E127" s="16" t="str">
        <f>IFERROR(_xlfn.XLOOKUP(D127, tblCourses[CourseID], tblCourses[CourseName], ""), "")</f>
        <v>DHC-8 100/200/300 with PWC 120/120A/121/123B/C/D/E Series Engines(Refresher)</v>
      </c>
      <c r="F127" s="17">
        <v>45716</v>
      </c>
      <c r="G127" s="17" cm="1">
        <f t="array" ref="G1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27" s="15">
        <f ca="1">IF(OR(tblTraining[[#This Row],[Status]]="Renewed",tblTraining[[#This Row],[NextDueDate]]=""),"",tblTraining[[#This Row],[NextDueDate]]-TODAY())</f>
        <v>160</v>
      </c>
      <c r="I127" s="15" t="str" cm="1">
        <f t="array" aca="1" ref="I1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" spans="1:9" x14ac:dyDescent="0.25">
      <c r="A128" s="15">
        <f t="shared" si="1"/>
        <v>127</v>
      </c>
      <c r="B128" s="15" t="s">
        <v>166</v>
      </c>
      <c r="C128" s="15" t="str" cm="1">
        <f t="array" ref="C128">IFERROR(_xlfn.XLOOKUP(B128, tblPeople[PersonID], tblPeople[PersonName], ""), "")</f>
        <v>Hannah Wambui</v>
      </c>
      <c r="D128" s="15" t="s">
        <v>173</v>
      </c>
      <c r="E128" s="16" t="str">
        <f>IFERROR(_xlfn.XLOOKUP(D128, tblCourses[CourseID], tblCourses[CourseName], ""), "")</f>
        <v>Quality Management Systems</v>
      </c>
      <c r="F128" s="17">
        <v>45709</v>
      </c>
      <c r="G128" s="17" cm="1">
        <f t="array" ref="G1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46804</v>
      </c>
      <c r="H128" s="15">
        <f ca="1">IF(OR(tblTraining[[#This Row],[Status]]="Renewed",tblTraining[[#This Row],[NextDueDate]]=""),"",tblTraining[[#This Row],[NextDueDate]]-TODAY())</f>
        <v>518</v>
      </c>
      <c r="I128" s="15" t="str" cm="1">
        <f t="array" aca="1" ref="I1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" spans="1:9" x14ac:dyDescent="0.25">
      <c r="A129" s="15">
        <f t="shared" si="1"/>
        <v>128</v>
      </c>
      <c r="B129" s="15" t="s">
        <v>107</v>
      </c>
      <c r="C129" s="15" t="str" cm="1">
        <f t="array" ref="C129">IFERROR(_xlfn.XLOOKUP(B129, tblPeople[PersonID], tblPeople[PersonName], ""), "")</f>
        <v>Julius Nyawira</v>
      </c>
      <c r="D129" s="15" t="s">
        <v>126</v>
      </c>
      <c r="E129" s="16" t="str">
        <f>IFERROR(_xlfn.XLOOKUP(D129, tblCourses[CourseID], tblCourses[CourseName], ""), "")</f>
        <v>Maintenance Indoctrination</v>
      </c>
      <c r="F129" s="17">
        <v>43444</v>
      </c>
      <c r="G129" s="17" t="str" cm="1">
        <f t="array" ref="G1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" s="15" t="str">
        <f ca="1">IF(OR(tblTraining[[#This Row],[Status]]="Renewed",tblTraining[[#This Row],[NextDueDate]]=""),"",tblTraining[[#This Row],[NextDueDate]]-TODAY())</f>
        <v/>
      </c>
      <c r="I129" s="15" t="str" cm="1">
        <f t="array" aca="1" ref="I1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" spans="1:9" x14ac:dyDescent="0.25">
      <c r="A130" s="15">
        <f t="shared" si="1"/>
        <v>129</v>
      </c>
      <c r="B130" s="15" t="s">
        <v>101</v>
      </c>
      <c r="C130" s="15" t="str" cm="1">
        <f t="array" ref="C130">IFERROR(_xlfn.XLOOKUP(B130, tblPeople[PersonID], tblPeople[PersonName], ""), "")</f>
        <v>Paul Mzera</v>
      </c>
      <c r="D130" s="15" t="s">
        <v>22</v>
      </c>
      <c r="E130" s="16" t="str">
        <f>IFERROR(_xlfn.XLOOKUP(D130, tblCourses[CourseID], tblCourses[CourseName], ""), "")</f>
        <v>Human Factors in Aviation (Refresher)</v>
      </c>
      <c r="F130" s="17">
        <v>45603</v>
      </c>
      <c r="G130" s="17" cm="1">
        <f t="array" ref="G1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46333</v>
      </c>
      <c r="H130" s="15">
        <f ca="1">IF(OR(tblTraining[[#This Row],[Status]]="Renewed",tblTraining[[#This Row],[NextDueDate]]=""),"",tblTraining[[#This Row],[NextDueDate]]-TODAY())</f>
        <v>47</v>
      </c>
      <c r="I130" s="15" t="str" cm="1">
        <f t="array" aca="1" ref="I1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31" spans="1:9" x14ac:dyDescent="0.25">
      <c r="A131" s="15">
        <f t="shared" si="1"/>
        <v>130</v>
      </c>
      <c r="B131" s="15" t="s">
        <v>93</v>
      </c>
      <c r="C131" s="15" t="str" cm="1">
        <f t="array" ref="C131">IFERROR(_xlfn.XLOOKUP(B131, tblPeople[PersonID], tblPeople[PersonName], ""), "")</f>
        <v>Stephen Tunje</v>
      </c>
      <c r="D131" s="15" t="s">
        <v>77</v>
      </c>
      <c r="E131" s="16" t="str">
        <f>IFERROR(_xlfn.XLOOKUP(D131, tblCourses[CourseID], tblCourses[CourseName], ""), "")</f>
        <v>DHC8 -100/-200/-300 Collins Wheels &amp; Brakes Familiarization Training (Refresher)</v>
      </c>
      <c r="F131" s="17">
        <v>45637</v>
      </c>
      <c r="G131" s="17" cm="1">
        <f t="array" ref="G1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31" s="15">
        <f ca="1">IF(OR(tblTraining[[#This Row],[Status]]="Renewed",tblTraining[[#This Row],[NextDueDate]]=""),"",tblTraining[[#This Row],[NextDueDate]]-TODAY())</f>
        <v>81</v>
      </c>
      <c r="I131" s="15" t="str" cm="1">
        <f t="array" aca="1" ref="I1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" spans="1:9" x14ac:dyDescent="0.25">
      <c r="A132" s="15">
        <f t="shared" ref="A132:A195" si="2">A131+1</f>
        <v>131</v>
      </c>
      <c r="B132" s="15" t="s">
        <v>91</v>
      </c>
      <c r="C132" s="15" t="str" cm="1">
        <f t="array" ref="C132">IFERROR(_xlfn.XLOOKUP(B132, tblPeople[PersonID], tblPeople[PersonName], ""), "")</f>
        <v>Dunstan Kwalanda</v>
      </c>
      <c r="D132" s="15" t="s">
        <v>126</v>
      </c>
      <c r="E132" s="16" t="str">
        <f>IFERROR(_xlfn.XLOOKUP(D132, tblCourses[CourseID], tblCourses[CourseName], ""), "")</f>
        <v>Maintenance Indoctrination</v>
      </c>
      <c r="F132" s="17">
        <v>45146</v>
      </c>
      <c r="G132" s="17" t="str" cm="1">
        <f t="array" ref="G1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" s="15" t="str">
        <f ca="1">IF(OR(tblTraining[[#This Row],[Status]]="Renewed",tblTraining[[#This Row],[NextDueDate]]=""),"",tblTraining[[#This Row],[NextDueDate]]-TODAY())</f>
        <v/>
      </c>
      <c r="I132" s="15" t="str" cm="1">
        <f t="array" aca="1" ref="I1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" spans="1:9" x14ac:dyDescent="0.25">
      <c r="A133" s="15">
        <f t="shared" si="2"/>
        <v>132</v>
      </c>
      <c r="B133" s="15" t="s">
        <v>135</v>
      </c>
      <c r="C133" s="15" t="str" cm="1">
        <f t="array" ref="C133">IFERROR(_xlfn.XLOOKUP(B133, tblPeople[PersonID], tblPeople[PersonName], ""), "")</f>
        <v>Francis Muriuki</v>
      </c>
      <c r="D133" s="15" t="s">
        <v>182</v>
      </c>
      <c r="E133" s="16" t="str">
        <f>IFERROR(_xlfn.XLOOKUP(D133, tblCourses[CourseID], tblCourses[CourseName], ""), "")</f>
        <v>Cessna 208 Series (Caravan) With P&amp;WC PT6A-114/ -114A/ -140 Engines (Refresher)</v>
      </c>
      <c r="F133" s="17">
        <v>45231</v>
      </c>
      <c r="G133" s="17" t="str" cm="1">
        <f t="array" ref="G1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" s="15" t="str">
        <f ca="1">IF(OR(tblTraining[[#This Row],[Status]]="Renewed",tblTraining[[#This Row],[NextDueDate]]=""),"",tblTraining[[#This Row],[NextDueDate]]-TODAY())</f>
        <v/>
      </c>
      <c r="I133" s="15" t="str" cm="1">
        <f t="array" aca="1" ref="I1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4" spans="1:9" x14ac:dyDescent="0.25">
      <c r="A134" s="15">
        <f t="shared" si="2"/>
        <v>133</v>
      </c>
      <c r="B134" s="15" t="s">
        <v>105</v>
      </c>
      <c r="C134" s="15" t="str" cm="1">
        <f t="array" ref="C134">IFERROR(_xlfn.XLOOKUP(B134, tblPeople[PersonID], tblPeople[PersonName], ""), "")</f>
        <v>Fred Magotsi</v>
      </c>
      <c r="D134" s="15" t="s">
        <v>28</v>
      </c>
      <c r="E134" s="16" t="str">
        <f>IFERROR(_xlfn.XLOOKUP(D134, tblCourses[CourseID], tblCourses[CourseName], ""), "")</f>
        <v>DHC-8 100/200/300 with PWC 120/120A/121/123B/C/D/E Series Engines(Refresher)</v>
      </c>
      <c r="F134" s="17">
        <v>45009</v>
      </c>
      <c r="G134" s="17" t="str" cm="1">
        <f t="array" ref="G1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" s="15" t="str">
        <f ca="1">IF(OR(tblTraining[[#This Row],[Status]]="Renewed",tblTraining[[#This Row],[NextDueDate]]=""),"",tblTraining[[#This Row],[NextDueDate]]-TODAY())</f>
        <v/>
      </c>
      <c r="I134" s="15" t="str" cm="1">
        <f t="array" aca="1" ref="I1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" spans="1:9" x14ac:dyDescent="0.25">
      <c r="A135" s="15">
        <f t="shared" si="2"/>
        <v>134</v>
      </c>
      <c r="B135" s="15" t="s">
        <v>166</v>
      </c>
      <c r="C135" s="15" t="str" cm="1">
        <f t="array" ref="C135">IFERROR(_xlfn.XLOOKUP(B135, tblPeople[PersonID], tblPeople[PersonName], ""), "")</f>
        <v>Hannah Wambui</v>
      </c>
      <c r="D135" s="15" t="s">
        <v>32</v>
      </c>
      <c r="E135" s="16" t="str">
        <f>IFERROR(_xlfn.XLOOKUP(D135, tblCourses[CourseID], tblCourses[CourseName], ""), "")</f>
        <v>Dangerous Goods Regulations (CBTA 7.3) (Initial)</v>
      </c>
      <c r="F135" s="17">
        <v>44400</v>
      </c>
      <c r="G135" s="17" t="str" cm="1">
        <f t="array" ref="G1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" s="15" t="str">
        <f ca="1">IF(OR(tblTraining[[#This Row],[Status]]="Renewed",tblTraining[[#This Row],[NextDueDate]]=""),"",tblTraining[[#This Row],[NextDueDate]]-TODAY())</f>
        <v/>
      </c>
      <c r="I135" s="15" t="str" cm="1">
        <f t="array" aca="1" ref="I1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" spans="1:9" x14ac:dyDescent="0.25">
      <c r="A136" s="15">
        <f t="shared" si="2"/>
        <v>135</v>
      </c>
      <c r="B136" s="15" t="s">
        <v>101</v>
      </c>
      <c r="C136" s="15" t="str" cm="1">
        <f t="array" ref="C136">IFERROR(_xlfn.XLOOKUP(B136, tblPeople[PersonID], tblPeople[PersonName], ""), "")</f>
        <v>Paul Mzera</v>
      </c>
      <c r="D136" s="15" t="s">
        <v>110</v>
      </c>
      <c r="E136" s="16" t="str">
        <f>IFERROR(_xlfn.XLOOKUP(D136, tblCourses[CourseID], tblCourses[CourseName], ""), "")</f>
        <v>Electrical Wiring Interconnection System Target Groups 1 &amp; 2 (Initial)</v>
      </c>
      <c r="F136" s="17">
        <v>45805</v>
      </c>
      <c r="G136" s="17" t="str" cm="1">
        <f t="array" ref="G1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" s="15" t="str">
        <f ca="1">IF(OR(tblTraining[[#This Row],[Status]]="Renewed",tblTraining[[#This Row],[NextDueDate]]=""),"",tblTraining[[#This Row],[NextDueDate]]-TODAY())</f>
        <v/>
      </c>
      <c r="I136" s="15" t="str" cm="1">
        <f t="array" aca="1" ref="I1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" spans="1:9" x14ac:dyDescent="0.25">
      <c r="A137" s="15">
        <f t="shared" si="2"/>
        <v>136</v>
      </c>
      <c r="B137" s="15" t="s">
        <v>93</v>
      </c>
      <c r="C137" s="15" t="str" cm="1">
        <f t="array" ref="C137">IFERROR(_xlfn.XLOOKUP(B137, tblPeople[PersonID], tblPeople[PersonName], ""), "")</f>
        <v>Stephen Tunje</v>
      </c>
      <c r="D137" s="15" t="s">
        <v>76</v>
      </c>
      <c r="E137" s="16" t="str">
        <f>IFERROR(_xlfn.XLOOKUP(D137, tblCourses[CourseID], tblCourses[CourseName], ""), "")</f>
        <v>Fuel Tank Safety Phase 1 &amp; 2 Course (Initial)</v>
      </c>
      <c r="F137" s="17">
        <v>45498</v>
      </c>
      <c r="G137" s="17" t="str" cm="1">
        <f t="array" ref="G1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" s="15" t="str">
        <f ca="1">IF(OR(tblTraining[[#This Row],[Status]]="Renewed",tblTraining[[#This Row],[NextDueDate]]=""),"",tblTraining[[#This Row],[NextDueDate]]-TODAY())</f>
        <v/>
      </c>
      <c r="I137" s="15" t="str" cm="1">
        <f t="array" aca="1" ref="I1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" spans="1:9" x14ac:dyDescent="0.25">
      <c r="A138" s="15">
        <f t="shared" si="2"/>
        <v>137</v>
      </c>
      <c r="B138" s="15" t="s">
        <v>91</v>
      </c>
      <c r="C138" s="15" t="str" cm="1">
        <f t="array" ref="C138">IFERROR(_xlfn.XLOOKUP(B138, tblPeople[PersonID], tblPeople[PersonName], ""), "")</f>
        <v>Dunstan Kwalanda</v>
      </c>
      <c r="D138" s="15" t="s">
        <v>77</v>
      </c>
      <c r="E138" s="16" t="str">
        <f>IFERROR(_xlfn.XLOOKUP(D138, tblCourses[CourseID], tblCourses[CourseName], ""), "")</f>
        <v>DHC8 -100/-200/-300 Collins Wheels &amp; Brakes Familiarization Training (Refresher)</v>
      </c>
      <c r="F138" s="17">
        <v>45637</v>
      </c>
      <c r="G138" s="17" cm="1">
        <f t="array" ref="G1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38" s="15">
        <f ca="1">IF(OR(tblTraining[[#This Row],[Status]]="Renewed",tblTraining[[#This Row],[NextDueDate]]=""),"",tblTraining[[#This Row],[NextDueDate]]-TODAY())</f>
        <v>81</v>
      </c>
      <c r="I138" s="15" t="str" cm="1">
        <f t="array" aca="1" ref="I1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" spans="1:9" x14ac:dyDescent="0.25">
      <c r="A139" s="15">
        <f t="shared" si="2"/>
        <v>138</v>
      </c>
      <c r="B139" s="15" t="s">
        <v>135</v>
      </c>
      <c r="C139" s="15" t="str" cm="1">
        <f t="array" ref="C139">IFERROR(_xlfn.XLOOKUP(B139, tblPeople[PersonID], tblPeople[PersonName], ""), "")</f>
        <v>Francis Muriuki</v>
      </c>
      <c r="D139" s="15" t="s">
        <v>28</v>
      </c>
      <c r="E139" s="16" t="str">
        <f>IFERROR(_xlfn.XLOOKUP(D139, tblCourses[CourseID], tblCourses[CourseName], ""), "")</f>
        <v>DHC-8 100/200/300 with PWC 120/120A/121/123B/C/D/E Series Engines(Refresher)</v>
      </c>
      <c r="F139" s="17">
        <v>45216</v>
      </c>
      <c r="G139" s="17" t="str" cm="1">
        <f t="array" ref="G1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" s="15" t="str">
        <f ca="1">IF(OR(tblTraining[[#This Row],[Status]]="Renewed",tblTraining[[#This Row],[NextDueDate]]=""),"",tblTraining[[#This Row],[NextDueDate]]-TODAY())</f>
        <v/>
      </c>
      <c r="I139" s="15" t="str" cm="1">
        <f t="array" aca="1" ref="I1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0" spans="1:9" x14ac:dyDescent="0.25">
      <c r="A140" s="15">
        <f t="shared" si="2"/>
        <v>139</v>
      </c>
      <c r="B140" s="15" t="s">
        <v>105</v>
      </c>
      <c r="C140" s="15" t="str" cm="1">
        <f t="array" ref="C140">IFERROR(_xlfn.XLOOKUP(B140, tblPeople[PersonID], tblPeople[PersonName], ""), "")</f>
        <v>Fred Magotsi</v>
      </c>
      <c r="D140" s="15" t="s">
        <v>75</v>
      </c>
      <c r="E140" s="16" t="str">
        <f>IFERROR(_xlfn.XLOOKUP(D140, tblCourses[CourseID], tblCourses[CourseName], ""), "")</f>
        <v>Fuel Tank Safety Phase 1 &amp; 2 Course (Refresher)</v>
      </c>
      <c r="F140" s="17">
        <v>45417</v>
      </c>
      <c r="G140" s="17" t="str" cm="1">
        <f t="array" ref="G1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0" s="15" t="str">
        <f ca="1">IF(OR(tblTraining[[#This Row],[Status]]="Renewed",tblTraining[[#This Row],[NextDueDate]]=""),"",tblTraining[[#This Row],[NextDueDate]]-TODAY())</f>
        <v/>
      </c>
      <c r="I140" s="15" t="str" cm="1">
        <f t="array" aca="1" ref="I1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1" spans="1:9" x14ac:dyDescent="0.25">
      <c r="A141" s="15">
        <f t="shared" si="2"/>
        <v>140</v>
      </c>
      <c r="B141" s="15" t="s">
        <v>166</v>
      </c>
      <c r="C141" s="15" t="str" cm="1">
        <f t="array" ref="C141">IFERROR(_xlfn.XLOOKUP(B141, tblPeople[PersonID], tblPeople[PersonName], ""), "")</f>
        <v>Hannah Wambui</v>
      </c>
      <c r="D141" s="15" t="s">
        <v>30</v>
      </c>
      <c r="E141" s="16" t="str">
        <f>IFERROR(_xlfn.XLOOKUP(D141, tblCourses[CourseID], tblCourses[CourseName], ""), "")</f>
        <v>Dangerous Goods Regulations (CBTA 7.3) (Refresher)</v>
      </c>
      <c r="F141" s="17">
        <v>44400</v>
      </c>
      <c r="G141" s="17" t="str" cm="1">
        <f t="array" ref="G1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" s="15" t="str">
        <f ca="1">IF(OR(tblTraining[[#This Row],[Status]]="Renewed",tblTraining[[#This Row],[NextDueDate]]=""),"",tblTraining[[#This Row],[NextDueDate]]-TODAY())</f>
        <v/>
      </c>
      <c r="I141" s="15" t="str" cm="1">
        <f t="array" aca="1" ref="I1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2" spans="1:9" x14ac:dyDescent="0.25">
      <c r="A142" s="15">
        <f t="shared" si="2"/>
        <v>141</v>
      </c>
      <c r="B142" s="15" t="s">
        <v>107</v>
      </c>
      <c r="C142" s="15" t="str" cm="1">
        <f t="array" ref="C142">IFERROR(_xlfn.XLOOKUP(B142, tblPeople[PersonID], tblPeople[PersonName], ""), "")</f>
        <v>Julius Nyawira</v>
      </c>
      <c r="D142" s="15" t="s">
        <v>125</v>
      </c>
      <c r="E142" s="16" t="str">
        <f>IFERROR(_xlfn.XLOOKUP(D142, tblCourses[CourseID], tblCourses[CourseName], ""), "")</f>
        <v>Aviation Security (Refresher)</v>
      </c>
      <c r="F142" s="17">
        <v>45716</v>
      </c>
      <c r="G142" s="17" cm="1">
        <f t="array" ref="G1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42" s="15">
        <f ca="1">IF(OR(tblTraining[[#This Row],[Status]]="Renewed",tblTraining[[#This Row],[NextDueDate]]=""),"",tblTraining[[#This Row],[NextDueDate]]-TODAY())</f>
        <v>160</v>
      </c>
      <c r="I142" s="15" t="str" cm="1">
        <f t="array" aca="1" ref="I1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" spans="1:9" x14ac:dyDescent="0.25">
      <c r="A143" s="15">
        <f t="shared" si="2"/>
        <v>142</v>
      </c>
      <c r="B143" s="15" t="s">
        <v>101</v>
      </c>
      <c r="C143" s="15" t="str" cm="1">
        <f t="array" ref="C143">IFERROR(_xlfn.XLOOKUP(B143, tblPeople[PersonID], tblPeople[PersonName], ""), "")</f>
        <v>Paul Mzera</v>
      </c>
      <c r="D143" s="15" t="s">
        <v>109</v>
      </c>
      <c r="E143" s="16" t="str">
        <f>IFERROR(_xlfn.XLOOKUP(D143, tblCourses[CourseID], tblCourses[CourseName], ""), "")</f>
        <v>Electrical Wiring Interconnection System Target Groups 1 &amp; 2 (Refresher)</v>
      </c>
      <c r="F143" s="17">
        <v>45805</v>
      </c>
      <c r="G143" s="17" cm="1">
        <f t="array" ref="G1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143" s="15">
        <f ca="1">IF(OR(tblTraining[[#This Row],[Status]]="Renewed",tblTraining[[#This Row],[NextDueDate]]=""),"",tblTraining[[#This Row],[NextDueDate]]-TODAY())</f>
        <v>249</v>
      </c>
      <c r="I143" s="15" t="str" cm="1">
        <f t="array" aca="1" ref="I1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" spans="1:9" x14ac:dyDescent="0.25">
      <c r="A144" s="15">
        <f t="shared" si="2"/>
        <v>143</v>
      </c>
      <c r="B144" s="15" t="s">
        <v>93</v>
      </c>
      <c r="C144" s="15" t="str" cm="1">
        <f t="array" ref="C144">IFERROR(_xlfn.XLOOKUP(B144, tblPeople[PersonID], tblPeople[PersonName], ""), "")</f>
        <v>Stephen Tunje</v>
      </c>
      <c r="D144" s="15" t="s">
        <v>75</v>
      </c>
      <c r="E144" s="16" t="str">
        <f>IFERROR(_xlfn.XLOOKUP(D144, tblCourses[CourseID], tblCourses[CourseName], ""), "")</f>
        <v>Fuel Tank Safety Phase 1 &amp; 2 Course (Refresher)</v>
      </c>
      <c r="F144" s="17">
        <v>45498</v>
      </c>
      <c r="G144" s="17" t="str" cm="1">
        <f t="array" ref="G1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" s="15" t="str">
        <f ca="1">IF(OR(tblTraining[[#This Row],[Status]]="Renewed",tblTraining[[#This Row],[NextDueDate]]=""),"",tblTraining[[#This Row],[NextDueDate]]-TODAY())</f>
        <v/>
      </c>
      <c r="I144" s="15" t="str" cm="1">
        <f t="array" aca="1" ref="I1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5" spans="1:9" x14ac:dyDescent="0.25">
      <c r="A145" s="15">
        <f t="shared" si="2"/>
        <v>144</v>
      </c>
      <c r="B145" s="15" t="s">
        <v>91</v>
      </c>
      <c r="C145" s="15" t="str" cm="1">
        <f t="array" ref="C145">IFERROR(_xlfn.XLOOKUP(B145, tblPeople[PersonID], tblPeople[PersonName], ""), "")</f>
        <v>Dunstan Kwalanda</v>
      </c>
      <c r="D145" s="15" t="s">
        <v>20</v>
      </c>
      <c r="E145" s="16" t="str">
        <f>IFERROR(_xlfn.XLOOKUP(D145, tblCourses[CourseID], tblCourses[CourseName], ""), "")</f>
        <v>Safety Management Systems (Initial)</v>
      </c>
      <c r="F145" s="17">
        <v>45379</v>
      </c>
      <c r="G145" s="17" t="str" cm="1">
        <f t="array" ref="G1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" s="15" t="str">
        <f ca="1">IF(OR(tblTraining[[#This Row],[Status]]="Renewed",tblTraining[[#This Row],[NextDueDate]]=""),"",tblTraining[[#This Row],[NextDueDate]]-TODAY())</f>
        <v/>
      </c>
      <c r="I145" s="15" t="str" cm="1">
        <f t="array" aca="1" ref="I1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" spans="1:9" x14ac:dyDescent="0.25">
      <c r="A146" s="15">
        <f t="shared" si="2"/>
        <v>145</v>
      </c>
      <c r="B146" s="15" t="s">
        <v>135</v>
      </c>
      <c r="C146" s="15" t="str" cm="1">
        <f t="array" ref="C146">IFERROR(_xlfn.XLOOKUP(B146, tblPeople[PersonID], tblPeople[PersonName], ""), "")</f>
        <v>Francis Muriuki</v>
      </c>
      <c r="D146" s="15" t="s">
        <v>202</v>
      </c>
      <c r="E146" s="16" t="str">
        <f>IFERROR(_xlfn.XLOOKUP(D146, tblCourses[CourseID], tblCourses[CourseName], ""), "")</f>
        <v>Maintenance Procedures &amp; Standard Maintenance Practices (Refresher)</v>
      </c>
      <c r="F146" s="17">
        <v>45322</v>
      </c>
      <c r="G146" s="17" t="str" cm="1">
        <f t="array" ref="G1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" s="15" t="str">
        <f ca="1">IF(OR(tblTraining[[#This Row],[Status]]="Renewed",tblTraining[[#This Row],[NextDueDate]]=""),"",tblTraining[[#This Row],[NextDueDate]]-TODAY())</f>
        <v/>
      </c>
      <c r="I146" s="15" t="str" cm="1">
        <f t="array" aca="1" ref="I1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7" spans="1:9" x14ac:dyDescent="0.25">
      <c r="A147" s="15">
        <f t="shared" si="2"/>
        <v>146</v>
      </c>
      <c r="B147" s="15" t="s">
        <v>105</v>
      </c>
      <c r="C147" s="15" t="str" cm="1">
        <f t="array" ref="C147">IFERROR(_xlfn.XLOOKUP(B147, tblPeople[PersonID], tblPeople[PersonName], ""), "")</f>
        <v>Fred Magotsi</v>
      </c>
      <c r="D147" s="15" t="s">
        <v>22</v>
      </c>
      <c r="E147" s="16" t="str">
        <f>IFERROR(_xlfn.XLOOKUP(D147, tblCourses[CourseID], tblCourses[CourseName], ""), "")</f>
        <v>Human Factors in Aviation (Refresher)</v>
      </c>
      <c r="F147" s="17">
        <v>45118</v>
      </c>
      <c r="G147" s="17" t="str" cm="1">
        <f t="array" ref="G1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" s="15" t="str">
        <f ca="1">IF(OR(tblTraining[[#This Row],[Status]]="Renewed",tblTraining[[#This Row],[NextDueDate]]=""),"",tblTraining[[#This Row],[NextDueDate]]-TODAY())</f>
        <v/>
      </c>
      <c r="I147" s="15" t="str" cm="1">
        <f t="array" aca="1" ref="I1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8" spans="1:9" x14ac:dyDescent="0.25">
      <c r="A148" s="15">
        <f t="shared" si="2"/>
        <v>147</v>
      </c>
      <c r="B148" s="15" t="s">
        <v>166</v>
      </c>
      <c r="C148" s="15" t="str" cm="1">
        <f t="array" ref="C148">IFERROR(_xlfn.XLOOKUP(B148, tblPeople[PersonID], tblPeople[PersonName], ""), "")</f>
        <v>Hannah Wambui</v>
      </c>
      <c r="D148" s="15" t="s">
        <v>17</v>
      </c>
      <c r="E148" s="16" t="str">
        <f>IFERROR(_xlfn.XLOOKUP(D148, tblCourses[CourseID], tblCourses[CourseName], ""), "")</f>
        <v>Safety Management Systems (Refresher)</v>
      </c>
      <c r="F148" s="17">
        <v>45195</v>
      </c>
      <c r="G148" s="17" t="str" cm="1">
        <f t="array" ref="G1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" s="15" t="str">
        <f ca="1">IF(OR(tblTraining[[#This Row],[Status]]="Renewed",tblTraining[[#This Row],[NextDueDate]]=""),"",tblTraining[[#This Row],[NextDueDate]]-TODAY())</f>
        <v/>
      </c>
      <c r="I148" s="15" t="str" cm="1">
        <f t="array" aca="1" ref="I1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9" spans="1:9" x14ac:dyDescent="0.25">
      <c r="A149" s="15">
        <f t="shared" si="2"/>
        <v>148</v>
      </c>
      <c r="B149" s="15" t="s">
        <v>107</v>
      </c>
      <c r="C149" s="15" t="str" cm="1">
        <f t="array" ref="C149">IFERROR(_xlfn.XLOOKUP(B149, tblPeople[PersonID], tblPeople[PersonName], ""), "")</f>
        <v>Julius Nyawira</v>
      </c>
      <c r="D149" s="15" t="s">
        <v>32</v>
      </c>
      <c r="E149" s="16" t="str">
        <f>IFERROR(_xlfn.XLOOKUP(D149, tblCourses[CourseID], tblCourses[CourseName], ""), "")</f>
        <v>Dangerous Goods Regulations (CBTA 7.3) (Initial)</v>
      </c>
      <c r="F149" s="17">
        <v>44109</v>
      </c>
      <c r="G149" s="17" t="str" cm="1">
        <f t="array" ref="G1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" s="15" t="str">
        <f ca="1">IF(OR(tblTraining[[#This Row],[Status]]="Renewed",tblTraining[[#This Row],[NextDueDate]]=""),"",tblTraining[[#This Row],[NextDueDate]]-TODAY())</f>
        <v/>
      </c>
      <c r="I149" s="15" t="str" cm="1">
        <f t="array" aca="1" ref="I1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" spans="1:9" x14ac:dyDescent="0.25">
      <c r="A150" s="15">
        <f t="shared" si="2"/>
        <v>149</v>
      </c>
      <c r="B150" s="15" t="s">
        <v>101</v>
      </c>
      <c r="C150" s="15" t="str" cm="1">
        <f t="array" ref="C150">IFERROR(_xlfn.XLOOKUP(B150, tblPeople[PersonID], tblPeople[PersonName], ""), "")</f>
        <v>Paul Mzera</v>
      </c>
      <c r="D150" s="15" t="s">
        <v>76</v>
      </c>
      <c r="E150" s="16" t="str">
        <f>IFERROR(_xlfn.XLOOKUP(D150, tblCourses[CourseID], tblCourses[CourseName], ""), "")</f>
        <v>Fuel Tank Safety Phase 1 &amp; 2 Course (Initial)</v>
      </c>
      <c r="F150" s="17">
        <v>45402</v>
      </c>
      <c r="G150" s="17" t="str" cm="1">
        <f t="array" ref="G1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" s="15" t="str">
        <f ca="1">IF(OR(tblTraining[[#This Row],[Status]]="Renewed",tblTraining[[#This Row],[NextDueDate]]=""),"",tblTraining[[#This Row],[NextDueDate]]-TODAY())</f>
        <v/>
      </c>
      <c r="I150" s="15" t="str" cm="1">
        <f t="array" aca="1" ref="I1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" spans="1:9" x14ac:dyDescent="0.25">
      <c r="A151" s="15">
        <f t="shared" si="2"/>
        <v>150</v>
      </c>
      <c r="B151" s="15" t="s">
        <v>93</v>
      </c>
      <c r="C151" s="15" t="str" cm="1">
        <f t="array" ref="C151">IFERROR(_xlfn.XLOOKUP(B151, tblPeople[PersonID], tblPeople[PersonName], ""), "")</f>
        <v>Stephen Tunje</v>
      </c>
      <c r="D151" s="15" t="s">
        <v>124</v>
      </c>
      <c r="E151" s="16" t="str">
        <f>IFERROR(_xlfn.XLOOKUP(D151, tblCourses[CourseID], tblCourses[CourseName], ""), "")</f>
        <v>Aviation Security (Initial)</v>
      </c>
      <c r="F151" s="17">
        <v>45716</v>
      </c>
      <c r="G151" s="17" t="str" cm="1">
        <f t="array" ref="G1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" s="15" t="str">
        <f ca="1">IF(OR(tblTraining[[#This Row],[Status]]="Renewed",tblTraining[[#This Row],[NextDueDate]]=""),"",tblTraining[[#This Row],[NextDueDate]]-TODAY())</f>
        <v/>
      </c>
      <c r="I151" s="15" t="str" cm="1">
        <f t="array" aca="1" ref="I1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" spans="1:9" x14ac:dyDescent="0.25">
      <c r="A152" s="15">
        <f t="shared" si="2"/>
        <v>151</v>
      </c>
      <c r="B152" s="15" t="s">
        <v>91</v>
      </c>
      <c r="C152" s="15" t="str" cm="1">
        <f t="array" ref="C152">IFERROR(_xlfn.XLOOKUP(B152, tblPeople[PersonID], tblPeople[PersonName], ""), "")</f>
        <v>Dunstan Kwalanda</v>
      </c>
      <c r="D152" s="15" t="s">
        <v>30</v>
      </c>
      <c r="E152" s="16" t="str">
        <f>IFERROR(_xlfn.XLOOKUP(D152, tblCourses[CourseID], tblCourses[CourseName], ""), "")</f>
        <v>Dangerous Goods Regulations (CBTA 7.3) (Refresher)</v>
      </c>
      <c r="F152" s="17">
        <v>45427</v>
      </c>
      <c r="G152" s="17" t="str" cm="1">
        <f t="array" ref="G1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" s="15" t="str">
        <f ca="1">IF(OR(tblTraining[[#This Row],[Status]]="Renewed",tblTraining[[#This Row],[NextDueDate]]=""),"",tblTraining[[#This Row],[NextDueDate]]-TODAY())</f>
        <v/>
      </c>
      <c r="I152" s="15" t="str" cm="1">
        <f t="array" aca="1" ref="I1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3" spans="1:9" x14ac:dyDescent="0.25">
      <c r="A153" s="15">
        <f t="shared" si="2"/>
        <v>152</v>
      </c>
      <c r="B153" s="15" t="s">
        <v>135</v>
      </c>
      <c r="C153" s="15" t="str" cm="1">
        <f t="array" ref="C153">IFERROR(_xlfn.XLOOKUP(B153, tblPeople[PersonID], tblPeople[PersonName], ""), "")</f>
        <v>Francis Muriuki</v>
      </c>
      <c r="D153" s="15" t="s">
        <v>75</v>
      </c>
      <c r="E153" s="16" t="str">
        <f>IFERROR(_xlfn.XLOOKUP(D153, tblCourses[CourseID], tblCourses[CourseName], ""), "")</f>
        <v>Fuel Tank Safety Phase 1 &amp; 2 Course (Refresher)</v>
      </c>
      <c r="F153" s="17">
        <v>45392</v>
      </c>
      <c r="G153" s="17" t="str" cm="1">
        <f t="array" ref="G1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" s="15" t="str">
        <f ca="1">IF(OR(tblTraining[[#This Row],[Status]]="Renewed",tblTraining[[#This Row],[NextDueDate]]=""),"",tblTraining[[#This Row],[NextDueDate]]-TODAY())</f>
        <v/>
      </c>
      <c r="I153" s="15" t="str" cm="1">
        <f t="array" aca="1" ref="I1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4" spans="1:9" x14ac:dyDescent="0.25">
      <c r="A154" s="15">
        <f t="shared" si="2"/>
        <v>153</v>
      </c>
      <c r="B154" s="15" t="s">
        <v>105</v>
      </c>
      <c r="C154" s="15" t="str" cm="1">
        <f t="array" ref="C154">IFERROR(_xlfn.XLOOKUP(B154, tblPeople[PersonID], tblPeople[PersonName], ""), "")</f>
        <v>Fred Magotsi</v>
      </c>
      <c r="D154" s="15" t="s">
        <v>17</v>
      </c>
      <c r="E154" s="16" t="str">
        <f>IFERROR(_xlfn.XLOOKUP(D154, tblCourses[CourseID], tblCourses[CourseName], ""), "")</f>
        <v>Safety Management Systems (Refresher)</v>
      </c>
      <c r="F154" s="17">
        <v>45114</v>
      </c>
      <c r="G154" s="17" t="str" cm="1">
        <f t="array" ref="G1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4" s="15" t="str">
        <f ca="1">IF(OR(tblTraining[[#This Row],[Status]]="Renewed",tblTraining[[#This Row],[NextDueDate]]=""),"",tblTraining[[#This Row],[NextDueDate]]-TODAY())</f>
        <v/>
      </c>
      <c r="I154" s="15" t="str" cm="1">
        <f t="array" aca="1" ref="I1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5" spans="1:9" x14ac:dyDescent="0.25">
      <c r="A155" s="15">
        <f t="shared" si="2"/>
        <v>154</v>
      </c>
      <c r="B155" s="15" t="s">
        <v>166</v>
      </c>
      <c r="C155" s="15" t="str" cm="1">
        <f t="array" ref="C155">IFERROR(_xlfn.XLOOKUP(B155, tblPeople[PersonID], tblPeople[PersonName], ""), "")</f>
        <v>Hannah Wambui</v>
      </c>
      <c r="D155" s="15" t="s">
        <v>30</v>
      </c>
      <c r="E155" s="16" t="str">
        <f>IFERROR(_xlfn.XLOOKUP(D155, tblCourses[CourseID], tblCourses[CourseName], ""), "")</f>
        <v>Dangerous Goods Regulations (CBTA 7.3) (Refresher)</v>
      </c>
      <c r="F155" s="17">
        <v>45503</v>
      </c>
      <c r="G155" s="17" cm="1">
        <f t="array" ref="G1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46233</v>
      </c>
      <c r="H155" s="15">
        <f ca="1">IF(OR(tblTraining[[#This Row],[Status]]="Renewed",tblTraining[[#This Row],[NextDueDate]]=""),"",tblTraining[[#This Row],[NextDueDate]]-TODAY())</f>
        <v>-53</v>
      </c>
      <c r="I155" s="15" t="str" cm="1">
        <f t="array" aca="1" ref="I1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56" spans="1:9" x14ac:dyDescent="0.25">
      <c r="A156" s="15">
        <f t="shared" si="2"/>
        <v>155</v>
      </c>
      <c r="B156" s="15" t="s">
        <v>107</v>
      </c>
      <c r="C156" s="15" t="str" cm="1">
        <f t="array" ref="C156">IFERROR(_xlfn.XLOOKUP(B156, tblPeople[PersonID], tblPeople[PersonName], ""), "")</f>
        <v>Julius Nyawira</v>
      </c>
      <c r="D156" s="15" t="s">
        <v>22</v>
      </c>
      <c r="E156" s="16" t="str">
        <f>IFERROR(_xlfn.XLOOKUP(D156, tblCourses[CourseID], tblCourses[CourseName], ""), "")</f>
        <v>Human Factors in Aviation (Refresher)</v>
      </c>
      <c r="F156" s="17">
        <v>45215</v>
      </c>
      <c r="G156" s="17" t="str" cm="1">
        <f t="array" ref="G1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6" s="15" t="str">
        <f ca="1">IF(OR(tblTraining[[#This Row],[Status]]="Renewed",tblTraining[[#This Row],[NextDueDate]]=""),"",tblTraining[[#This Row],[NextDueDate]]-TODAY())</f>
        <v/>
      </c>
      <c r="I156" s="15" t="str" cm="1">
        <f t="array" aca="1" ref="I1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7" spans="1:9" x14ac:dyDescent="0.25">
      <c r="A157" s="15">
        <f t="shared" si="2"/>
        <v>156</v>
      </c>
      <c r="B157" s="15" t="s">
        <v>101</v>
      </c>
      <c r="C157" s="15" t="str" cm="1">
        <f t="array" ref="C157">IFERROR(_xlfn.XLOOKUP(B157, tblPeople[PersonID], tblPeople[PersonName], ""), "")</f>
        <v>Paul Mzera</v>
      </c>
      <c r="D157" s="15" t="s">
        <v>75</v>
      </c>
      <c r="E157" s="16" t="str">
        <f>IFERROR(_xlfn.XLOOKUP(D157, tblCourses[CourseID], tblCourses[CourseName], ""), "")</f>
        <v>Fuel Tank Safety Phase 1 &amp; 2 Course (Refresher)</v>
      </c>
      <c r="F157" s="17">
        <v>45402</v>
      </c>
      <c r="G157" s="17" t="str" cm="1">
        <f t="array" ref="G1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7" s="15" t="str">
        <f ca="1">IF(OR(tblTraining[[#This Row],[Status]]="Renewed",tblTraining[[#This Row],[NextDueDate]]=""),"",tblTraining[[#This Row],[NextDueDate]]-TODAY())</f>
        <v/>
      </c>
      <c r="I157" s="15" t="str" cm="1">
        <f t="array" aca="1" ref="I1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8" spans="1:9" x14ac:dyDescent="0.25">
      <c r="A158" s="15">
        <f t="shared" si="2"/>
        <v>157</v>
      </c>
      <c r="B158" s="15" t="s">
        <v>93</v>
      </c>
      <c r="C158" s="15" t="str" cm="1">
        <f t="array" ref="C158">IFERROR(_xlfn.XLOOKUP(B158, tblPeople[PersonID], tblPeople[PersonName], ""), "")</f>
        <v>Stephen Tunje</v>
      </c>
      <c r="D158" s="15" t="s">
        <v>125</v>
      </c>
      <c r="E158" s="16" t="str">
        <f>IFERROR(_xlfn.XLOOKUP(D158, tblCourses[CourseID], tblCourses[CourseName], ""), "")</f>
        <v>Aviation Security (Refresher)</v>
      </c>
      <c r="F158" s="17">
        <v>45716</v>
      </c>
      <c r="G158" s="17" cm="1">
        <f t="array" ref="G1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58" s="15">
        <f ca="1">IF(OR(tblTraining[[#This Row],[Status]]="Renewed",tblTraining[[#This Row],[NextDueDate]]=""),"",tblTraining[[#This Row],[NextDueDate]]-TODAY())</f>
        <v>160</v>
      </c>
      <c r="I158" s="15" t="str" cm="1">
        <f t="array" aca="1" ref="I1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9" spans="1:9" x14ac:dyDescent="0.25">
      <c r="A159" s="15">
        <f t="shared" si="2"/>
        <v>158</v>
      </c>
      <c r="B159" s="15" t="s">
        <v>91</v>
      </c>
      <c r="C159" s="15" t="str" cm="1">
        <f t="array" ref="C159">IFERROR(_xlfn.XLOOKUP(B159, tblPeople[PersonID], tblPeople[PersonName], ""), "")</f>
        <v>Dunstan Kwalanda</v>
      </c>
      <c r="D159" s="15" t="s">
        <v>124</v>
      </c>
      <c r="E159" s="16" t="str">
        <f>IFERROR(_xlfn.XLOOKUP(D159, tblCourses[CourseID], tblCourses[CourseName], ""), "")</f>
        <v>Aviation Security (Initial)</v>
      </c>
      <c r="F159" s="17">
        <v>45716</v>
      </c>
      <c r="G159" s="17" t="str" cm="1">
        <f t="array" ref="G1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9" s="15" t="str">
        <f ca="1">IF(OR(tblTraining[[#This Row],[Status]]="Renewed",tblTraining[[#This Row],[NextDueDate]]=""),"",tblTraining[[#This Row],[NextDueDate]]-TODAY())</f>
        <v/>
      </c>
      <c r="I159" s="15" t="str" cm="1">
        <f t="array" aca="1" ref="I1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0" spans="1:9" x14ac:dyDescent="0.25">
      <c r="A160" s="15">
        <f t="shared" si="2"/>
        <v>159</v>
      </c>
      <c r="B160" s="15" t="s">
        <v>135</v>
      </c>
      <c r="C160" s="15" t="str" cm="1">
        <f t="array" ref="C160">IFERROR(_xlfn.XLOOKUP(B160, tblPeople[PersonID], tblPeople[PersonName], ""), "")</f>
        <v>Francis Muriuki</v>
      </c>
      <c r="D160" s="15" t="s">
        <v>22</v>
      </c>
      <c r="E160" s="16" t="str">
        <f>IFERROR(_xlfn.XLOOKUP(D160, tblCourses[CourseID], tblCourses[CourseName], ""), "")</f>
        <v>Human Factors in Aviation (Refresher)</v>
      </c>
      <c r="F160" s="17">
        <v>45341</v>
      </c>
      <c r="G160" s="17" t="str" cm="1">
        <f t="array" ref="G1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0" s="15" t="str">
        <f ca="1">IF(OR(tblTraining[[#This Row],[Status]]="Renewed",tblTraining[[#This Row],[NextDueDate]]=""),"",tblTraining[[#This Row],[NextDueDate]]-TODAY())</f>
        <v/>
      </c>
      <c r="I160" s="15" t="str" cm="1">
        <f t="array" aca="1" ref="I1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61" spans="1:9" x14ac:dyDescent="0.25">
      <c r="A161" s="15">
        <f t="shared" si="2"/>
        <v>160</v>
      </c>
      <c r="B161" s="15" t="s">
        <v>105</v>
      </c>
      <c r="C161" s="15" t="str" cm="1">
        <f t="array" ref="C161">IFERROR(_xlfn.XLOOKUP(B161, tblPeople[PersonID], tblPeople[PersonName], ""), "")</f>
        <v>Fred Magotsi</v>
      </c>
      <c r="D161" s="15" t="s">
        <v>202</v>
      </c>
      <c r="E161" s="16" t="str">
        <f>IFERROR(_xlfn.XLOOKUP(D161, tblCourses[CourseID], tblCourses[CourseName], ""), "")</f>
        <v>Maintenance Procedures &amp; Standard Maintenance Practices (Refresher)</v>
      </c>
      <c r="F161" s="17">
        <v>45328</v>
      </c>
      <c r="G161" s="17" t="str" cm="1">
        <f t="array" ref="G1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1" s="15" t="str">
        <f ca="1">IF(OR(tblTraining[[#This Row],[Status]]="Renewed",tblTraining[[#This Row],[NextDueDate]]=""),"",tblTraining[[#This Row],[NextDueDate]]-TODAY())</f>
        <v/>
      </c>
      <c r="I161" s="15" t="str" cm="1">
        <f t="array" aca="1" ref="I1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62" spans="1:9" x14ac:dyDescent="0.25">
      <c r="A162" s="15">
        <f t="shared" si="2"/>
        <v>161</v>
      </c>
      <c r="B162" s="15" t="s">
        <v>166</v>
      </c>
      <c r="C162" s="15" t="str" cm="1">
        <f t="array" ref="C162">IFERROR(_xlfn.XLOOKUP(B162, tblPeople[PersonID], tblPeople[PersonName], ""), "")</f>
        <v>Hannah Wambui</v>
      </c>
      <c r="D162" s="15" t="s">
        <v>17</v>
      </c>
      <c r="E162" s="16" t="str">
        <f>IFERROR(_xlfn.XLOOKUP(D162, tblCourses[CourseID], tblCourses[CourseName], ""), "")</f>
        <v>Safety Management Systems (Refresher)</v>
      </c>
      <c r="F162" s="17">
        <v>45910</v>
      </c>
      <c r="G162" s="17" cm="1">
        <f t="array" ref="G1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162" s="15">
        <f ca="1">IF(OR(tblTraining[[#This Row],[Status]]="Renewed",tblTraining[[#This Row],[NextDueDate]]=""),"",tblTraining[[#This Row],[NextDueDate]]-TODAY())</f>
        <v>354</v>
      </c>
      <c r="I162" s="15" t="str" cm="1">
        <f t="array" aca="1" ref="I1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3" spans="1:9" x14ac:dyDescent="0.25">
      <c r="A163" s="15">
        <f t="shared" si="2"/>
        <v>162</v>
      </c>
      <c r="B163" s="15" t="s">
        <v>106</v>
      </c>
      <c r="C163" s="15" t="str" cm="1">
        <f t="array" ref="C163">IFERROR(_xlfn.XLOOKUP(B163, tblPeople[PersonID], tblPeople[PersonName], ""), "")</f>
        <v>James Mugo</v>
      </c>
      <c r="D163" s="15" t="s">
        <v>132</v>
      </c>
      <c r="E163" s="16" t="str">
        <f>IFERROR(_xlfn.XLOOKUP(D163, tblCourses[CourseID], tblCourses[CourseName], ""), "")</f>
        <v>Marshalling Techniques Course</v>
      </c>
      <c r="F163" s="17">
        <v>45470</v>
      </c>
      <c r="G163" s="17" t="str" cm="1">
        <f t="array" ref="G1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3" s="15" t="str">
        <f ca="1">IF(OR(tblTraining[[#This Row],[Status]]="Renewed",tblTraining[[#This Row],[NextDueDate]]=""),"",tblTraining[[#This Row],[NextDueDate]]-TODAY())</f>
        <v/>
      </c>
      <c r="I163" s="15" t="str" cm="1">
        <f t="array" aca="1" ref="I1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4" spans="1:9" x14ac:dyDescent="0.25">
      <c r="A164" s="15">
        <f t="shared" si="2"/>
        <v>163</v>
      </c>
      <c r="B164" s="15" t="s">
        <v>101</v>
      </c>
      <c r="C164" s="15" t="str" cm="1">
        <f t="array" ref="C164">IFERROR(_xlfn.XLOOKUP(B164, tblPeople[PersonID], tblPeople[PersonName], ""), "")</f>
        <v>Paul Mzera</v>
      </c>
      <c r="D164" s="15" t="s">
        <v>28</v>
      </c>
      <c r="E164" s="16" t="str">
        <f>IFERROR(_xlfn.XLOOKUP(D164, tblCourses[CourseID], tblCourses[CourseName], ""), "")</f>
        <v>DHC-8 100/200/300 with PWC 120/120A/121/123B/C/D/E Series Engines(Refresher)</v>
      </c>
      <c r="F164" s="17">
        <v>45583</v>
      </c>
      <c r="G164" s="17" cm="1">
        <f t="array" ref="G1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46313</v>
      </c>
      <c r="H164" s="15">
        <f ca="1">IF(OR(tblTraining[[#This Row],[Status]]="Renewed",tblTraining[[#This Row],[NextDueDate]]=""),"",tblTraining[[#This Row],[NextDueDate]]-TODAY())</f>
        <v>27</v>
      </c>
      <c r="I164" s="15" t="str" cm="1">
        <f t="array" aca="1" ref="I1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65" spans="1:9" x14ac:dyDescent="0.25">
      <c r="A165" s="15">
        <f t="shared" si="2"/>
        <v>164</v>
      </c>
      <c r="B165" s="15" t="s">
        <v>93</v>
      </c>
      <c r="C165" s="15" t="str" cm="1">
        <f t="array" ref="C165">IFERROR(_xlfn.XLOOKUP(B165, tblPeople[PersonID], tblPeople[PersonName], ""), "")</f>
        <v>Stephen Tunje</v>
      </c>
      <c r="D165" s="15" t="s">
        <v>20</v>
      </c>
      <c r="E165" s="16" t="str">
        <f>IFERROR(_xlfn.XLOOKUP(D165, tblCourses[CourseID], tblCourses[CourseName], ""), "")</f>
        <v>Safety Management Systems (Initial)</v>
      </c>
      <c r="F165" s="17">
        <v>45379</v>
      </c>
      <c r="G165" s="17" t="str" cm="1">
        <f t="array" ref="G1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5" s="15" t="str">
        <f ca="1">IF(OR(tblTraining[[#This Row],[Status]]="Renewed",tblTraining[[#This Row],[NextDueDate]]=""),"",tblTraining[[#This Row],[NextDueDate]]-TODAY())</f>
        <v/>
      </c>
      <c r="I165" s="15" t="str" cm="1">
        <f t="array" aca="1" ref="I1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6" spans="1:9" x14ac:dyDescent="0.25">
      <c r="A166" s="15">
        <f t="shared" si="2"/>
        <v>165</v>
      </c>
      <c r="B166" s="15" t="s">
        <v>91</v>
      </c>
      <c r="C166" s="15" t="str" cm="1">
        <f t="array" ref="C166">IFERROR(_xlfn.XLOOKUP(B166, tblPeople[PersonID], tblPeople[PersonName], ""), "")</f>
        <v>Dunstan Kwalanda</v>
      </c>
      <c r="D166" s="15" t="s">
        <v>125</v>
      </c>
      <c r="E166" s="16" t="str">
        <f>IFERROR(_xlfn.XLOOKUP(D166, tblCourses[CourseID], tblCourses[CourseName], ""), "")</f>
        <v>Aviation Security (Refresher)</v>
      </c>
      <c r="F166" s="17">
        <v>45716</v>
      </c>
      <c r="G166" s="17" cm="1">
        <f t="array" ref="G1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66" s="15">
        <f ca="1">IF(OR(tblTraining[[#This Row],[Status]]="Renewed",tblTraining[[#This Row],[NextDueDate]]=""),"",tblTraining[[#This Row],[NextDueDate]]-TODAY())</f>
        <v>160</v>
      </c>
      <c r="I166" s="15" t="str" cm="1">
        <f t="array" aca="1" ref="I1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7" spans="1:9" x14ac:dyDescent="0.25">
      <c r="A167" s="15">
        <f t="shared" si="2"/>
        <v>166</v>
      </c>
      <c r="B167" s="15" t="s">
        <v>135</v>
      </c>
      <c r="C167" s="15" t="str" cm="1">
        <f t="array" ref="C167">IFERROR(_xlfn.XLOOKUP(B167, tblPeople[PersonID], tblPeople[PersonName], ""), "")</f>
        <v>Francis Muriuki</v>
      </c>
      <c r="D167" s="15" t="s">
        <v>17</v>
      </c>
      <c r="E167" s="16" t="str">
        <f>IFERROR(_xlfn.XLOOKUP(D167, tblCourses[CourseID], tblCourses[CourseName], ""), "")</f>
        <v>Safety Management Systems (Refresher)</v>
      </c>
      <c r="F167" s="17">
        <v>45195</v>
      </c>
      <c r="G167" s="17" t="str" cm="1">
        <f t="array" ref="G1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7" s="15" t="str">
        <f ca="1">IF(OR(tblTraining[[#This Row],[Status]]="Renewed",tblTraining[[#This Row],[NextDueDate]]=""),"",tblTraining[[#This Row],[NextDueDate]]-TODAY())</f>
        <v/>
      </c>
      <c r="I167" s="15" t="str" cm="1">
        <f t="array" aca="1" ref="I1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68" spans="1:9" x14ac:dyDescent="0.25">
      <c r="A168" s="15">
        <f t="shared" si="2"/>
        <v>167</v>
      </c>
      <c r="B168" s="15" t="s">
        <v>105</v>
      </c>
      <c r="C168" s="15" t="str" cm="1">
        <f t="array" ref="C168">IFERROR(_xlfn.XLOOKUP(B168, tblPeople[PersonID], tblPeople[PersonName], ""), "")</f>
        <v>Fred Magotsi</v>
      </c>
      <c r="D168" s="15" t="s">
        <v>78</v>
      </c>
      <c r="E168" s="16" t="str">
        <f>IFERROR(_xlfn.XLOOKUP(D168, tblCourses[CourseID], tblCourses[CourseName], ""), "")</f>
        <v>DHC8 -100/-200/-300 Collins Wheels &amp; Brakes Familiarization Training (Initial)</v>
      </c>
      <c r="F168" s="17">
        <v>42249</v>
      </c>
      <c r="G168" s="17" t="str" cm="1">
        <f t="array" ref="G1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8" s="15" t="str">
        <f ca="1">IF(OR(tblTraining[[#This Row],[Status]]="Renewed",tblTraining[[#This Row],[NextDueDate]]=""),"",tblTraining[[#This Row],[NextDueDate]]-TODAY())</f>
        <v/>
      </c>
      <c r="I168" s="15" t="str" cm="1">
        <f t="array" aca="1" ref="I1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9" spans="1:9" x14ac:dyDescent="0.25">
      <c r="A169" s="15">
        <f t="shared" si="2"/>
        <v>168</v>
      </c>
      <c r="B169" s="15" t="s">
        <v>166</v>
      </c>
      <c r="C169" s="15" t="str" cm="1">
        <f t="array" ref="C169">IFERROR(_xlfn.XLOOKUP(B169, tblPeople[PersonID], tblPeople[PersonName], ""), "")</f>
        <v>Hannah Wambui</v>
      </c>
      <c r="D169" s="15" t="s">
        <v>33</v>
      </c>
      <c r="E169" s="16" t="str">
        <f>IFERROR(_xlfn.XLOOKUP(D169, tblCourses[CourseID], tblCourses[CourseName], ""), "")</f>
        <v>Audit Techniques</v>
      </c>
      <c r="F169" s="17">
        <v>45882</v>
      </c>
      <c r="G169" s="17" t="str" cm="1">
        <f t="array" ref="G1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9" s="15" t="str">
        <f ca="1">IF(OR(tblTraining[[#This Row],[Status]]="Renewed",tblTraining[[#This Row],[NextDueDate]]=""),"",tblTraining[[#This Row],[NextDueDate]]-TODAY())</f>
        <v/>
      </c>
      <c r="I169" s="15" t="str" cm="1">
        <f t="array" aca="1" ref="I1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0" spans="1:9" x14ac:dyDescent="0.25">
      <c r="A170" s="15">
        <f t="shared" si="2"/>
        <v>169</v>
      </c>
      <c r="B170" s="15" t="s">
        <v>106</v>
      </c>
      <c r="C170" s="15" t="str" cm="1">
        <f t="array" ref="C170">IFERROR(_xlfn.XLOOKUP(B170, tblPeople[PersonID], tblPeople[PersonName], ""), "")</f>
        <v>James Mugo</v>
      </c>
      <c r="D170" s="15" t="s">
        <v>77</v>
      </c>
      <c r="E170" s="16" t="str">
        <f>IFERROR(_xlfn.XLOOKUP(D170, tblCourses[CourseID], tblCourses[CourseName], ""), "")</f>
        <v>DHC8 -100/-200/-300 Collins Wheels &amp; Brakes Familiarization Training (Refresher)</v>
      </c>
      <c r="F170" s="17">
        <v>45637</v>
      </c>
      <c r="G170" s="17" cm="1">
        <f t="array" ref="G1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70" s="15">
        <f ca="1">IF(OR(tblTraining[[#This Row],[Status]]="Renewed",tblTraining[[#This Row],[NextDueDate]]=""),"",tblTraining[[#This Row],[NextDueDate]]-TODAY())</f>
        <v>81</v>
      </c>
      <c r="I170" s="15" t="str" cm="1">
        <f t="array" aca="1" ref="I1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1" spans="1:9" x14ac:dyDescent="0.25">
      <c r="A171" s="15">
        <f t="shared" si="2"/>
        <v>170</v>
      </c>
      <c r="B171" s="15" t="s">
        <v>93</v>
      </c>
      <c r="C171" s="15" t="str" cm="1">
        <f t="array" ref="C171">IFERROR(_xlfn.XLOOKUP(B171, tblPeople[PersonID], tblPeople[PersonName], ""), "")</f>
        <v>Stephen Tunje</v>
      </c>
      <c r="D171" s="15" t="s">
        <v>17</v>
      </c>
      <c r="E171" s="16" t="str">
        <f>IFERROR(_xlfn.XLOOKUP(D171, tblCourses[CourseID], tblCourses[CourseName], ""), "")</f>
        <v>Safety Management Systems (Refresher)</v>
      </c>
      <c r="F171" s="17">
        <v>45379</v>
      </c>
      <c r="G171" s="17" t="str" cm="1">
        <f t="array" ref="G1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1" s="15" t="str">
        <f ca="1">IF(OR(tblTraining[[#This Row],[Status]]="Renewed",tblTraining[[#This Row],[NextDueDate]]=""),"",tblTraining[[#This Row],[NextDueDate]]-TODAY())</f>
        <v/>
      </c>
      <c r="I171" s="15" t="str" cm="1">
        <f t="array" aca="1" ref="I1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72" spans="1:9" x14ac:dyDescent="0.25">
      <c r="A172" s="15">
        <f t="shared" si="2"/>
        <v>171</v>
      </c>
      <c r="B172" s="15" t="s">
        <v>91</v>
      </c>
      <c r="C172" s="15" t="str" cm="1">
        <f t="array" ref="C172">IFERROR(_xlfn.XLOOKUP(B172, tblPeople[PersonID], tblPeople[PersonName], ""), "")</f>
        <v>Dunstan Kwalanda</v>
      </c>
      <c r="D172" s="15" t="s">
        <v>24</v>
      </c>
      <c r="E172" s="16" t="str">
        <f>IFERROR(_xlfn.XLOOKUP(D172, tblCourses[CourseID], tblCourses[CourseName], ""), "")</f>
        <v>Human Factors in Aviation (Initial)</v>
      </c>
      <c r="F172" s="17">
        <v>45212</v>
      </c>
      <c r="G172" s="17" t="str" cm="1">
        <f t="array" ref="G1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2" s="15" t="str">
        <f ca="1">IF(OR(tblTraining[[#This Row],[Status]]="Renewed",tblTraining[[#This Row],[NextDueDate]]=""),"",tblTraining[[#This Row],[NextDueDate]]-TODAY())</f>
        <v/>
      </c>
      <c r="I172" s="15" t="str" cm="1">
        <f t="array" aca="1" ref="I1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3" spans="1:9" x14ac:dyDescent="0.25">
      <c r="A173" s="15">
        <f t="shared" si="2"/>
        <v>172</v>
      </c>
      <c r="B173" s="15" t="s">
        <v>135</v>
      </c>
      <c r="C173" s="15" t="str" cm="1">
        <f t="array" ref="C173">IFERROR(_xlfn.XLOOKUP(B173, tblPeople[PersonID], tblPeople[PersonName], ""), "")</f>
        <v>Francis Muriuki</v>
      </c>
      <c r="D173" s="15" t="s">
        <v>227</v>
      </c>
      <c r="E173" s="16" t="str">
        <f>IFERROR(_xlfn.XLOOKUP(D173, tblCourses[CourseID], tblCourses[CourseName], ""), "")</f>
        <v>Core Instructional Technique (Initial)</v>
      </c>
      <c r="F173" s="17">
        <v>45597</v>
      </c>
      <c r="G173" s="17" t="str" cm="1">
        <f t="array" ref="G1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3" s="15" t="str">
        <f ca="1">IF(OR(tblTraining[[#This Row],[Status]]="Renewed",tblTraining[[#This Row],[NextDueDate]]=""),"",tblTraining[[#This Row],[NextDueDate]]-TODAY())</f>
        <v/>
      </c>
      <c r="I173" s="15" t="str" cm="1">
        <f t="array" aca="1" ref="I1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4" spans="1:9" x14ac:dyDescent="0.25">
      <c r="A174" s="15">
        <f t="shared" si="2"/>
        <v>173</v>
      </c>
      <c r="B174" s="15" t="s">
        <v>105</v>
      </c>
      <c r="C174" s="15" t="str" cm="1">
        <f t="array" ref="C174">IFERROR(_xlfn.XLOOKUP(B174, tblPeople[PersonID], tblPeople[PersonName], ""), "")</f>
        <v>Fred Magotsi</v>
      </c>
      <c r="D174" s="15" t="s">
        <v>17</v>
      </c>
      <c r="E174" s="16" t="str">
        <f>IFERROR(_xlfn.XLOOKUP(D174, tblCourses[CourseID], tblCourses[CourseName], ""), "")</f>
        <v>Safety Management Systems (Refresher)</v>
      </c>
      <c r="F174" s="17">
        <v>45895</v>
      </c>
      <c r="G174" s="17" cm="1">
        <f t="array" ref="G1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174" s="15">
        <f ca="1">IF(OR(tblTraining[[#This Row],[Status]]="Renewed",tblTraining[[#This Row],[NextDueDate]]=""),"",tblTraining[[#This Row],[NextDueDate]]-TODAY())</f>
        <v>339</v>
      </c>
      <c r="I174" s="15" t="str" cm="1">
        <f t="array" aca="1" ref="I1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5" spans="1:9" x14ac:dyDescent="0.25">
      <c r="A175" s="15">
        <f t="shared" si="2"/>
        <v>174</v>
      </c>
      <c r="B175" s="15" t="s">
        <v>150</v>
      </c>
      <c r="C175" s="15" t="str" cm="1">
        <f t="array" ref="C175">IFERROR(_xlfn.XLOOKUP(B175, tblPeople[PersonID], tblPeople[PersonName], ""), "")</f>
        <v>Kea Kazungu</v>
      </c>
      <c r="D175" s="15" t="s">
        <v>126</v>
      </c>
      <c r="E175" s="16" t="str">
        <f>IFERROR(_xlfn.XLOOKUP(D175, tblCourses[CourseID], tblCourses[CourseName], ""), "")</f>
        <v>Maintenance Indoctrination</v>
      </c>
      <c r="F175" s="17">
        <v>43444</v>
      </c>
      <c r="G175" s="17" t="str" cm="1">
        <f t="array" ref="G1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5" s="15" t="str">
        <f ca="1">IF(OR(tblTraining[[#This Row],[Status]]="Renewed",tblTraining[[#This Row],[NextDueDate]]=""),"",tblTraining[[#This Row],[NextDueDate]]-TODAY())</f>
        <v/>
      </c>
      <c r="I175" s="15" t="str" cm="1">
        <f t="array" aca="1" ref="I1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6" spans="1:9" x14ac:dyDescent="0.25">
      <c r="A176" s="15">
        <f t="shared" si="2"/>
        <v>175</v>
      </c>
      <c r="B176" s="15" t="s">
        <v>101</v>
      </c>
      <c r="C176" s="15" t="str" cm="1">
        <f t="array" ref="C176">IFERROR(_xlfn.XLOOKUP(B176, tblPeople[PersonID], tblPeople[PersonName], ""), "")</f>
        <v>Paul Mzera</v>
      </c>
      <c r="D176" s="15" t="s">
        <v>182</v>
      </c>
      <c r="E176" s="16" t="str">
        <f>IFERROR(_xlfn.XLOOKUP(D176, tblCourses[CourseID], tblCourses[CourseName], ""), "")</f>
        <v>Cessna 208 Series (Caravan) With P&amp;WC PT6A-114/ -114A/ -140 Engines (Refresher)</v>
      </c>
      <c r="F176" s="17">
        <v>45574</v>
      </c>
      <c r="G176" s="17" cm="1">
        <f t="array" ref="G1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46304</v>
      </c>
      <c r="H176" s="15">
        <f ca="1">IF(OR(tblTraining[[#This Row],[Status]]="Renewed",tblTraining[[#This Row],[NextDueDate]]=""),"",tblTraining[[#This Row],[NextDueDate]]-TODAY())</f>
        <v>18</v>
      </c>
      <c r="I176" s="15" t="str" cm="1">
        <f t="array" aca="1" ref="I1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77" spans="1:9" x14ac:dyDescent="0.25">
      <c r="A177" s="15">
        <f t="shared" si="2"/>
        <v>176</v>
      </c>
      <c r="B177" s="15" t="s">
        <v>93</v>
      </c>
      <c r="C177" s="15" t="str" cm="1">
        <f t="array" ref="C177">IFERROR(_xlfn.XLOOKUP(B177, tblPeople[PersonID], tblPeople[PersonName], ""), "")</f>
        <v>Stephen Tunje</v>
      </c>
      <c r="D177" s="15" t="s">
        <v>24</v>
      </c>
      <c r="E177" s="16" t="str">
        <f>IFERROR(_xlfn.XLOOKUP(D177, tblCourses[CourseID], tblCourses[CourseName], ""), "")</f>
        <v>Human Factors in Aviation (Initial)</v>
      </c>
      <c r="F177" s="17">
        <v>45212</v>
      </c>
      <c r="G177" s="17" t="str" cm="1">
        <f t="array" ref="G1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7" s="15" t="str">
        <f ca="1">IF(OR(tblTraining[[#This Row],[Status]]="Renewed",tblTraining[[#This Row],[NextDueDate]]=""),"",tblTraining[[#This Row],[NextDueDate]]-TODAY())</f>
        <v/>
      </c>
      <c r="I177" s="15" t="str" cm="1">
        <f t="array" aca="1" ref="I1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8" spans="1:9" x14ac:dyDescent="0.25">
      <c r="A178" s="15">
        <f t="shared" si="2"/>
        <v>177</v>
      </c>
      <c r="B178" s="15" t="s">
        <v>214</v>
      </c>
      <c r="C178" s="15" t="str" cm="1">
        <f t="array" ref="C178">IFERROR(_xlfn.XLOOKUP(B178, tblPeople[PersonID], tblPeople[PersonName], ""), "")</f>
        <v xml:space="preserve">Edwin Kemei </v>
      </c>
      <c r="D178" s="15" t="s">
        <v>126</v>
      </c>
      <c r="E178" s="16" t="str">
        <f>IFERROR(_xlfn.XLOOKUP(D178, tblCourses[CourseID], tblCourses[CourseName], ""), "")</f>
        <v>Maintenance Indoctrination</v>
      </c>
      <c r="F178" s="17">
        <v>43754</v>
      </c>
      <c r="G178" s="17" t="str" cm="1">
        <f t="array" ref="G1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8" s="15" t="str">
        <f ca="1">IF(OR(tblTraining[[#This Row],[Status]]="Renewed",tblTraining[[#This Row],[NextDueDate]]=""),"",tblTraining[[#This Row],[NextDueDate]]-TODAY())</f>
        <v/>
      </c>
      <c r="I178" s="15" t="str" cm="1">
        <f t="array" aca="1" ref="I1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9" spans="1:9" x14ac:dyDescent="0.25">
      <c r="A179" s="15">
        <f t="shared" si="2"/>
        <v>178</v>
      </c>
      <c r="B179" s="15" t="s">
        <v>135</v>
      </c>
      <c r="C179" s="15" t="str" cm="1">
        <f t="array" ref="C179">IFERROR(_xlfn.XLOOKUP(B179, tblPeople[PersonID], tblPeople[PersonName], ""), "")</f>
        <v>Francis Muriuki</v>
      </c>
      <c r="D179" s="15" t="s">
        <v>30</v>
      </c>
      <c r="E179" s="16" t="str">
        <f>IFERROR(_xlfn.XLOOKUP(D179, tblCourses[CourseID], tblCourses[CourseName], ""), "")</f>
        <v>Dangerous Goods Regulations (CBTA 7.3) (Refresher)</v>
      </c>
      <c r="F179" s="17">
        <v>45758</v>
      </c>
      <c r="G179" s="17" cm="1">
        <f t="array" ref="G1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179" s="15">
        <f ca="1">IF(OR(tblTraining[[#This Row],[Status]]="Renewed",tblTraining[[#This Row],[NextDueDate]]=""),"",tblTraining[[#This Row],[NextDueDate]]-TODAY())</f>
        <v>202</v>
      </c>
      <c r="I179" s="15" t="str" cm="1">
        <f t="array" aca="1" ref="I1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0" spans="1:9" x14ac:dyDescent="0.25">
      <c r="A180" s="15">
        <f t="shared" si="2"/>
        <v>179</v>
      </c>
      <c r="B180" s="15" t="s">
        <v>106</v>
      </c>
      <c r="C180" s="15" t="str" cm="1">
        <f t="array" ref="C180">IFERROR(_xlfn.XLOOKUP(B180, tblPeople[PersonID], tblPeople[PersonName], ""), "")</f>
        <v>James Mugo</v>
      </c>
      <c r="D180" s="15" t="s">
        <v>78</v>
      </c>
      <c r="E180" s="16" t="str">
        <f>IFERROR(_xlfn.XLOOKUP(D180, tblCourses[CourseID], tblCourses[CourseName], ""), "")</f>
        <v>DHC8 -100/-200/-300 Collins Wheels &amp; Brakes Familiarization Training (Initial)</v>
      </c>
      <c r="F180" s="18">
        <v>45637</v>
      </c>
      <c r="G180" s="17" t="str" cm="1">
        <f t="array" ref="G1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0" s="15" t="str">
        <f ca="1">IF(OR(tblTraining[[#This Row],[Status]]="Renewed",tblTraining[[#This Row],[NextDueDate]]=""),"",tblTraining[[#This Row],[NextDueDate]]-TODAY())</f>
        <v/>
      </c>
      <c r="I180" s="15" t="str" cm="1">
        <f t="array" aca="1" ref="I1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1" spans="1:9" x14ac:dyDescent="0.25">
      <c r="A181" s="15">
        <f t="shared" si="2"/>
        <v>180</v>
      </c>
      <c r="B181" s="15" t="s">
        <v>101</v>
      </c>
      <c r="C181" s="15" t="str" cm="1">
        <f t="array" ref="C181">IFERROR(_xlfn.XLOOKUP(B181, tblPeople[PersonID], tblPeople[PersonName], ""), "")</f>
        <v>Paul Mzera</v>
      </c>
      <c r="D181" s="15" t="s">
        <v>25</v>
      </c>
      <c r="E181" s="16" t="str">
        <f>IFERROR(_xlfn.XLOOKUP(D181, tblCourses[CourseID], tblCourses[CourseName], ""), "")</f>
        <v>Pratt &amp; Whitney Canada PT6A Engine With P&amp;WC PT6A
20/ 27/ 41/ 42/ 60A/ 67D/ 112/ 114A/ 140 (Refresher)</v>
      </c>
      <c r="F181" s="17">
        <v>45352</v>
      </c>
      <c r="G181" s="17" t="str" cm="1">
        <f t="array" ref="G1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1" s="15" t="str">
        <f ca="1">IF(OR(tblTraining[[#This Row],[Status]]="Renewed",tblTraining[[#This Row],[NextDueDate]]=""),"",tblTraining[[#This Row],[NextDueDate]]-TODAY())</f>
        <v/>
      </c>
      <c r="I181" s="15" t="str" cm="1">
        <f t="array" aca="1" ref="I1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82" spans="1:9" x14ac:dyDescent="0.25">
      <c r="A182" s="15">
        <f t="shared" si="2"/>
        <v>181</v>
      </c>
      <c r="B182" s="15" t="s">
        <v>93</v>
      </c>
      <c r="C182" s="15" t="str" cm="1">
        <f t="array" ref="C182">IFERROR(_xlfn.XLOOKUP(B182, tblPeople[PersonID], tblPeople[PersonName], ""), "")</f>
        <v>Stephen Tunje</v>
      </c>
      <c r="D182" s="15" t="s">
        <v>22</v>
      </c>
      <c r="E182" s="16" t="str">
        <f>IFERROR(_xlfn.XLOOKUP(D182, tblCourses[CourseID], tblCourses[CourseName], ""), "")</f>
        <v>Human Factors in Aviation (Refresher)</v>
      </c>
      <c r="F182" s="17">
        <v>45212</v>
      </c>
      <c r="G182" s="17" t="str" cm="1">
        <f t="array" ref="G1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2" s="15" t="str">
        <f ca="1">IF(OR(tblTraining[[#This Row],[Status]]="Renewed",tblTraining[[#This Row],[NextDueDate]]=""),"",tblTraining[[#This Row],[NextDueDate]]-TODAY())</f>
        <v/>
      </c>
      <c r="I182" s="15" t="str" cm="1">
        <f t="array" aca="1" ref="I1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83" spans="1:9" x14ac:dyDescent="0.25">
      <c r="A183" s="15">
        <f t="shared" si="2"/>
        <v>182</v>
      </c>
      <c r="B183" s="15" t="s">
        <v>214</v>
      </c>
      <c r="C183" s="15" t="str" cm="1">
        <f t="array" ref="C183">IFERROR(_xlfn.XLOOKUP(B183, tblPeople[PersonID], tblPeople[PersonName], ""), "")</f>
        <v xml:space="preserve">Edwin Kemei </v>
      </c>
      <c r="D183" s="15" t="s">
        <v>17</v>
      </c>
      <c r="E183" s="16" t="str">
        <f>IFERROR(_xlfn.XLOOKUP(D183, tblCourses[CourseID], tblCourses[CourseName], ""), "")</f>
        <v>Safety Management Systems (Refresher)</v>
      </c>
      <c r="F183" s="17">
        <v>45695</v>
      </c>
      <c r="G183" s="17" cm="1">
        <f t="array" ref="G1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46425</v>
      </c>
      <c r="H183" s="15">
        <f ca="1">IF(OR(tblTraining[[#This Row],[Status]]="Renewed",tblTraining[[#This Row],[NextDueDate]]=""),"",tblTraining[[#This Row],[NextDueDate]]-TODAY())</f>
        <v>139</v>
      </c>
      <c r="I183" s="15" t="str" cm="1">
        <f t="array" aca="1" ref="I1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4" spans="1:9" x14ac:dyDescent="0.25">
      <c r="A184" s="15">
        <f t="shared" si="2"/>
        <v>183</v>
      </c>
      <c r="B184" s="15" t="s">
        <v>135</v>
      </c>
      <c r="C184" s="15" t="str" cm="1">
        <f t="array" ref="C184">IFERROR(_xlfn.XLOOKUP(B184, tblPeople[PersonID], tblPeople[PersonName], ""), "")</f>
        <v>Francis Muriuki</v>
      </c>
      <c r="D184" s="15" t="s">
        <v>185</v>
      </c>
      <c r="E184" s="16" t="str">
        <f>IFERROR(_xlfn.XLOOKUP(D184, tblCourses[CourseID], tblCourses[CourseName], ""), "")</f>
        <v>Leadership &amp; Management</v>
      </c>
      <c r="F184" s="17">
        <v>44659</v>
      </c>
      <c r="G184" s="17" t="str" cm="1">
        <f t="array" ref="G1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4" s="15" t="str">
        <f ca="1">IF(OR(tblTraining[[#This Row],[Status]]="Renewed",tblTraining[[#This Row],[NextDueDate]]=""),"",tblTraining[[#This Row],[NextDueDate]]-TODAY())</f>
        <v/>
      </c>
      <c r="I184" s="15" t="str" cm="1">
        <f t="array" aca="1" ref="I1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5" spans="1:9" x14ac:dyDescent="0.25">
      <c r="A185" s="15">
        <f t="shared" si="2"/>
        <v>184</v>
      </c>
      <c r="B185" s="15" t="s">
        <v>106</v>
      </c>
      <c r="C185" s="15" t="str" cm="1">
        <f t="array" ref="C185">IFERROR(_xlfn.XLOOKUP(B185, tblPeople[PersonID], tblPeople[PersonName], ""), "")</f>
        <v>James Mugo</v>
      </c>
      <c r="D185" s="15" t="s">
        <v>17</v>
      </c>
      <c r="E185" s="16" t="str">
        <f>IFERROR(_xlfn.XLOOKUP(D185, tblCourses[CourseID], tblCourses[CourseName], ""), "")</f>
        <v>Safety Management Systems (Refresher)</v>
      </c>
      <c r="F185" s="18">
        <v>45895</v>
      </c>
      <c r="G185" s="17" cm="1">
        <f t="array" ref="G1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185" s="15">
        <f ca="1">IF(OR(tblTraining[[#This Row],[Status]]="Renewed",tblTraining[[#This Row],[NextDueDate]]=""),"",tblTraining[[#This Row],[NextDueDate]]-TODAY())</f>
        <v>339</v>
      </c>
      <c r="I185" s="15" t="str" cm="1">
        <f t="array" aca="1" ref="I1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6" spans="1:9" x14ac:dyDescent="0.25">
      <c r="A186" s="15">
        <f t="shared" si="2"/>
        <v>185</v>
      </c>
      <c r="B186" s="15" t="s">
        <v>150</v>
      </c>
      <c r="C186" s="15" t="str" cm="1">
        <f t="array" ref="C186">IFERROR(_xlfn.XLOOKUP(B186, tblPeople[PersonID], tblPeople[PersonName], ""), "")</f>
        <v>Kea Kazungu</v>
      </c>
      <c r="D186" s="15" t="s">
        <v>172</v>
      </c>
      <c r="E186" s="16" t="str">
        <f>IFERROR(_xlfn.XLOOKUP(D186, tblCourses[CourseID], tblCourses[CourseName], ""), "")</f>
        <v>PR328: QMS ISO 9001:2015 (Lead Auditor Training)</v>
      </c>
      <c r="F186" s="17">
        <v>45792</v>
      </c>
      <c r="G186" s="17" cm="1">
        <f t="array" ref="G1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47618</v>
      </c>
      <c r="H186" s="15">
        <f ca="1">IF(OR(tblTraining[[#This Row],[Status]]="Renewed",tblTraining[[#This Row],[NextDueDate]]=""),"",tblTraining[[#This Row],[NextDueDate]]-TODAY())</f>
        <v>1332</v>
      </c>
      <c r="I186" s="15" t="str" cm="1">
        <f t="array" aca="1" ref="I1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7" spans="1:9" x14ac:dyDescent="0.25">
      <c r="A187" s="15">
        <f t="shared" si="2"/>
        <v>186</v>
      </c>
      <c r="B187" s="15" t="s">
        <v>101</v>
      </c>
      <c r="C187" s="15" t="str" cm="1">
        <f t="array" ref="C187">IFERROR(_xlfn.XLOOKUP(B187, tblPeople[PersonID], tblPeople[PersonName], ""), "")</f>
        <v>Paul Mzera</v>
      </c>
      <c r="D187" s="15" t="s">
        <v>17</v>
      </c>
      <c r="E187" s="16" t="str">
        <f>IFERROR(_xlfn.XLOOKUP(D187, tblCourses[CourseID], tblCourses[CourseName], ""), "")</f>
        <v>Safety Management Systems (Refresher)</v>
      </c>
      <c r="F187" s="17">
        <v>45750</v>
      </c>
      <c r="G187" s="17" cm="1">
        <f t="array" ref="G1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46480</v>
      </c>
      <c r="H187" s="15">
        <f ca="1">IF(OR(tblTraining[[#This Row],[Status]]="Renewed",tblTraining[[#This Row],[NextDueDate]]=""),"",tblTraining[[#This Row],[NextDueDate]]-TODAY())</f>
        <v>194</v>
      </c>
      <c r="I187" s="15" t="str" cm="1">
        <f t="array" aca="1" ref="I1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8" spans="1:9" x14ac:dyDescent="0.25">
      <c r="A188" s="15">
        <f t="shared" si="2"/>
        <v>187</v>
      </c>
      <c r="B188" s="15" t="s">
        <v>93</v>
      </c>
      <c r="C188" s="15" t="str" cm="1">
        <f t="array" ref="C188">IFERROR(_xlfn.XLOOKUP(B188, tblPeople[PersonID], tblPeople[PersonName], ""), "")</f>
        <v>Stephen Tunje</v>
      </c>
      <c r="D188" s="15" t="s">
        <v>138</v>
      </c>
      <c r="E188" s="16" t="str">
        <f>IFERROR(_xlfn.XLOOKUP(D188, tblCourses[CourseID], tblCourses[CourseName], ""), "")</f>
        <v>Fire Marshal Training (OSHA, 2007)</v>
      </c>
      <c r="F188" s="17">
        <v>45184</v>
      </c>
      <c r="G188" s="17" t="str" cm="1">
        <f t="array" ref="G1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8" s="15" t="str">
        <f ca="1">IF(OR(tblTraining[[#This Row],[Status]]="Renewed",tblTraining[[#This Row],[NextDueDate]]=""),"",tblTraining[[#This Row],[NextDueDate]]-TODAY())</f>
        <v/>
      </c>
      <c r="I188" s="15" t="str" cm="1">
        <f t="array" aca="1" ref="I1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89" spans="1:9" x14ac:dyDescent="0.25">
      <c r="A189" s="15">
        <f t="shared" si="2"/>
        <v>188</v>
      </c>
      <c r="B189" s="15" t="s">
        <v>214</v>
      </c>
      <c r="C189" s="15" t="str" cm="1">
        <f t="array" ref="C189">IFERROR(_xlfn.XLOOKUP(B189, tblPeople[PersonID], tblPeople[PersonName], ""), "")</f>
        <v xml:space="preserve">Edwin Kemei </v>
      </c>
      <c r="D189" s="15" t="s">
        <v>124</v>
      </c>
      <c r="E189" s="16" t="str">
        <f>IFERROR(_xlfn.XLOOKUP(D189, tblCourses[CourseID], tblCourses[CourseName], ""), "")</f>
        <v>Aviation Security (Initial)</v>
      </c>
      <c r="F189" s="17">
        <v>43396</v>
      </c>
      <c r="G189" s="17" t="str" cm="1">
        <f t="array" ref="G1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9" s="15" t="str">
        <f ca="1">IF(OR(tblTraining[[#This Row],[Status]]="Renewed",tblTraining[[#This Row],[NextDueDate]]=""),"",tblTraining[[#This Row],[NextDueDate]]-TODAY())</f>
        <v/>
      </c>
      <c r="I189" s="15" t="str" cm="1">
        <f t="array" aca="1" ref="I1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0" spans="1:9" x14ac:dyDescent="0.25">
      <c r="A190" s="15">
        <f t="shared" si="2"/>
        <v>189</v>
      </c>
      <c r="B190" s="15" t="s">
        <v>135</v>
      </c>
      <c r="C190" s="15" t="str" cm="1">
        <f t="array" ref="C190">IFERROR(_xlfn.XLOOKUP(B190, tblPeople[PersonID], tblPeople[PersonName], ""), "")</f>
        <v>Francis Muriuki</v>
      </c>
      <c r="D190" s="15" t="s">
        <v>17</v>
      </c>
      <c r="E190" s="16" t="str">
        <f>IFERROR(_xlfn.XLOOKUP(D190, tblCourses[CourseID], tblCourses[CourseName], ""), "")</f>
        <v>Safety Management Systems (Refresher)</v>
      </c>
      <c r="F190" s="17">
        <v>45910</v>
      </c>
      <c r="G190" s="17" cm="1">
        <f t="array" ref="G1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190" s="15">
        <f ca="1">IF(OR(tblTraining[[#This Row],[Status]]="Renewed",tblTraining[[#This Row],[NextDueDate]]=""),"",tblTraining[[#This Row],[NextDueDate]]-TODAY())</f>
        <v>354</v>
      </c>
      <c r="I190" s="15" t="str" cm="1">
        <f t="array" aca="1" ref="I1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1" spans="1:9" x14ac:dyDescent="0.25">
      <c r="A191" s="15">
        <f t="shared" si="2"/>
        <v>190</v>
      </c>
      <c r="B191" s="15" t="s">
        <v>106</v>
      </c>
      <c r="C191" s="15" t="str" cm="1">
        <f t="array" ref="C191">IFERROR(_xlfn.XLOOKUP(B191, tblPeople[PersonID], tblPeople[PersonName], ""), "")</f>
        <v>James Mugo</v>
      </c>
      <c r="D191" s="15" t="s">
        <v>22</v>
      </c>
      <c r="E191" s="16" t="str">
        <f>IFERROR(_xlfn.XLOOKUP(D191, tblCourses[CourseID], tblCourses[CourseName], ""), "")</f>
        <v>Human Factors in Aviation (Refresher)</v>
      </c>
      <c r="F191" s="18">
        <v>45251</v>
      </c>
      <c r="G191" s="17" t="str" cm="1">
        <f t="array" ref="G1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1" s="15" t="str">
        <f ca="1">IF(OR(tblTraining[[#This Row],[Status]]="Renewed",tblTraining[[#This Row],[NextDueDate]]=""),"",tblTraining[[#This Row],[NextDueDate]]-TODAY())</f>
        <v/>
      </c>
      <c r="I191" s="15" t="str" cm="1">
        <f t="array" aca="1" ref="I1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2" spans="1:9" x14ac:dyDescent="0.25">
      <c r="A192" s="15">
        <f t="shared" si="2"/>
        <v>191</v>
      </c>
      <c r="B192" s="15" t="s">
        <v>150</v>
      </c>
      <c r="C192" s="15" t="str" cm="1">
        <f t="array" ref="C192">IFERROR(_xlfn.XLOOKUP(B192, tblPeople[PersonID], tblPeople[PersonName], ""), "")</f>
        <v>Kea Kazungu</v>
      </c>
      <c r="D192" s="15" t="s">
        <v>77</v>
      </c>
      <c r="E192" s="16" t="str">
        <f>IFERROR(_xlfn.XLOOKUP(D192, tblCourses[CourseID], tblCourses[CourseName], ""), "")</f>
        <v>DHC8 -100/-200/-300 Collins Wheels &amp; Brakes Familiarization Training (Refresher)</v>
      </c>
      <c r="F192" s="17">
        <v>45637</v>
      </c>
      <c r="G192" s="17" cm="1">
        <f t="array" ref="G1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92" s="15">
        <f ca="1">IF(OR(tblTraining[[#This Row],[Status]]="Renewed",tblTraining[[#This Row],[NextDueDate]]=""),"",tblTraining[[#This Row],[NextDueDate]]-TODAY())</f>
        <v>81</v>
      </c>
      <c r="I192" s="15" t="str" cm="1">
        <f t="array" aca="1" ref="I1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3" spans="1:9" x14ac:dyDescent="0.25">
      <c r="A193" s="15">
        <f t="shared" si="2"/>
        <v>192</v>
      </c>
      <c r="B193" s="15" t="s">
        <v>82</v>
      </c>
      <c r="C193" s="15" t="str" cm="1">
        <f t="array" ref="C193">IFERROR(_xlfn.XLOOKUP(B193, tblPeople[PersonID], tblPeople[PersonName], ""), "")</f>
        <v>Philip Mwania</v>
      </c>
      <c r="D193" s="15" t="s">
        <v>126</v>
      </c>
      <c r="E193" s="16" t="str">
        <f>IFERROR(_xlfn.XLOOKUP(D193, tblCourses[CourseID], tblCourses[CourseName], ""), "")</f>
        <v>Maintenance Indoctrination</v>
      </c>
      <c r="F193" s="17">
        <v>43444</v>
      </c>
      <c r="G193" s="17" t="str" cm="1">
        <f t="array" ref="G1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3" s="15" t="str">
        <f ca="1">IF(OR(tblTraining[[#This Row],[Status]]="Renewed",tblTraining[[#This Row],[NextDueDate]]=""),"",tblTraining[[#This Row],[NextDueDate]]-TODAY())</f>
        <v/>
      </c>
      <c r="I193" s="15" t="str" cm="1">
        <f t="array" aca="1" ref="I1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4" spans="1:9" x14ac:dyDescent="0.25">
      <c r="A194" s="15">
        <f t="shared" si="2"/>
        <v>193</v>
      </c>
      <c r="B194" s="15" t="s">
        <v>93</v>
      </c>
      <c r="C194" s="15" t="str" cm="1">
        <f t="array" ref="C194">IFERROR(_xlfn.XLOOKUP(B194, tblPeople[PersonID], tblPeople[PersonName], ""), "")</f>
        <v>Stephen Tunje</v>
      </c>
      <c r="D194" s="15" t="s">
        <v>132</v>
      </c>
      <c r="E194" s="16" t="str">
        <f>IFERROR(_xlfn.XLOOKUP(D194, tblCourses[CourseID], tblCourses[CourseName], ""), "")</f>
        <v>Marshalling Techniques Course</v>
      </c>
      <c r="F194" s="17">
        <v>45469</v>
      </c>
      <c r="G194" s="17" t="str" cm="1">
        <f t="array" ref="G1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4" s="15" t="str">
        <f ca="1">IF(OR(tblTraining[[#This Row],[Status]]="Renewed",tblTraining[[#This Row],[NextDueDate]]=""),"",tblTraining[[#This Row],[NextDueDate]]-TODAY())</f>
        <v/>
      </c>
      <c r="I194" s="15" t="str" cm="1">
        <f t="array" aca="1" ref="I1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5" spans="1:9" x14ac:dyDescent="0.25">
      <c r="A195" s="15">
        <f t="shared" si="2"/>
        <v>194</v>
      </c>
      <c r="B195" s="15" t="s">
        <v>214</v>
      </c>
      <c r="C195" s="15" t="str" cm="1">
        <f t="array" ref="C195">IFERROR(_xlfn.XLOOKUP(B195, tblPeople[PersonID], tblPeople[PersonName], ""), "")</f>
        <v xml:space="preserve">Edwin Kemei </v>
      </c>
      <c r="D195" s="15" t="s">
        <v>125</v>
      </c>
      <c r="E195" s="16" t="str">
        <f>IFERROR(_xlfn.XLOOKUP(D195, tblCourses[CourseID], tblCourses[CourseName], ""), "")</f>
        <v>Aviation Security (Refresher)</v>
      </c>
      <c r="F195" s="17">
        <v>45730</v>
      </c>
      <c r="G195" s="17" cm="1">
        <f t="array" ref="G1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195" s="15">
        <f ca="1">IF(OR(tblTraining[[#This Row],[Status]]="Renewed",tblTraining[[#This Row],[NextDueDate]]=""),"",tblTraining[[#This Row],[NextDueDate]]-TODAY())</f>
        <v>174</v>
      </c>
      <c r="I195" s="15" t="str" cm="1">
        <f t="array" aca="1" ref="I1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6" spans="1:9" x14ac:dyDescent="0.25">
      <c r="A196" s="15">
        <f t="shared" ref="A196:A259" si="3">A195+1</f>
        <v>195</v>
      </c>
      <c r="B196" s="15" t="s">
        <v>106</v>
      </c>
      <c r="C196" s="15" t="str" cm="1">
        <f t="array" ref="C196">IFERROR(_xlfn.XLOOKUP(B196, tblPeople[PersonID], tblPeople[PersonName], ""), "")</f>
        <v>James Mugo</v>
      </c>
      <c r="D196" s="15" t="s">
        <v>28</v>
      </c>
      <c r="E196" s="16" t="str">
        <f>IFERROR(_xlfn.XLOOKUP(D196, tblCourses[CourseID], tblCourses[CourseName], ""), "")</f>
        <v>DHC-8 100/200/300 with PWC 120/120A/121/123B/C/D/E Series Engines(Refresher)</v>
      </c>
      <c r="F196" s="18">
        <v>45856</v>
      </c>
      <c r="G196" s="17" cm="1">
        <f t="array" ref="G1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196" s="15">
        <f ca="1">IF(OR(tblTraining[[#This Row],[Status]]="Renewed",tblTraining[[#This Row],[NextDueDate]]=""),"",tblTraining[[#This Row],[NextDueDate]]-TODAY())</f>
        <v>300</v>
      </c>
      <c r="I196" s="15" t="str" cm="1">
        <f t="array" aca="1" ref="I1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7" spans="1:9" x14ac:dyDescent="0.25">
      <c r="A197" s="15">
        <f t="shared" si="3"/>
        <v>196</v>
      </c>
      <c r="B197" s="15" t="s">
        <v>150</v>
      </c>
      <c r="C197" s="15" t="str" cm="1">
        <f t="array" ref="C197">IFERROR(_xlfn.XLOOKUP(B197, tblPeople[PersonID], tblPeople[PersonName], ""), "")</f>
        <v>Kea Kazungu</v>
      </c>
      <c r="D197" s="15" t="s">
        <v>75</v>
      </c>
      <c r="E197" s="16" t="str">
        <f>IFERROR(_xlfn.XLOOKUP(D197, tblCourses[CourseID], tblCourses[CourseName], ""), "")</f>
        <v>Fuel Tank Safety Phase 1 &amp; 2 Course (Refresher)</v>
      </c>
      <c r="F197" s="17">
        <v>45440</v>
      </c>
      <c r="G197" s="17" t="str" cm="1">
        <f t="array" ref="G1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7" s="15" t="str">
        <f ca="1">IF(OR(tblTraining[[#This Row],[Status]]="Renewed",tblTraining[[#This Row],[NextDueDate]]=""),"",tblTraining[[#This Row],[NextDueDate]]-TODAY())</f>
        <v/>
      </c>
      <c r="I197" s="15" t="str" cm="1">
        <f t="array" aca="1" ref="I1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8" spans="1:9" x14ac:dyDescent="0.25">
      <c r="A198" s="15">
        <f t="shared" si="3"/>
        <v>197</v>
      </c>
      <c r="B198" s="15" t="s">
        <v>82</v>
      </c>
      <c r="C198" s="15" t="str" cm="1">
        <f t="array" ref="C198">IFERROR(_xlfn.XLOOKUP(B198, tblPeople[PersonID], tblPeople[PersonName], ""), "")</f>
        <v>Philip Mwania</v>
      </c>
      <c r="D198" s="15" t="s">
        <v>179</v>
      </c>
      <c r="E198" s="16" t="str">
        <f>IFERROR(_xlfn.XLOOKUP(D198, tblCourses[CourseID], tblCourses[CourseName], ""), "")</f>
        <v>Aircraft Maintenance Engineers' Licence</v>
      </c>
      <c r="F198" s="17">
        <v>45573</v>
      </c>
      <c r="G198" s="17" cm="1">
        <f t="array" ref="G1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46303</v>
      </c>
      <c r="H198" s="15">
        <f ca="1">IF(OR(tblTraining[[#This Row],[Status]]="Renewed",tblTraining[[#This Row],[NextDueDate]]=""),"",tblTraining[[#This Row],[NextDueDate]]-TODAY())</f>
        <v>17</v>
      </c>
      <c r="I198" s="15" t="str" cm="1">
        <f t="array" aca="1" ref="I1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99" spans="1:9" x14ac:dyDescent="0.25">
      <c r="A199" s="15">
        <f t="shared" si="3"/>
        <v>198</v>
      </c>
      <c r="B199" s="15" t="s">
        <v>93</v>
      </c>
      <c r="C199" s="15" t="str" cm="1">
        <f t="array" ref="C199">IFERROR(_xlfn.XLOOKUP(B199, tblPeople[PersonID], tblPeople[PersonName], ""), "")</f>
        <v>Stephen Tunje</v>
      </c>
      <c r="D199" s="15" t="s">
        <v>110</v>
      </c>
      <c r="E199" s="16" t="str">
        <f>IFERROR(_xlfn.XLOOKUP(D199, tblCourses[CourseID], tblCourses[CourseName], ""), "")</f>
        <v>Electrical Wiring Interconnection System Target Groups 1 &amp; 2 (Initial)</v>
      </c>
      <c r="F199" s="17">
        <v>45846</v>
      </c>
      <c r="G199" s="17" t="str" cm="1">
        <f t="array" ref="G1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9" s="15" t="str">
        <f ca="1">IF(OR(tblTraining[[#This Row],[Status]]="Renewed",tblTraining[[#This Row],[NextDueDate]]=""),"",tblTraining[[#This Row],[NextDueDate]]-TODAY())</f>
        <v/>
      </c>
      <c r="I199" s="15" t="str" cm="1">
        <f t="array" aca="1" ref="I1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0" spans="1:9" x14ac:dyDescent="0.25">
      <c r="A200" s="15">
        <f t="shared" si="3"/>
        <v>199</v>
      </c>
      <c r="B200" s="15" t="s">
        <v>214</v>
      </c>
      <c r="C200" s="15" t="str" cm="1">
        <f t="array" ref="C200">IFERROR(_xlfn.XLOOKUP(B200, tblPeople[PersonID], tblPeople[PersonName], ""), "")</f>
        <v xml:space="preserve">Edwin Kemei </v>
      </c>
      <c r="D200" s="15" t="s">
        <v>202</v>
      </c>
      <c r="E200" s="16" t="str">
        <f>IFERROR(_xlfn.XLOOKUP(D200, tblCourses[CourseID], tblCourses[CourseName], ""), "")</f>
        <v>Maintenance Procedures &amp; Standard Maintenance Practices (Refresher)</v>
      </c>
      <c r="F200" s="17">
        <v>45328</v>
      </c>
      <c r="G200" s="17" t="str" cm="1">
        <f t="array" ref="G2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0" s="15" t="str">
        <f ca="1">IF(OR(tblTraining[[#This Row],[Status]]="Renewed",tblTraining[[#This Row],[NextDueDate]]=""),"",tblTraining[[#This Row],[NextDueDate]]-TODAY())</f>
        <v/>
      </c>
      <c r="I200" s="15" t="str" cm="1">
        <f t="array" aca="1" ref="I2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1" spans="1:9" x14ac:dyDescent="0.25">
      <c r="A201" s="15">
        <f t="shared" si="3"/>
        <v>200</v>
      </c>
      <c r="B201" s="15" t="s">
        <v>106</v>
      </c>
      <c r="C201" s="15" t="str" cm="1">
        <f t="array" ref="C201">IFERROR(_xlfn.XLOOKUP(B201, tblPeople[PersonID], tblPeople[PersonName], ""), "")</f>
        <v>James Mugo</v>
      </c>
      <c r="D201" s="15" t="s">
        <v>126</v>
      </c>
      <c r="E201" s="16" t="str">
        <f>IFERROR(_xlfn.XLOOKUP(D201, tblCourses[CourseID], tblCourses[CourseName], ""), "")</f>
        <v>Maintenance Indoctrination</v>
      </c>
      <c r="F201" s="17">
        <v>43444</v>
      </c>
      <c r="G201" s="17" t="str" cm="1">
        <f t="array" ref="G2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1" s="15" t="str">
        <f ca="1">IF(OR(tblTraining[[#This Row],[Status]]="Renewed",tblTraining[[#This Row],[NextDueDate]]=""),"",tblTraining[[#This Row],[NextDueDate]]-TODAY())</f>
        <v/>
      </c>
      <c r="I201" s="15" t="str" cm="1">
        <f t="array" aca="1" ref="I2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2" spans="1:9" x14ac:dyDescent="0.25">
      <c r="A202" s="15">
        <f t="shared" si="3"/>
        <v>201</v>
      </c>
      <c r="B202" s="15" t="s">
        <v>150</v>
      </c>
      <c r="C202" s="15" t="str" cm="1">
        <f t="array" ref="C202">IFERROR(_xlfn.XLOOKUP(B202, tblPeople[PersonID], tblPeople[PersonName], ""), "")</f>
        <v>Kea Kazungu</v>
      </c>
      <c r="D202" s="15" t="s">
        <v>28</v>
      </c>
      <c r="E202" s="16" t="str">
        <f>IFERROR(_xlfn.XLOOKUP(D202, tblCourses[CourseID], tblCourses[CourseName], ""), "")</f>
        <v>DHC-8 100/200/300 with PWC 120/120A/121/123B/C/D/E Series Engines(Refresher)</v>
      </c>
      <c r="F202" s="17">
        <v>45338</v>
      </c>
      <c r="G202" s="17" t="str" cm="1">
        <f t="array" ref="G2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2" s="15" t="str">
        <f ca="1">IF(OR(tblTraining[[#This Row],[Status]]="Renewed",tblTraining[[#This Row],[NextDueDate]]=""),"",tblTraining[[#This Row],[NextDueDate]]-TODAY())</f>
        <v/>
      </c>
      <c r="I202" s="15" t="str" cm="1">
        <f t="array" aca="1" ref="I2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3" spans="1:9" x14ac:dyDescent="0.25">
      <c r="A203" s="15">
        <f t="shared" si="3"/>
        <v>202</v>
      </c>
      <c r="B203" s="15" t="s">
        <v>82</v>
      </c>
      <c r="C203" s="15" t="str" cm="1">
        <f t="array" ref="C203">IFERROR(_xlfn.XLOOKUP(B203, tblPeople[PersonID], tblPeople[PersonName], ""), "")</f>
        <v>Philip Mwania</v>
      </c>
      <c r="D203" s="15" t="s">
        <v>132</v>
      </c>
      <c r="E203" s="16" t="str">
        <f>IFERROR(_xlfn.XLOOKUP(D203, tblCourses[CourseID], tblCourses[CourseName], ""), "")</f>
        <v>Marshalling Techniques Course</v>
      </c>
      <c r="F203" s="17">
        <v>45470</v>
      </c>
      <c r="G203" s="17" t="str" cm="1">
        <f t="array" ref="G2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3" s="15" t="str">
        <f ca="1">IF(OR(tblTraining[[#This Row],[Status]]="Renewed",tblTraining[[#This Row],[NextDueDate]]=""),"",tblTraining[[#This Row],[NextDueDate]]-TODAY())</f>
        <v/>
      </c>
      <c r="I203" s="15" t="str" cm="1">
        <f t="array" aca="1" ref="I2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4" spans="1:9" x14ac:dyDescent="0.25">
      <c r="A204" s="15">
        <f t="shared" si="3"/>
        <v>203</v>
      </c>
      <c r="B204" s="15" t="s">
        <v>93</v>
      </c>
      <c r="C204" s="15" t="str" cm="1">
        <f t="array" ref="C204">IFERROR(_xlfn.XLOOKUP(B204, tblPeople[PersonID], tblPeople[PersonName], ""), "")</f>
        <v>Stephen Tunje</v>
      </c>
      <c r="D204" s="15" t="s">
        <v>109</v>
      </c>
      <c r="E204" s="16" t="str">
        <f>IFERROR(_xlfn.XLOOKUP(D204, tblCourses[CourseID], tblCourses[CourseName], ""), "")</f>
        <v>Electrical Wiring Interconnection System Target Groups 1 &amp; 2 (Refresher)</v>
      </c>
      <c r="F204" s="17">
        <v>45846</v>
      </c>
      <c r="G204" s="17" cm="1">
        <f t="array" ref="G2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204" s="15">
        <f ca="1">IF(OR(tblTraining[[#This Row],[Status]]="Renewed",tblTraining[[#This Row],[NextDueDate]]=""),"",tblTraining[[#This Row],[NextDueDate]]-TODAY())</f>
        <v>290</v>
      </c>
      <c r="I204" s="15" t="str" cm="1">
        <f t="array" aca="1" ref="I2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5" spans="1:9" x14ac:dyDescent="0.25">
      <c r="A205" s="15">
        <f t="shared" si="3"/>
        <v>204</v>
      </c>
      <c r="B205" s="15" t="s">
        <v>214</v>
      </c>
      <c r="C205" s="15" t="str" cm="1">
        <f t="array" ref="C205">IFERROR(_xlfn.XLOOKUP(B205, tblPeople[PersonID], tblPeople[PersonName], ""), "")</f>
        <v xml:space="preserve">Edwin Kemei </v>
      </c>
      <c r="D205" s="15" t="s">
        <v>22</v>
      </c>
      <c r="E205" s="16" t="str">
        <f>IFERROR(_xlfn.XLOOKUP(D205, tblCourses[CourseID], tblCourses[CourseName], ""), "")</f>
        <v>Human Factors in Aviation (Refresher)</v>
      </c>
      <c r="F205" s="17">
        <v>44621</v>
      </c>
      <c r="G205" s="17" t="str" cm="1">
        <f t="array" ref="G2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5" s="15" t="str">
        <f ca="1">IF(OR(tblTraining[[#This Row],[Status]]="Renewed",tblTraining[[#This Row],[NextDueDate]]=""),"",tblTraining[[#This Row],[NextDueDate]]-TODAY())</f>
        <v/>
      </c>
      <c r="I205" s="15" t="str" cm="1">
        <f t="array" aca="1" ref="I2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6" spans="1:9" x14ac:dyDescent="0.25">
      <c r="A206" s="15">
        <f t="shared" si="3"/>
        <v>205</v>
      </c>
      <c r="B206" s="15" t="s">
        <v>106</v>
      </c>
      <c r="C206" s="15" t="str" cm="1">
        <f t="array" ref="C206">IFERROR(_xlfn.XLOOKUP(B206, tblPeople[PersonID], tblPeople[PersonName], ""), "")</f>
        <v>James Mugo</v>
      </c>
      <c r="D206" s="15" t="s">
        <v>75</v>
      </c>
      <c r="E206" s="16" t="str">
        <f>IFERROR(_xlfn.XLOOKUP(D206, tblCourses[CourseID], tblCourses[CourseName], ""), "")</f>
        <v>Fuel Tank Safety Phase 1 &amp; 2 Course (Refresher)</v>
      </c>
      <c r="F206" s="17">
        <v>45495</v>
      </c>
      <c r="G206" s="17" cm="1">
        <f t="array" ref="G2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46225</v>
      </c>
      <c r="H206" s="15">
        <f ca="1">IF(OR(tblTraining[[#This Row],[Status]]="Renewed",tblTraining[[#This Row],[NextDueDate]]=""),"",tblTraining[[#This Row],[NextDueDate]]-TODAY())</f>
        <v>-61</v>
      </c>
      <c r="I206" s="15" t="str" cm="1">
        <f t="array" aca="1" ref="I2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207" spans="1:9" x14ac:dyDescent="0.25">
      <c r="A207" s="15">
        <f t="shared" si="3"/>
        <v>206</v>
      </c>
      <c r="B207" s="15" t="s">
        <v>150</v>
      </c>
      <c r="C207" s="15" t="str" cm="1">
        <f t="array" ref="C207">IFERROR(_xlfn.XLOOKUP(B207, tblPeople[PersonID], tblPeople[PersonName], ""), "")</f>
        <v>Kea Kazungu</v>
      </c>
      <c r="D207" s="15" t="s">
        <v>182</v>
      </c>
      <c r="E207" s="16" t="str">
        <f>IFERROR(_xlfn.XLOOKUP(D207, tblCourses[CourseID], tblCourses[CourseName], ""), "")</f>
        <v>Cessna 208 Series (Caravan) With P&amp;WC PT6A-114/ -114A/ -140 Engines (Refresher)</v>
      </c>
      <c r="F207" s="17">
        <v>45343</v>
      </c>
      <c r="G207" s="17" t="str" cm="1">
        <f t="array" ref="G2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7" s="15" t="str">
        <f ca="1">IF(OR(tblTraining[[#This Row],[Status]]="Renewed",tblTraining[[#This Row],[NextDueDate]]=""),"",tblTraining[[#This Row],[NextDueDate]]-TODAY())</f>
        <v/>
      </c>
      <c r="I207" s="15" t="str" cm="1">
        <f t="array" aca="1" ref="I2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8" spans="1:9" x14ac:dyDescent="0.25">
      <c r="A208" s="15">
        <f t="shared" si="3"/>
        <v>207</v>
      </c>
      <c r="B208" s="15" t="s">
        <v>82</v>
      </c>
      <c r="C208" s="15" t="str" cm="1">
        <f t="array" ref="C208">IFERROR(_xlfn.XLOOKUP(B208, tblPeople[PersonID], tblPeople[PersonName], ""), "")</f>
        <v>Philip Mwania</v>
      </c>
      <c r="D208" s="15" t="s">
        <v>227</v>
      </c>
      <c r="E208" s="16" t="str">
        <f>IFERROR(_xlfn.XLOOKUP(D208, tblCourses[CourseID], tblCourses[CourseName], ""), "")</f>
        <v>Core Instructional Technique (Initial)</v>
      </c>
      <c r="F208" s="17">
        <v>45816</v>
      </c>
      <c r="G208" s="17" t="str" cm="1">
        <f t="array" ref="G2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8" s="15" t="str">
        <f ca="1">IF(OR(tblTraining[[#This Row],[Status]]="Renewed",tblTraining[[#This Row],[NextDueDate]]=""),"",tblTraining[[#This Row],[NextDueDate]]-TODAY())</f>
        <v/>
      </c>
      <c r="I208" s="15" t="str" cm="1">
        <f t="array" aca="1" ref="I2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9" spans="1:9" x14ac:dyDescent="0.25">
      <c r="A209" s="15">
        <f t="shared" si="3"/>
        <v>208</v>
      </c>
      <c r="B209" s="15" t="s">
        <v>150</v>
      </c>
      <c r="C209" s="15" t="str" cm="1">
        <f t="array" ref="C209">IFERROR(_xlfn.XLOOKUP(B209, tblPeople[PersonID], tblPeople[PersonName], ""), "")</f>
        <v>Kea Kazungu</v>
      </c>
      <c r="D209" s="15" t="s">
        <v>25</v>
      </c>
      <c r="E209" s="16" t="str">
        <f>IFERROR(_xlfn.XLOOKUP(D209, tblCourses[CourseID], tblCourses[CourseName], ""), "")</f>
        <v>Pratt &amp; Whitney Canada PT6A Engine With P&amp;WC PT6A
20/ 27/ 41/ 42/ 60A/ 67D/ 112/ 114A/ 140 (Refresher)</v>
      </c>
      <c r="F209" s="17">
        <v>45356</v>
      </c>
      <c r="G209" s="17" t="str" cm="1">
        <f t="array" ref="G2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9" s="15" t="str">
        <f ca="1">IF(OR(tblTraining[[#This Row],[Status]]="Renewed",tblTraining[[#This Row],[NextDueDate]]=""),"",tblTraining[[#This Row],[NextDueDate]]-TODAY())</f>
        <v/>
      </c>
      <c r="I209" s="15" t="str" cm="1">
        <f t="array" aca="1" ref="I2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0" spans="1:9" x14ac:dyDescent="0.25">
      <c r="A210" s="15">
        <f t="shared" si="3"/>
        <v>209</v>
      </c>
      <c r="B210" s="15" t="s">
        <v>82</v>
      </c>
      <c r="C210" s="15" t="str" cm="1">
        <f t="array" ref="C210">IFERROR(_xlfn.XLOOKUP(B210, tblPeople[PersonID], tblPeople[PersonName], ""), "")</f>
        <v>Philip Mwania</v>
      </c>
      <c r="D210" s="15" t="s">
        <v>77</v>
      </c>
      <c r="E210" s="16" t="str">
        <f>IFERROR(_xlfn.XLOOKUP(D210, tblCourses[CourseID], tblCourses[CourseName], ""), "")</f>
        <v>DHC8 -100/-200/-300 Collins Wheels &amp; Brakes Familiarization Training (Refresher)</v>
      </c>
      <c r="F210" s="17">
        <v>45637</v>
      </c>
      <c r="G210" s="17" cm="1">
        <f t="array" ref="G2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10" s="15">
        <f ca="1">IF(OR(tblTraining[[#This Row],[Status]]="Renewed",tblTraining[[#This Row],[NextDueDate]]=""),"",tblTraining[[#This Row],[NextDueDate]]-TODAY())</f>
        <v>81</v>
      </c>
      <c r="I210" s="15" t="str" cm="1">
        <f t="array" aca="1" ref="I2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1" spans="1:9" x14ac:dyDescent="0.25">
      <c r="A211" s="15">
        <f t="shared" si="3"/>
        <v>210</v>
      </c>
      <c r="B211" s="15" t="s">
        <v>150</v>
      </c>
      <c r="C211" s="15" t="str" cm="1">
        <f t="array" ref="C211">IFERROR(_xlfn.XLOOKUP(B211, tblPeople[PersonID], tblPeople[PersonName], ""), "")</f>
        <v>Kea Kazungu</v>
      </c>
      <c r="D211" s="15" t="s">
        <v>17</v>
      </c>
      <c r="E211" s="16" t="str">
        <f>IFERROR(_xlfn.XLOOKUP(D211, tblCourses[CourseID], tblCourses[CourseName], ""), "")</f>
        <v>Safety Management Systems (Refresher)</v>
      </c>
      <c r="F211" s="17">
        <v>45195</v>
      </c>
      <c r="G211" s="17" t="str" cm="1">
        <f t="array" ref="G2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1" s="15" t="str">
        <f ca="1">IF(OR(tblTraining[[#This Row],[Status]]="Renewed",tblTraining[[#This Row],[NextDueDate]]=""),"",tblTraining[[#This Row],[NextDueDate]]-TODAY())</f>
        <v/>
      </c>
      <c r="I211" s="15" t="str" cm="1">
        <f t="array" aca="1" ref="I2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2" spans="1:9" x14ac:dyDescent="0.25">
      <c r="A212" s="15">
        <f t="shared" si="3"/>
        <v>211</v>
      </c>
      <c r="B212" s="15" t="s">
        <v>150</v>
      </c>
      <c r="C212" s="15" t="str" cm="1">
        <f t="array" ref="C212">IFERROR(_xlfn.XLOOKUP(B212, tblPeople[PersonID], tblPeople[PersonName], ""), "")</f>
        <v>Kea Kazungu</v>
      </c>
      <c r="D212" s="15" t="s">
        <v>22</v>
      </c>
      <c r="E212" s="16" t="str">
        <f>IFERROR(_xlfn.XLOOKUP(D212, tblCourses[CourseID], tblCourses[CourseName], ""), "")</f>
        <v>Human Factors in Aviation (Refresher)</v>
      </c>
      <c r="F212" s="17">
        <v>45836</v>
      </c>
      <c r="G212" s="17" cm="1">
        <f t="array" ref="G2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46566</v>
      </c>
      <c r="H212" s="15">
        <f ca="1">IF(OR(tblTraining[[#This Row],[Status]]="Renewed",tblTraining[[#This Row],[NextDueDate]]=""),"",tblTraining[[#This Row],[NextDueDate]]-TODAY())</f>
        <v>280</v>
      </c>
      <c r="I212" s="15" t="str" cm="1">
        <f t="array" aca="1" ref="I2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3" spans="1:9" x14ac:dyDescent="0.25">
      <c r="A213" s="15">
        <f t="shared" si="3"/>
        <v>212</v>
      </c>
      <c r="B213" s="15" t="s">
        <v>82</v>
      </c>
      <c r="C213" s="15" t="str" cm="1">
        <f t="array" ref="C213">IFERROR(_xlfn.XLOOKUP(B213, tblPeople[PersonID], tblPeople[PersonName], ""), "")</f>
        <v>Philip Mwania</v>
      </c>
      <c r="D213" s="15" t="s">
        <v>28</v>
      </c>
      <c r="E213" s="16" t="str">
        <f>IFERROR(_xlfn.XLOOKUP(D213, tblCourses[CourseID], tblCourses[CourseName], ""), "")</f>
        <v>DHC-8 100/200/300 with PWC 120/120A/121/123B/C/D/E Series Engines(Refresher)</v>
      </c>
      <c r="F213" s="17">
        <v>45338</v>
      </c>
      <c r="G213" s="17" t="str" cm="1">
        <f t="array" ref="G2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3" s="15" t="str">
        <f ca="1">IF(OR(tblTraining[[#This Row],[Status]]="Renewed",tblTraining[[#This Row],[NextDueDate]]=""),"",tblTraining[[#This Row],[NextDueDate]]-TODAY())</f>
        <v/>
      </c>
      <c r="I213" s="15" t="str" cm="1">
        <f t="array" aca="1" ref="I2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4" spans="1:9" x14ac:dyDescent="0.25">
      <c r="A214" s="15">
        <f t="shared" si="3"/>
        <v>213</v>
      </c>
      <c r="B214" s="15" t="s">
        <v>150</v>
      </c>
      <c r="C214" s="15" t="str" cm="1">
        <f t="array" ref="C214">IFERROR(_xlfn.XLOOKUP(B214, tblPeople[PersonID], tblPeople[PersonName], ""), "")</f>
        <v>Kea Kazungu</v>
      </c>
      <c r="D214" s="15" t="s">
        <v>22</v>
      </c>
      <c r="E214" s="16" t="str">
        <f>IFERROR(_xlfn.XLOOKUP(D214, tblCourses[CourseID], tblCourses[CourseName], ""), "")</f>
        <v>Human Factors in Aviation (Refresher)</v>
      </c>
      <c r="F214" s="17">
        <v>45070</v>
      </c>
      <c r="G214" s="17" t="str" cm="1">
        <f t="array" ref="G2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4" s="15" t="str">
        <f ca="1">IF(OR(tblTraining[[#This Row],[Status]]="Renewed",tblTraining[[#This Row],[NextDueDate]]=""),"",tblTraining[[#This Row],[NextDueDate]]-TODAY())</f>
        <v/>
      </c>
      <c r="I214" s="15" t="str" cm="1">
        <f t="array" aca="1" ref="I2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5" spans="1:9" x14ac:dyDescent="0.25">
      <c r="A215" s="15">
        <f t="shared" si="3"/>
        <v>214</v>
      </c>
      <c r="B215" s="15" t="s">
        <v>82</v>
      </c>
      <c r="C215" s="15" t="str" cm="1">
        <f t="array" ref="C215">IFERROR(_xlfn.XLOOKUP(B215, tblPeople[PersonID], tblPeople[PersonName], ""), "")</f>
        <v>Philip Mwania</v>
      </c>
      <c r="D215" s="15" t="s">
        <v>181</v>
      </c>
      <c r="E215" s="16" t="str">
        <f>IFERROR(_xlfn.XLOOKUP(D215, tblCourses[CourseID], tblCourses[CourseName], ""), "")</f>
        <v>Cessna 208 Series (Caravan) With P&amp;WC PT6A-114/ -114A/ -140 Engines (Initial)</v>
      </c>
      <c r="F215" s="17">
        <v>41358</v>
      </c>
      <c r="G215" s="17" t="str" cm="1">
        <f t="array" ref="G2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5" s="15" t="str">
        <f ca="1">IF(OR(tblTraining[[#This Row],[Status]]="Renewed",tblTraining[[#This Row],[NextDueDate]]=""),"",tblTraining[[#This Row],[NextDueDate]]-TODAY())</f>
        <v/>
      </c>
      <c r="I215" s="15" t="str" cm="1">
        <f t="array" aca="1" ref="I2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6" spans="1:9" x14ac:dyDescent="0.25">
      <c r="A216" s="15">
        <f t="shared" si="3"/>
        <v>215</v>
      </c>
      <c r="B216" s="15" t="s">
        <v>87</v>
      </c>
      <c r="C216" s="15" t="str" cm="1">
        <f t="array" ref="C216">IFERROR(_xlfn.XLOOKUP(B216, tblPeople[PersonID], tblPeople[PersonName], ""), "")</f>
        <v>Sydney Sawe</v>
      </c>
      <c r="D216" s="15" t="s">
        <v>78</v>
      </c>
      <c r="E216" s="16" t="str">
        <f>IFERROR(_xlfn.XLOOKUP(D216, tblCourses[CourseID], tblCourses[CourseName], ""), "")</f>
        <v>DHC8 -100/-200/-300 Collins Wheels &amp; Brakes Familiarization Training (Initial)</v>
      </c>
      <c r="F216" s="18">
        <v>45637</v>
      </c>
      <c r="G216" s="17" t="str" cm="1">
        <f t="array" ref="G2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6" s="15" t="str">
        <f ca="1">IF(OR(tblTraining[[#This Row],[Status]]="Renewed",tblTraining[[#This Row],[NextDueDate]]=""),"",tblTraining[[#This Row],[NextDueDate]]-TODAY())</f>
        <v/>
      </c>
      <c r="I216" s="15" t="str" cm="1">
        <f t="array" aca="1" ref="I2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7" spans="1:9" x14ac:dyDescent="0.25">
      <c r="A217" s="15">
        <f t="shared" si="3"/>
        <v>216</v>
      </c>
      <c r="B217" s="15" t="s">
        <v>150</v>
      </c>
      <c r="C217" s="15" t="str" cm="1">
        <f t="array" ref="C217">IFERROR(_xlfn.XLOOKUP(B217, tblPeople[PersonID], tblPeople[PersonName], ""), "")</f>
        <v>Kea Kazungu</v>
      </c>
      <c r="D217" s="15" t="s">
        <v>33</v>
      </c>
      <c r="E217" s="16" t="str">
        <f>IFERROR(_xlfn.XLOOKUP(D217, tblCourses[CourseID], tblCourses[CourseName], ""), "")</f>
        <v>Audit Techniques</v>
      </c>
      <c r="F217" s="17">
        <v>43677</v>
      </c>
      <c r="G217" s="17" t="str" cm="1">
        <f t="array" ref="G2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7" s="15" t="str">
        <f ca="1">IF(OR(tblTraining[[#This Row],[Status]]="Renewed",tblTraining[[#This Row],[NextDueDate]]=""),"",tblTraining[[#This Row],[NextDueDate]]-TODAY())</f>
        <v/>
      </c>
      <c r="I217" s="15" t="str" cm="1">
        <f t="array" aca="1" ref="I2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8" spans="1:9" x14ac:dyDescent="0.25">
      <c r="A218" s="15">
        <f t="shared" si="3"/>
        <v>217</v>
      </c>
      <c r="B218" s="15" t="s">
        <v>82</v>
      </c>
      <c r="C218" s="15" t="str" cm="1">
        <f t="array" ref="C218">IFERROR(_xlfn.XLOOKUP(B218, tblPeople[PersonID], tblPeople[PersonName], ""), "")</f>
        <v>Philip Mwania</v>
      </c>
      <c r="D218" s="15" t="s">
        <v>182</v>
      </c>
      <c r="E218" s="16" t="str">
        <f>IFERROR(_xlfn.XLOOKUP(D218, tblCourses[CourseID], tblCourses[CourseName], ""), "")</f>
        <v>Cessna 208 Series (Caravan) With P&amp;WC PT6A-114/ -114A/ -140 Engines (Refresher)</v>
      </c>
      <c r="F218" s="17">
        <v>45343</v>
      </c>
      <c r="G218" s="17" t="str" cm="1">
        <f t="array" ref="G2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8" s="15" t="str">
        <f ca="1">IF(OR(tblTraining[[#This Row],[Status]]="Renewed",tblTraining[[#This Row],[NextDueDate]]=""),"",tblTraining[[#This Row],[NextDueDate]]-TODAY())</f>
        <v/>
      </c>
      <c r="I218" s="15" t="str" cm="1">
        <f t="array" aca="1" ref="I2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9" spans="1:9" x14ac:dyDescent="0.25">
      <c r="A219" s="15">
        <f t="shared" si="3"/>
        <v>218</v>
      </c>
      <c r="B219" s="15" t="s">
        <v>87</v>
      </c>
      <c r="C219" s="15" t="str" cm="1">
        <f t="array" ref="C219">IFERROR(_xlfn.XLOOKUP(B219, tblPeople[PersonID], tblPeople[PersonName], ""), "")</f>
        <v>Sydney Sawe</v>
      </c>
      <c r="D219" s="15" t="s">
        <v>126</v>
      </c>
      <c r="E219" s="16" t="str">
        <f>IFERROR(_xlfn.XLOOKUP(D219, tblCourses[CourseID], tblCourses[CourseName], ""), "")</f>
        <v>Maintenance Indoctrination</v>
      </c>
      <c r="F219" s="17">
        <v>44682</v>
      </c>
      <c r="G219" s="17" t="str" cm="1">
        <f t="array" ref="G2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9" s="15" t="str">
        <f ca="1">IF(OR(tblTraining[[#This Row],[Status]]="Renewed",tblTraining[[#This Row],[NextDueDate]]=""),"",tblTraining[[#This Row],[NextDueDate]]-TODAY())</f>
        <v/>
      </c>
      <c r="I219" s="15" t="str" cm="1">
        <f t="array" aca="1" ref="I2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0" spans="1:9" x14ac:dyDescent="0.25">
      <c r="A220" s="15">
        <f t="shared" si="3"/>
        <v>219</v>
      </c>
      <c r="B220" s="15" t="s">
        <v>82</v>
      </c>
      <c r="C220" s="15" t="str" cm="1">
        <f t="array" ref="C220">IFERROR(_xlfn.XLOOKUP(B220, tblPeople[PersonID], tblPeople[PersonName], ""), "")</f>
        <v>Philip Mwania</v>
      </c>
      <c r="D220" s="15" t="s">
        <v>137</v>
      </c>
      <c r="E220" s="16" t="str">
        <f>IFERROR(_xlfn.XLOOKUP(D220, tblCourses[CourseID], tblCourses[CourseName], ""), "")</f>
        <v>GARMIN 1000 Avionics</v>
      </c>
      <c r="F220" s="17">
        <v>43306</v>
      </c>
      <c r="G220" s="17" t="str" cm="1">
        <f t="array" ref="G2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0" s="15" t="str">
        <f ca="1">IF(OR(tblTraining[[#This Row],[Status]]="Renewed",tblTraining[[#This Row],[NextDueDate]]=""),"",tblTraining[[#This Row],[NextDueDate]]-TODAY())</f>
        <v/>
      </c>
      <c r="I220" s="15" t="str" cm="1">
        <f t="array" aca="1" ref="I2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1" spans="1:9" x14ac:dyDescent="0.25">
      <c r="A221" s="15">
        <f t="shared" si="3"/>
        <v>220</v>
      </c>
      <c r="B221" s="15" t="s">
        <v>82</v>
      </c>
      <c r="C221" s="15" t="str" cm="1">
        <f t="array" ref="C221">IFERROR(_xlfn.XLOOKUP(B221, tblPeople[PersonID], tblPeople[PersonName], ""), "")</f>
        <v>Philip Mwania</v>
      </c>
      <c r="D221" s="15" t="s">
        <v>22</v>
      </c>
      <c r="E221" s="16" t="str">
        <f>IFERROR(_xlfn.XLOOKUP(D221, tblCourses[CourseID], tblCourses[CourseName], ""), "")</f>
        <v>Human Factors in Aviation (Refresher)</v>
      </c>
      <c r="F221" s="17">
        <v>45691</v>
      </c>
      <c r="G221" s="17" cm="1">
        <f t="array" ref="G2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46421</v>
      </c>
      <c r="H221" s="15">
        <f ca="1">IF(OR(tblTraining[[#This Row],[Status]]="Renewed",tblTraining[[#This Row],[NextDueDate]]=""),"",tblTraining[[#This Row],[NextDueDate]]-TODAY())</f>
        <v>135</v>
      </c>
      <c r="I221" s="15" t="str" cm="1">
        <f t="array" aca="1" ref="I2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2" spans="1:9" x14ac:dyDescent="0.25">
      <c r="A222" s="15">
        <f t="shared" si="3"/>
        <v>221</v>
      </c>
      <c r="B222" s="15" t="s">
        <v>90</v>
      </c>
      <c r="C222" s="15" t="str" cm="1">
        <f t="array" ref="C222">IFERROR(_xlfn.XLOOKUP(B222, tblPeople[PersonID], tblPeople[PersonName], ""), "")</f>
        <v>Kendra Nambisia</v>
      </c>
      <c r="D222" s="15" t="s">
        <v>227</v>
      </c>
      <c r="E222" s="16" t="str">
        <f>IFERROR(_xlfn.XLOOKUP(D222, tblCourses[CourseID], tblCourses[CourseName], ""), "")</f>
        <v>Core Instructional Technique (Initial)</v>
      </c>
      <c r="F222" s="17">
        <v>45146</v>
      </c>
      <c r="G222" s="17" t="str" cm="1">
        <f t="array" ref="G2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2" s="15" t="str">
        <f ca="1">IF(OR(tblTraining[[#This Row],[Status]]="Renewed",tblTraining[[#This Row],[NextDueDate]]=""),"",tblTraining[[#This Row],[NextDueDate]]-TODAY())</f>
        <v/>
      </c>
      <c r="I222" s="15" t="str" cm="1">
        <f t="array" aca="1" ref="I2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3" spans="1:9" x14ac:dyDescent="0.25">
      <c r="A223" s="15">
        <f t="shared" si="3"/>
        <v>222</v>
      </c>
      <c r="B223" s="15" t="s">
        <v>82</v>
      </c>
      <c r="C223" s="15" t="str" cm="1">
        <f t="array" ref="C223">IFERROR(_xlfn.XLOOKUP(B223, tblPeople[PersonID], tblPeople[PersonName], ""), "")</f>
        <v>Philip Mwania</v>
      </c>
      <c r="D223" s="15" t="s">
        <v>110</v>
      </c>
      <c r="E223" s="16" t="str">
        <f>IFERROR(_xlfn.XLOOKUP(D223, tblCourses[CourseID], tblCourses[CourseName], ""), "")</f>
        <v>Electrical Wiring Interconnection System Target Groups 1 &amp; 2 (Initial)</v>
      </c>
      <c r="F223" s="17">
        <v>45844</v>
      </c>
      <c r="G223" s="17" t="str" cm="1">
        <f t="array" ref="G2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3" s="15" t="str">
        <f ca="1">IF(OR(tblTraining[[#This Row],[Status]]="Renewed",tblTraining[[#This Row],[NextDueDate]]=""),"",tblTraining[[#This Row],[NextDueDate]]-TODAY())</f>
        <v/>
      </c>
      <c r="I223" s="15" t="str" cm="1">
        <f t="array" aca="1" ref="I2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4" spans="1:9" x14ac:dyDescent="0.25">
      <c r="A224" s="15">
        <f t="shared" si="3"/>
        <v>223</v>
      </c>
      <c r="B224" s="15" t="s">
        <v>87</v>
      </c>
      <c r="C224" s="15" t="str" cm="1">
        <f t="array" ref="C224">IFERROR(_xlfn.XLOOKUP(B224, tblPeople[PersonID], tblPeople[PersonName], ""), "")</f>
        <v>Sydney Sawe</v>
      </c>
      <c r="D224" s="15" t="s">
        <v>77</v>
      </c>
      <c r="E224" s="16" t="str">
        <f>IFERROR(_xlfn.XLOOKUP(D224, tblCourses[CourseID], tblCourses[CourseName], ""), "")</f>
        <v>DHC8 -100/-200/-300 Collins Wheels &amp; Brakes Familiarization Training (Refresher)</v>
      </c>
      <c r="F224" s="17">
        <v>45637</v>
      </c>
      <c r="G224" s="17" cm="1">
        <f t="array" ref="G2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24" s="15">
        <f ca="1">IF(OR(tblTraining[[#This Row],[Status]]="Renewed",tblTraining[[#This Row],[NextDueDate]]=""),"",tblTraining[[#This Row],[NextDueDate]]-TODAY())</f>
        <v>81</v>
      </c>
      <c r="I224" s="15" t="str" cm="1">
        <f t="array" aca="1" ref="I2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5" spans="1:9" x14ac:dyDescent="0.25">
      <c r="A225" s="15">
        <f t="shared" si="3"/>
        <v>224</v>
      </c>
      <c r="B225" s="15" t="s">
        <v>90</v>
      </c>
      <c r="C225" s="15" t="str" cm="1">
        <f t="array" ref="C225">IFERROR(_xlfn.XLOOKUP(B225, tblPeople[PersonID], tblPeople[PersonName], ""), "")</f>
        <v>Kendra Nambisia</v>
      </c>
      <c r="D225" s="15" t="s">
        <v>227</v>
      </c>
      <c r="E225" s="16" t="str">
        <f>IFERROR(_xlfn.XLOOKUP(D225, tblCourses[CourseID], tblCourses[CourseName], ""), "")</f>
        <v>Core Instructional Technique (Initial)</v>
      </c>
      <c r="F225" s="17">
        <v>45786</v>
      </c>
      <c r="G225" s="17" t="str" cm="1">
        <f t="array" ref="G2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5" s="15" t="str">
        <f ca="1">IF(OR(tblTraining[[#This Row],[Status]]="Renewed",tblTraining[[#This Row],[NextDueDate]]=""),"",tblTraining[[#This Row],[NextDueDate]]-TODAY())</f>
        <v/>
      </c>
      <c r="I225" s="15" t="str" cm="1">
        <f t="array" aca="1" ref="I2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6" spans="1:9" x14ac:dyDescent="0.25">
      <c r="A226" s="15">
        <f t="shared" si="3"/>
        <v>225</v>
      </c>
      <c r="B226" s="15" t="s">
        <v>82</v>
      </c>
      <c r="C226" s="15" t="str" cm="1">
        <f t="array" ref="C226">IFERROR(_xlfn.XLOOKUP(B226, tblPeople[PersonID], tblPeople[PersonName], ""), "")</f>
        <v>Philip Mwania</v>
      </c>
      <c r="D226" s="15" t="s">
        <v>109</v>
      </c>
      <c r="E226" s="16" t="str">
        <f>IFERROR(_xlfn.XLOOKUP(D226, tblCourses[CourseID], tblCourses[CourseName], ""), "")</f>
        <v>Electrical Wiring Interconnection System Target Groups 1 &amp; 2 (Refresher)</v>
      </c>
      <c r="F226" s="17">
        <v>45844</v>
      </c>
      <c r="G226" s="17" cm="1">
        <f t="array" ref="G2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46574</v>
      </c>
      <c r="H226" s="15">
        <f ca="1">IF(OR(tblTraining[[#This Row],[Status]]="Renewed",tblTraining[[#This Row],[NextDueDate]]=""),"",tblTraining[[#This Row],[NextDueDate]]-TODAY())</f>
        <v>288</v>
      </c>
      <c r="I226" s="15" t="str" cm="1">
        <f t="array" aca="1" ref="I2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7" spans="1:9" x14ac:dyDescent="0.25">
      <c r="A227" s="15">
        <f t="shared" si="3"/>
        <v>226</v>
      </c>
      <c r="B227" s="15" t="s">
        <v>90</v>
      </c>
      <c r="C227" s="15" t="str" cm="1">
        <f t="array" ref="C227">IFERROR(_xlfn.XLOOKUP(B227, tblPeople[PersonID], tblPeople[PersonName], ""), "")</f>
        <v>Kendra Nambisia</v>
      </c>
      <c r="D227" s="15" t="s">
        <v>227</v>
      </c>
      <c r="E227" s="16" t="str">
        <f>IFERROR(_xlfn.XLOOKUP(D227, tblCourses[CourseID], tblCourses[CourseName], ""), "")</f>
        <v>Core Instructional Technique (Initial)</v>
      </c>
      <c r="F227" s="17">
        <v>45803</v>
      </c>
      <c r="G227" s="17" t="str" cm="1">
        <f t="array" ref="G2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7" s="15" t="str">
        <f ca="1">IF(OR(tblTraining[[#This Row],[Status]]="Renewed",tblTraining[[#This Row],[NextDueDate]]=""),"",tblTraining[[#This Row],[NextDueDate]]-TODAY())</f>
        <v/>
      </c>
      <c r="I227" s="15" t="str" cm="1">
        <f t="array" aca="1" ref="I2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8" spans="1:9" x14ac:dyDescent="0.25">
      <c r="A228" s="15">
        <f t="shared" si="3"/>
        <v>227</v>
      </c>
      <c r="B228" s="15" t="s">
        <v>82</v>
      </c>
      <c r="C228" s="15" t="str" cm="1">
        <f t="array" ref="C228">IFERROR(_xlfn.XLOOKUP(B228, tblPeople[PersonID], tblPeople[PersonName], ""), "")</f>
        <v>Philip Mwania</v>
      </c>
      <c r="D228" s="15" t="s">
        <v>75</v>
      </c>
      <c r="E228" s="16" t="str">
        <f>IFERROR(_xlfn.XLOOKUP(D228, tblCourses[CourseID], tblCourses[CourseName], ""), "")</f>
        <v>Fuel Tank Safety Phase 1 &amp; 2 Course (Refresher)</v>
      </c>
      <c r="F228" s="17">
        <v>45410</v>
      </c>
      <c r="G228" s="17" t="str" cm="1">
        <f t="array" ref="G2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8" s="15" t="str">
        <f ca="1">IF(OR(tblTraining[[#This Row],[Status]]="Renewed",tblTraining[[#This Row],[NextDueDate]]=""),"",tblTraining[[#This Row],[NextDueDate]]-TODAY())</f>
        <v/>
      </c>
      <c r="I228" s="15" t="str" cm="1">
        <f t="array" aca="1" ref="I2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9" spans="1:9" x14ac:dyDescent="0.25">
      <c r="A229" s="15">
        <f t="shared" si="3"/>
        <v>228</v>
      </c>
      <c r="B229" s="15" t="s">
        <v>90</v>
      </c>
      <c r="C229" s="15" t="str" cm="1">
        <f t="array" ref="C229">IFERROR(_xlfn.XLOOKUP(B229, tblPeople[PersonID], tblPeople[PersonName], ""), "")</f>
        <v>Kendra Nambisia</v>
      </c>
      <c r="D229" s="15" t="s">
        <v>227</v>
      </c>
      <c r="E229" s="16" t="str">
        <f>IFERROR(_xlfn.XLOOKUP(D229, tblCourses[CourseID], tblCourses[CourseName], ""), "")</f>
        <v>Core Instructional Technique (Initial)</v>
      </c>
      <c r="F229" s="17">
        <v>45803</v>
      </c>
      <c r="G229" s="17" t="str" cm="1">
        <f t="array" ref="G2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9" s="15" t="str">
        <f ca="1">IF(OR(tblTraining[[#This Row],[Status]]="Renewed",tblTraining[[#This Row],[NextDueDate]]=""),"",tblTraining[[#This Row],[NextDueDate]]-TODAY())</f>
        <v/>
      </c>
      <c r="I229" s="15" t="str" cm="1">
        <f t="array" aca="1" ref="I2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0" spans="1:9" x14ac:dyDescent="0.25">
      <c r="A230" s="15">
        <f t="shared" si="3"/>
        <v>229</v>
      </c>
      <c r="B230" s="15" t="s">
        <v>82</v>
      </c>
      <c r="C230" s="15" t="str" cm="1">
        <f t="array" ref="C230">IFERROR(_xlfn.XLOOKUP(B230, tblPeople[PersonID], tblPeople[PersonName], ""), "")</f>
        <v>Philip Mwania</v>
      </c>
      <c r="D230" s="15" t="s">
        <v>17</v>
      </c>
      <c r="E230" s="16" t="str">
        <f>IFERROR(_xlfn.XLOOKUP(D230, tblCourses[CourseID], tblCourses[CourseName], ""), "")</f>
        <v>Safety Management Systems (Refresher)</v>
      </c>
      <c r="F230" s="17">
        <v>45723</v>
      </c>
      <c r="G230" s="17" cm="1">
        <f t="array" ref="G2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230" s="15">
        <f ca="1">IF(OR(tblTraining[[#This Row],[Status]]="Renewed",tblTraining[[#This Row],[NextDueDate]]=""),"",tblTraining[[#This Row],[NextDueDate]]-TODAY())</f>
        <v>167</v>
      </c>
      <c r="I230" s="15" t="str" cm="1">
        <f t="array" aca="1" ref="I2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1" spans="1:9" x14ac:dyDescent="0.25">
      <c r="A231" s="15">
        <f t="shared" si="3"/>
        <v>230</v>
      </c>
      <c r="B231" s="15" t="s">
        <v>87</v>
      </c>
      <c r="C231" s="15" t="str" cm="1">
        <f t="array" ref="C231">IFERROR(_xlfn.XLOOKUP(B231, tblPeople[PersonID], tblPeople[PersonName], ""), "")</f>
        <v>Sydney Sawe</v>
      </c>
      <c r="D231" s="15" t="s">
        <v>202</v>
      </c>
      <c r="E231" s="16" t="str">
        <f>IFERROR(_xlfn.XLOOKUP(D231, tblCourses[CourseID], tblCourses[CourseName], ""), "")</f>
        <v>Maintenance Procedures &amp; Standard Maintenance Practices (Refresher)</v>
      </c>
      <c r="F231" s="17">
        <v>45328</v>
      </c>
      <c r="G231" s="17" t="str" cm="1">
        <f t="array" ref="G2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1" s="15" t="str">
        <f ca="1">IF(OR(tblTraining[[#This Row],[Status]]="Renewed",tblTraining[[#This Row],[NextDueDate]]=""),"",tblTraining[[#This Row],[NextDueDate]]-TODAY())</f>
        <v/>
      </c>
      <c r="I231" s="15" t="str" cm="1">
        <f t="array" aca="1" ref="I2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2" spans="1:9" x14ac:dyDescent="0.25">
      <c r="A232" s="15">
        <f t="shared" si="3"/>
        <v>231</v>
      </c>
      <c r="B232" s="15" t="s">
        <v>90</v>
      </c>
      <c r="C232" s="15" t="str" cm="1">
        <f t="array" ref="C232">IFERROR(_xlfn.XLOOKUP(B232, tblPeople[PersonID], tblPeople[PersonName], ""), "")</f>
        <v>Kendra Nambisia</v>
      </c>
      <c r="D232" s="15" t="s">
        <v>227</v>
      </c>
      <c r="E232" s="16" t="str">
        <f>IFERROR(_xlfn.XLOOKUP(D232, tblCourses[CourseID], tblCourses[CourseName], ""), "")</f>
        <v>Core Instructional Technique (Initial)</v>
      </c>
      <c r="F232" s="17">
        <v>45816</v>
      </c>
      <c r="G232" s="17" t="str" cm="1">
        <f t="array" ref="G2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2" s="15" t="str">
        <f ca="1">IF(OR(tblTraining[[#This Row],[Status]]="Renewed",tblTraining[[#This Row],[NextDueDate]]=""),"",tblTraining[[#This Row],[NextDueDate]]-TODAY())</f>
        <v/>
      </c>
      <c r="I232" s="15" t="str" cm="1">
        <f t="array" aca="1" ref="I2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3" spans="1:9" x14ac:dyDescent="0.25">
      <c r="A233" s="15">
        <f t="shared" si="3"/>
        <v>232</v>
      </c>
      <c r="B233" s="15" t="s">
        <v>82</v>
      </c>
      <c r="C233" s="15" t="str" cm="1">
        <f t="array" ref="C233">IFERROR(_xlfn.XLOOKUP(B233, tblPeople[PersonID], tblPeople[PersonName], ""), "")</f>
        <v>Philip Mwania</v>
      </c>
      <c r="D233" s="15" t="s">
        <v>17</v>
      </c>
      <c r="E233" s="16" t="str">
        <f>IFERROR(_xlfn.XLOOKUP(D233, tblCourses[CourseID], tblCourses[CourseName], ""), "")</f>
        <v>Safety Management Systems (Refresher)</v>
      </c>
      <c r="F233" s="17">
        <v>44990</v>
      </c>
      <c r="G233" s="17" t="str" cm="1">
        <f t="array" ref="G2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3" s="15" t="str">
        <f ca="1">IF(OR(tblTraining[[#This Row],[Status]]="Renewed",tblTraining[[#This Row],[NextDueDate]]=""),"",tblTraining[[#This Row],[NextDueDate]]-TODAY())</f>
        <v/>
      </c>
      <c r="I233" s="15" t="str" cm="1">
        <f t="array" aca="1" ref="I2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4" spans="1:9" x14ac:dyDescent="0.25">
      <c r="A234" s="15">
        <f t="shared" si="3"/>
        <v>233</v>
      </c>
      <c r="B234" s="15" t="s">
        <v>98</v>
      </c>
      <c r="C234" s="15" t="str" cm="1">
        <f t="array" ref="C234">IFERROR(_xlfn.XLOOKUP(B234, tblPeople[PersonID], tblPeople[PersonName], ""), "")</f>
        <v>Thadeus Mong’are</v>
      </c>
      <c r="D234" s="15" t="s">
        <v>22</v>
      </c>
      <c r="E234" s="16" t="str">
        <f>IFERROR(_xlfn.XLOOKUP(D234, tblCourses[CourseID], tblCourses[CourseName], ""), "")</f>
        <v>Human Factors in Aviation (Refresher)</v>
      </c>
      <c r="F234" s="18">
        <v>45399</v>
      </c>
      <c r="G234" s="17" t="str" cm="1">
        <f t="array" ref="G2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4" s="15" t="str">
        <f ca="1">IF(OR(tblTraining[[#This Row],[Status]]="Renewed",tblTraining[[#This Row],[NextDueDate]]=""),"",tblTraining[[#This Row],[NextDueDate]]-TODAY())</f>
        <v/>
      </c>
      <c r="I234" s="15" t="str" cm="1">
        <f t="array" aca="1" ref="I2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5" spans="1:9" x14ac:dyDescent="0.25">
      <c r="A235" s="15">
        <f t="shared" si="3"/>
        <v>234</v>
      </c>
      <c r="B235" s="15" t="s">
        <v>90</v>
      </c>
      <c r="C235" s="15" t="str" cm="1">
        <f t="array" ref="C235">IFERROR(_xlfn.XLOOKUP(B235, tblPeople[PersonID], tblPeople[PersonName], ""), "")</f>
        <v>Kendra Nambisia</v>
      </c>
      <c r="D235" s="15" t="s">
        <v>77</v>
      </c>
      <c r="E235" s="16" t="str">
        <f>IFERROR(_xlfn.XLOOKUP(D235, tblCourses[CourseID], tblCourses[CourseName], ""), "")</f>
        <v>DHC8 -100/-200/-300 Collins Wheels &amp; Brakes Familiarization Training (Refresher)</v>
      </c>
      <c r="F235" s="17">
        <v>45637</v>
      </c>
      <c r="G235" s="17" cm="1">
        <f t="array" ref="G2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35" s="15">
        <f ca="1">IF(OR(tblTraining[[#This Row],[Status]]="Renewed",tblTraining[[#This Row],[NextDueDate]]=""),"",tblTraining[[#This Row],[NextDueDate]]-TODAY())</f>
        <v>81</v>
      </c>
      <c r="I235" s="15" t="str" cm="1">
        <f t="array" aca="1" ref="I2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6" spans="1:9" x14ac:dyDescent="0.25">
      <c r="A236" s="15">
        <f t="shared" si="3"/>
        <v>235</v>
      </c>
      <c r="B236" s="15" t="s">
        <v>82</v>
      </c>
      <c r="C236" s="15" t="str" cm="1">
        <f t="array" ref="C236">IFERROR(_xlfn.XLOOKUP(B236, tblPeople[PersonID], tblPeople[PersonName], ""), "")</f>
        <v>Philip Mwania</v>
      </c>
      <c r="D236" s="15" t="s">
        <v>185</v>
      </c>
      <c r="E236" s="16" t="str">
        <f>IFERROR(_xlfn.XLOOKUP(D236, tblCourses[CourseID], tblCourses[CourseName], ""), "")</f>
        <v>Leadership &amp; Management</v>
      </c>
      <c r="F236" s="17">
        <v>43076</v>
      </c>
      <c r="G236" s="17" t="str" cm="1">
        <f t="array" ref="G2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6" s="15" t="str">
        <f ca="1">IF(OR(tblTraining[[#This Row],[Status]]="Renewed",tblTraining[[#This Row],[NextDueDate]]=""),"",tblTraining[[#This Row],[NextDueDate]]-TODAY())</f>
        <v/>
      </c>
      <c r="I236" s="15" t="str" cm="1">
        <f t="array" aca="1" ref="I2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7" spans="1:9" x14ac:dyDescent="0.25">
      <c r="A237" s="15">
        <f t="shared" si="3"/>
        <v>236</v>
      </c>
      <c r="B237" s="15" t="s">
        <v>98</v>
      </c>
      <c r="C237" s="15" t="str" cm="1">
        <f t="array" ref="C237">IFERROR(_xlfn.XLOOKUP(B237, tblPeople[PersonID], tblPeople[PersonName], ""), "")</f>
        <v>Thadeus Mong’are</v>
      </c>
      <c r="D237" s="15" t="s">
        <v>75</v>
      </c>
      <c r="E237" s="16" t="str">
        <f>IFERROR(_xlfn.XLOOKUP(D237, tblCourses[CourseID], tblCourses[CourseName], ""), "")</f>
        <v>Fuel Tank Safety Phase 1 &amp; 2 Course (Refresher)</v>
      </c>
      <c r="F237" s="18">
        <v>45399</v>
      </c>
      <c r="G237" s="17" t="str" cm="1">
        <f t="array" ref="G2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7" s="15" t="str">
        <f ca="1">IF(OR(tblTraining[[#This Row],[Status]]="Renewed",tblTraining[[#This Row],[NextDueDate]]=""),"",tblTraining[[#This Row],[NextDueDate]]-TODAY())</f>
        <v/>
      </c>
      <c r="I237" s="15" t="str" cm="1">
        <f t="array" aca="1" ref="I2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8" spans="1:9" x14ac:dyDescent="0.25">
      <c r="A238" s="15">
        <f t="shared" si="3"/>
        <v>237</v>
      </c>
      <c r="B238" s="15" t="s">
        <v>90</v>
      </c>
      <c r="C238" s="15" t="str" cm="1">
        <f t="array" ref="C238">IFERROR(_xlfn.XLOOKUP(B238, tblPeople[PersonID], tblPeople[PersonName], ""), "")</f>
        <v>Kendra Nambisia</v>
      </c>
      <c r="D238" s="15" t="s">
        <v>132</v>
      </c>
      <c r="E238" s="16" t="str">
        <f>IFERROR(_xlfn.XLOOKUP(D238, tblCourses[CourseID], tblCourses[CourseName], ""), "")</f>
        <v>Marshalling Techniques Course</v>
      </c>
      <c r="F238" s="17">
        <v>45469</v>
      </c>
      <c r="G238" s="17" t="str" cm="1">
        <f t="array" ref="G2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8" s="15" t="str">
        <f ca="1">IF(OR(tblTraining[[#This Row],[Status]]="Renewed",tblTraining[[#This Row],[NextDueDate]]=""),"",tblTraining[[#This Row],[NextDueDate]]-TODAY())</f>
        <v/>
      </c>
      <c r="I238" s="15" t="str" cm="1">
        <f t="array" aca="1" ref="I2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9" spans="1:9" x14ac:dyDescent="0.25">
      <c r="A239" s="15">
        <f t="shared" si="3"/>
        <v>238</v>
      </c>
      <c r="B239" s="15" t="s">
        <v>92</v>
      </c>
      <c r="C239" s="15" t="str" cm="1">
        <f t="array" ref="C239">IFERROR(_xlfn.XLOOKUP(B239, tblPeople[PersonID], tblPeople[PersonName], ""), "")</f>
        <v>Reuben Otieno</v>
      </c>
      <c r="D239" s="15" t="s">
        <v>17</v>
      </c>
      <c r="E239" s="16" t="str">
        <f>IFERROR(_xlfn.XLOOKUP(D239, tblCourses[CourseID], tblCourses[CourseName], ""), "")</f>
        <v>Safety Management Systems (Refresher)</v>
      </c>
      <c r="F239" s="17">
        <v>45379</v>
      </c>
      <c r="G239" s="17" t="str" cm="1">
        <f t="array" ref="G2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9" s="15" t="str">
        <f ca="1">IF(OR(tblTraining[[#This Row],[Status]]="Renewed",tblTraining[[#This Row],[NextDueDate]]=""),"",tblTraining[[#This Row],[NextDueDate]]-TODAY())</f>
        <v/>
      </c>
      <c r="I239" s="15" t="str" cm="1">
        <f t="array" aca="1" ref="I2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40" spans="1:9" x14ac:dyDescent="0.25">
      <c r="A240" s="15">
        <f t="shared" si="3"/>
        <v>239</v>
      </c>
      <c r="B240" s="15" t="s">
        <v>90</v>
      </c>
      <c r="C240" s="15" t="str" cm="1">
        <f t="array" ref="C240">IFERROR(_xlfn.XLOOKUP(B240, tblPeople[PersonID], tblPeople[PersonName], ""), "")</f>
        <v>Kendra Nambisia</v>
      </c>
      <c r="D240" s="15" t="s">
        <v>28</v>
      </c>
      <c r="E240" s="16" t="str">
        <f>IFERROR(_xlfn.XLOOKUP(D240, tblCourses[CourseID], tblCourses[CourseName], ""), "")</f>
        <v>DHC-8 100/200/300 with PWC 120/120A/121/123B/C/D/E Series Engines(Refresher)</v>
      </c>
      <c r="F240" s="17">
        <v>45618</v>
      </c>
      <c r="G240" s="17" cm="1">
        <f t="array" ref="G2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46348</v>
      </c>
      <c r="H240" s="15">
        <f ca="1">IF(OR(tblTraining[[#This Row],[Status]]="Renewed",tblTraining[[#This Row],[NextDueDate]]=""),"",tblTraining[[#This Row],[NextDueDate]]-TODAY())</f>
        <v>62</v>
      </c>
      <c r="I240" s="15" t="str" cm="1">
        <f t="array" aca="1" ref="I2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1" spans="1:9" x14ac:dyDescent="0.25">
      <c r="A241" s="15">
        <f t="shared" si="3"/>
        <v>240</v>
      </c>
      <c r="B241" s="15" t="s">
        <v>92</v>
      </c>
      <c r="C241" s="15" t="str" cm="1">
        <f t="array" ref="C241">IFERROR(_xlfn.XLOOKUP(B241, tblPeople[PersonID], tblPeople[PersonName], ""), "")</f>
        <v>Reuben Otieno</v>
      </c>
      <c r="D241" s="15" t="s">
        <v>76</v>
      </c>
      <c r="E241" s="16" t="str">
        <f>IFERROR(_xlfn.XLOOKUP(D241, tblCourses[CourseID], tblCourses[CourseName], ""), "")</f>
        <v>Fuel Tank Safety Phase 1 &amp; 2 Course (Initial)</v>
      </c>
      <c r="F241" s="18">
        <v>45404</v>
      </c>
      <c r="G241" s="17" t="str" cm="1">
        <f t="array" ref="G2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1" s="15" t="str">
        <f ca="1">IF(OR(tblTraining[[#This Row],[Status]]="Renewed",tblTraining[[#This Row],[NextDueDate]]=""),"",tblTraining[[#This Row],[NextDueDate]]-TODAY())</f>
        <v/>
      </c>
      <c r="I241" s="15" t="str" cm="1">
        <f t="array" aca="1" ref="I2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2" spans="1:9" x14ac:dyDescent="0.25">
      <c r="A242" s="15">
        <f t="shared" si="3"/>
        <v>241</v>
      </c>
      <c r="B242" s="15" t="s">
        <v>98</v>
      </c>
      <c r="C242" s="15" t="str" cm="1">
        <f t="array" ref="C242">IFERROR(_xlfn.XLOOKUP(B242, tblPeople[PersonID], tblPeople[PersonName], ""), "")</f>
        <v>Thadeus Mong’are</v>
      </c>
      <c r="D242" s="15" t="s">
        <v>17</v>
      </c>
      <c r="E242" s="16" t="str">
        <f>IFERROR(_xlfn.XLOOKUP(D242, tblCourses[CourseID], tblCourses[CourseName], ""), "")</f>
        <v>Safety Management Systems (Refresher)</v>
      </c>
      <c r="F242" s="17">
        <v>45343</v>
      </c>
      <c r="G242" s="17" t="str" cm="1">
        <f t="array" ref="G2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2" s="15" t="str">
        <f ca="1">IF(OR(tblTraining[[#This Row],[Status]]="Renewed",tblTraining[[#This Row],[NextDueDate]]=""),"",tblTraining[[#This Row],[NextDueDate]]-TODAY())</f>
        <v/>
      </c>
      <c r="I242" s="15" t="str" cm="1">
        <f t="array" aca="1" ref="I2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43" spans="1:9" x14ac:dyDescent="0.25">
      <c r="A243" s="15">
        <f t="shared" si="3"/>
        <v>242</v>
      </c>
      <c r="B243" s="15" t="s">
        <v>90</v>
      </c>
      <c r="C243" s="15" t="str" cm="1">
        <f t="array" ref="C243">IFERROR(_xlfn.XLOOKUP(B243, tblPeople[PersonID], tblPeople[PersonName], ""), "")</f>
        <v>Kendra Nambisia</v>
      </c>
      <c r="D243" s="15" t="s">
        <v>181</v>
      </c>
      <c r="E243" s="16" t="str">
        <f>IFERROR(_xlfn.XLOOKUP(D243, tblCourses[CourseID], tblCourses[CourseName], ""), "")</f>
        <v>Cessna 208 Series (Caravan) With P&amp;WC PT6A-114/ -114A/ -140 Engines (Initial)</v>
      </c>
      <c r="F243" s="17">
        <v>45709</v>
      </c>
      <c r="G243" s="17" t="str" cm="1">
        <f t="array" ref="G2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3" s="15" t="str">
        <f ca="1">IF(OR(tblTraining[[#This Row],[Status]]="Renewed",tblTraining[[#This Row],[NextDueDate]]=""),"",tblTraining[[#This Row],[NextDueDate]]-TODAY())</f>
        <v/>
      </c>
      <c r="I243" s="15" t="str" cm="1">
        <f t="array" aca="1" ref="I2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4" spans="1:9" x14ac:dyDescent="0.25">
      <c r="A244" s="15">
        <f t="shared" si="3"/>
        <v>243</v>
      </c>
      <c r="B244" s="15" t="s">
        <v>92</v>
      </c>
      <c r="C244" s="15" t="str" cm="1">
        <f t="array" ref="C244">IFERROR(_xlfn.XLOOKUP(B244, tblPeople[PersonID], tblPeople[PersonName], ""), "")</f>
        <v>Reuben Otieno</v>
      </c>
      <c r="D244" s="15" t="s">
        <v>78</v>
      </c>
      <c r="E244" s="16" t="str">
        <f>IFERROR(_xlfn.XLOOKUP(D244, tblCourses[CourseID], tblCourses[CourseName], ""), "")</f>
        <v>DHC8 -100/-200/-300 Collins Wheels &amp; Brakes Familiarization Training (Initial)</v>
      </c>
      <c r="F244" s="18">
        <v>45637</v>
      </c>
      <c r="G244" s="17" t="str" cm="1">
        <f t="array" ref="G2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4" s="15" t="str">
        <f ca="1">IF(OR(tblTraining[[#This Row],[Status]]="Renewed",tblTraining[[#This Row],[NextDueDate]]=""),"",tblTraining[[#This Row],[NextDueDate]]-TODAY())</f>
        <v/>
      </c>
      <c r="I244" s="15" t="str" cm="1">
        <f t="array" aca="1" ref="I2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5" spans="1:9" x14ac:dyDescent="0.25">
      <c r="A245" s="15">
        <f t="shared" si="3"/>
        <v>244</v>
      </c>
      <c r="B245" s="15" t="s">
        <v>98</v>
      </c>
      <c r="C245" s="15" t="str" cm="1">
        <f t="array" ref="C245">IFERROR(_xlfn.XLOOKUP(B245, tblPeople[PersonID], tblPeople[PersonName], ""), "")</f>
        <v>Thadeus Mong’are</v>
      </c>
      <c r="D245" s="15" t="s">
        <v>109</v>
      </c>
      <c r="E245" s="16" t="str">
        <f>IFERROR(_xlfn.XLOOKUP(D245, tblCourses[CourseID], tblCourses[CourseName], ""), "")</f>
        <v>Electrical Wiring Interconnection System Target Groups 1 &amp; 2 (Refresher)</v>
      </c>
      <c r="F245" s="17">
        <v>45796</v>
      </c>
      <c r="G245" s="17" cm="1">
        <f t="array" ref="G2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46526</v>
      </c>
      <c r="H245" s="15">
        <f ca="1">IF(OR(tblTraining[[#This Row],[Status]]="Renewed",tblTraining[[#This Row],[NextDueDate]]=""),"",tblTraining[[#This Row],[NextDueDate]]-TODAY())</f>
        <v>240</v>
      </c>
      <c r="I245" s="15" t="str" cm="1">
        <f t="array" aca="1" ref="I2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6" spans="1:9" x14ac:dyDescent="0.25">
      <c r="A246" s="15">
        <f t="shared" si="3"/>
        <v>245</v>
      </c>
      <c r="B246" s="15" t="s">
        <v>90</v>
      </c>
      <c r="C246" s="15" t="str" cm="1">
        <f t="array" ref="C246">IFERROR(_xlfn.XLOOKUP(B246, tblPeople[PersonID], tblPeople[PersonName], ""), "")</f>
        <v>Kendra Nambisia</v>
      </c>
      <c r="D246" s="15" t="s">
        <v>182</v>
      </c>
      <c r="E246" s="16" t="str">
        <f>IFERROR(_xlfn.XLOOKUP(D246, tblCourses[CourseID], tblCourses[CourseName], ""), "")</f>
        <v>Cessna 208 Series (Caravan) With P&amp;WC PT6A-114/ -114A/ -140 Engines (Refresher)</v>
      </c>
      <c r="F246" s="17">
        <v>45709</v>
      </c>
      <c r="G246" s="17" cm="1">
        <f t="array" ref="G2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46439</v>
      </c>
      <c r="H246" s="15">
        <f ca="1">IF(OR(tblTraining[[#This Row],[Status]]="Renewed",tblTraining[[#This Row],[NextDueDate]]=""),"",tblTraining[[#This Row],[NextDueDate]]-TODAY())</f>
        <v>153</v>
      </c>
      <c r="I246" s="15" t="str" cm="1">
        <f t="array" aca="1" ref="I2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7" spans="1:9" x14ac:dyDescent="0.25">
      <c r="A247" s="15">
        <f t="shared" si="3"/>
        <v>246</v>
      </c>
      <c r="B247" s="15" t="s">
        <v>92</v>
      </c>
      <c r="C247" s="15" t="str" cm="1">
        <f t="array" ref="C247">IFERROR(_xlfn.XLOOKUP(B247, tblPeople[PersonID], tblPeople[PersonName], ""), "")</f>
        <v>Reuben Otieno</v>
      </c>
      <c r="D247" s="15" t="s">
        <v>22</v>
      </c>
      <c r="E247" s="16" t="str">
        <f>IFERROR(_xlfn.XLOOKUP(D247, tblCourses[CourseID], tblCourses[CourseName], ""), "")</f>
        <v>Human Factors in Aviation (Refresher)</v>
      </c>
      <c r="F247" s="18">
        <v>45212</v>
      </c>
      <c r="G247" s="17" t="str" cm="1">
        <f t="array" ref="G2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7" s="15" t="str">
        <f ca="1">IF(OR(tblTraining[[#This Row],[Status]]="Renewed",tblTraining[[#This Row],[NextDueDate]]=""),"",tblTraining[[#This Row],[NextDueDate]]-TODAY())</f>
        <v/>
      </c>
      <c r="I247" s="15" t="str" cm="1">
        <f t="array" aca="1" ref="I2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48" spans="1:9" x14ac:dyDescent="0.25">
      <c r="A248" s="15">
        <f t="shared" si="3"/>
        <v>247</v>
      </c>
      <c r="B248" s="15" t="s">
        <v>98</v>
      </c>
      <c r="C248" s="15" t="str" cm="1">
        <f t="array" ref="C248">IFERROR(_xlfn.XLOOKUP(B248, tblPeople[PersonID], tblPeople[PersonName], ""), "")</f>
        <v>Thadeus Mong’are</v>
      </c>
      <c r="D248" s="15" t="s">
        <v>126</v>
      </c>
      <c r="E248" s="16" t="str">
        <f>IFERROR(_xlfn.XLOOKUP(D248, tblCourses[CourseID], tblCourses[CourseName], ""), "")</f>
        <v>Maintenance Indoctrination</v>
      </c>
      <c r="F248" s="17">
        <v>44515</v>
      </c>
      <c r="G248" s="17" t="str" cm="1">
        <f t="array" ref="G2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8" s="15" t="str">
        <f ca="1">IF(OR(tblTraining[[#This Row],[Status]]="Renewed",tblTraining[[#This Row],[NextDueDate]]=""),"",tblTraining[[#This Row],[NextDueDate]]-TODAY())</f>
        <v/>
      </c>
      <c r="I248" s="15" t="str" cm="1">
        <f t="array" aca="1" ref="I2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9" spans="1:9" x14ac:dyDescent="0.25">
      <c r="A249" s="15">
        <f t="shared" si="3"/>
        <v>248</v>
      </c>
      <c r="B249" s="15" t="s">
        <v>90</v>
      </c>
      <c r="C249" s="15" t="str" cm="1">
        <f t="array" ref="C249">IFERROR(_xlfn.XLOOKUP(B249, tblPeople[PersonID], tblPeople[PersonName], ""), "")</f>
        <v>Kendra Nambisia</v>
      </c>
      <c r="D249" s="15" t="s">
        <v>173</v>
      </c>
      <c r="E249" s="16" t="str">
        <f>IFERROR(_xlfn.XLOOKUP(D249, tblCourses[CourseID], tblCourses[CourseName], ""), "")</f>
        <v>Quality Management Systems</v>
      </c>
      <c r="F249" s="17">
        <v>45541</v>
      </c>
      <c r="G249" s="17" cm="1">
        <f t="array" ref="G2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46636</v>
      </c>
      <c r="H249" s="15">
        <f ca="1">IF(OR(tblTraining[[#This Row],[Status]]="Renewed",tblTraining[[#This Row],[NextDueDate]]=""),"",tblTraining[[#This Row],[NextDueDate]]-TODAY())</f>
        <v>350</v>
      </c>
      <c r="I249" s="15" t="str" cm="1">
        <f t="array" aca="1" ref="I2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0" spans="1:9" x14ac:dyDescent="0.25">
      <c r="A250" s="15">
        <f t="shared" si="3"/>
        <v>249</v>
      </c>
      <c r="B250" s="15" t="s">
        <v>92</v>
      </c>
      <c r="C250" s="15" t="str" cm="1">
        <f t="array" ref="C250">IFERROR(_xlfn.XLOOKUP(B250, tblPeople[PersonID], tblPeople[PersonName], ""), "")</f>
        <v>Reuben Otieno</v>
      </c>
      <c r="D250" s="15" t="s">
        <v>124</v>
      </c>
      <c r="E250" s="16" t="str">
        <f>IFERROR(_xlfn.XLOOKUP(D250, tblCourses[CourseID], tblCourses[CourseName], ""), "")</f>
        <v>Aviation Security (Initial)</v>
      </c>
      <c r="F250" s="17">
        <v>45716</v>
      </c>
      <c r="G250" s="17" t="str" cm="1">
        <f t="array" ref="G2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0" s="15" t="str">
        <f ca="1">IF(OR(tblTraining[[#This Row],[Status]]="Renewed",tblTraining[[#This Row],[NextDueDate]]=""),"",tblTraining[[#This Row],[NextDueDate]]-TODAY())</f>
        <v/>
      </c>
      <c r="I250" s="15" t="str" cm="1">
        <f t="array" aca="1" ref="I2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1" spans="1:9" x14ac:dyDescent="0.25">
      <c r="A251" s="15">
        <f t="shared" si="3"/>
        <v>250</v>
      </c>
      <c r="B251" s="15" t="s">
        <v>98</v>
      </c>
      <c r="C251" s="15" t="str" cm="1">
        <f t="array" ref="C251">IFERROR(_xlfn.XLOOKUP(B251, tblPeople[PersonID], tblPeople[PersonName], ""), "")</f>
        <v>Thadeus Mong’are</v>
      </c>
      <c r="D251" s="15" t="s">
        <v>77</v>
      </c>
      <c r="E251" s="16" t="str">
        <f>IFERROR(_xlfn.XLOOKUP(D251, tblCourses[CourseID], tblCourses[CourseName], ""), "")</f>
        <v>DHC8 -100/-200/-300 Collins Wheels &amp; Brakes Familiarization Training (Refresher)</v>
      </c>
      <c r="F251" s="17">
        <v>45637</v>
      </c>
      <c r="G251" s="17" cm="1">
        <f t="array" ref="G2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51" s="15">
        <f ca="1">IF(OR(tblTraining[[#This Row],[Status]]="Renewed",tblTraining[[#This Row],[NextDueDate]]=""),"",tblTraining[[#This Row],[NextDueDate]]-TODAY())</f>
        <v>81</v>
      </c>
      <c r="I251" s="15" t="str" cm="1">
        <f t="array" aca="1" ref="I2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2" spans="1:9" x14ac:dyDescent="0.25">
      <c r="A252" s="15">
        <f t="shared" si="3"/>
        <v>251</v>
      </c>
      <c r="B252" s="15" t="s">
        <v>90</v>
      </c>
      <c r="C252" s="15" t="str" cm="1">
        <f t="array" ref="C252">IFERROR(_xlfn.XLOOKUP(B252, tblPeople[PersonID], tblPeople[PersonName], ""), "")</f>
        <v>Kendra Nambisia</v>
      </c>
      <c r="D252" s="15" t="s">
        <v>179</v>
      </c>
      <c r="E252" s="16" t="str">
        <f>IFERROR(_xlfn.XLOOKUP(D252, tblCourses[CourseID], tblCourses[CourseName], ""), "")</f>
        <v>Aircraft Maintenance Engineers' Licence</v>
      </c>
      <c r="F252" s="17">
        <v>45433</v>
      </c>
      <c r="G252" s="17" t="str" cm="1">
        <f t="array" ref="G2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2" s="15" t="str">
        <f ca="1">IF(OR(tblTraining[[#This Row],[Status]]="Renewed",tblTraining[[#This Row],[NextDueDate]]=""),"",tblTraining[[#This Row],[NextDueDate]]-TODAY())</f>
        <v/>
      </c>
      <c r="I252" s="15" t="str" cm="1">
        <f t="array" aca="1" ref="I2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53" spans="1:9" x14ac:dyDescent="0.25">
      <c r="A253" s="15">
        <f t="shared" si="3"/>
        <v>252</v>
      </c>
      <c r="B253" s="15" t="s">
        <v>92</v>
      </c>
      <c r="C253" s="15" t="str" cm="1">
        <f t="array" ref="C253">IFERROR(_xlfn.XLOOKUP(B253, tblPeople[PersonID], tblPeople[PersonName], ""), "")</f>
        <v>Reuben Otieno</v>
      </c>
      <c r="D253" s="15" t="s">
        <v>126</v>
      </c>
      <c r="E253" s="16" t="str">
        <f>IFERROR(_xlfn.XLOOKUP(D253, tblCourses[CourseID], tblCourses[CourseName], ""), "")</f>
        <v>Maintenance Indoctrination</v>
      </c>
      <c r="F253" s="17">
        <v>45146</v>
      </c>
      <c r="G253" s="17" t="str" cm="1">
        <f t="array" ref="G2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3" s="15" t="str">
        <f ca="1">IF(OR(tblTraining[[#This Row],[Status]]="Renewed",tblTraining[[#This Row],[NextDueDate]]=""),"",tblTraining[[#This Row],[NextDueDate]]-TODAY())</f>
        <v/>
      </c>
      <c r="I253" s="15" t="str" cm="1">
        <f t="array" aca="1" ref="I2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4" spans="1:9" x14ac:dyDescent="0.25">
      <c r="A254" s="15">
        <f t="shared" si="3"/>
        <v>253</v>
      </c>
      <c r="B254" s="15" t="s">
        <v>98</v>
      </c>
      <c r="C254" s="15" t="str" cm="1">
        <f t="array" ref="C254">IFERROR(_xlfn.XLOOKUP(B254, tblPeople[PersonID], tblPeople[PersonName], ""), "")</f>
        <v>Thadeus Mong’are</v>
      </c>
      <c r="D254" s="15" t="s">
        <v>202</v>
      </c>
      <c r="E254" s="16" t="str">
        <f>IFERROR(_xlfn.XLOOKUP(D254, tblCourses[CourseID], tblCourses[CourseName], ""), "")</f>
        <v>Maintenance Procedures &amp; Standard Maintenance Practices (Refresher)</v>
      </c>
      <c r="F254" s="17">
        <v>45322</v>
      </c>
      <c r="G254" s="17" t="str" cm="1">
        <f t="array" ref="G2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4" s="15" t="str">
        <f ca="1">IF(OR(tblTraining[[#This Row],[Status]]="Renewed",tblTraining[[#This Row],[NextDueDate]]=""),"",tblTraining[[#This Row],[NextDueDate]]-TODAY())</f>
        <v/>
      </c>
      <c r="I254" s="15" t="str" cm="1">
        <f t="array" aca="1" ref="I2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55" spans="1:9" x14ac:dyDescent="0.25">
      <c r="A255" s="15">
        <f t="shared" si="3"/>
        <v>254</v>
      </c>
      <c r="B255" s="15" t="s">
        <v>90</v>
      </c>
      <c r="C255" s="15" t="str" cm="1">
        <f t="array" ref="C255">IFERROR(_xlfn.XLOOKUP(B255, tblPeople[PersonID], tblPeople[PersonName], ""), "")</f>
        <v>Kendra Nambisia</v>
      </c>
      <c r="D255" s="15" t="s">
        <v>25</v>
      </c>
      <c r="E255" s="16" t="str">
        <f>IFERROR(_xlfn.XLOOKUP(D255, tblCourses[CourseID], tblCourses[CourseName], ""), "")</f>
        <v>Pratt &amp; Whitney Canada PT6A Engine With P&amp;WC PT6A
20/ 27/ 41/ 42/ 60A/ 67D/ 112/ 114A/ 140 (Refresher)</v>
      </c>
      <c r="F255" s="17">
        <v>45632</v>
      </c>
      <c r="G255" s="17" cm="1">
        <f t="array" ref="G2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46362</v>
      </c>
      <c r="H255" s="15">
        <f ca="1">IF(OR(tblTraining[[#This Row],[Status]]="Renewed",tblTraining[[#This Row],[NextDueDate]]=""),"",tblTraining[[#This Row],[NextDueDate]]-TODAY())</f>
        <v>76</v>
      </c>
      <c r="I255" s="15" t="str" cm="1">
        <f t="array" aca="1" ref="I2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6" spans="1:9" x14ac:dyDescent="0.25">
      <c r="A256" s="15">
        <f t="shared" si="3"/>
        <v>255</v>
      </c>
      <c r="B256" s="15" t="s">
        <v>92</v>
      </c>
      <c r="C256" s="15" t="str" cm="1">
        <f t="array" ref="C256">IFERROR(_xlfn.XLOOKUP(B256, tblPeople[PersonID], tblPeople[PersonName], ""), "")</f>
        <v>Reuben Otieno</v>
      </c>
      <c r="D256" s="15" t="s">
        <v>77</v>
      </c>
      <c r="E256" s="16" t="str">
        <f>IFERROR(_xlfn.XLOOKUP(D256, tblCourses[CourseID], tblCourses[CourseName], ""), "")</f>
        <v>DHC8 -100/-200/-300 Collins Wheels &amp; Brakes Familiarization Training (Refresher)</v>
      </c>
      <c r="F256" s="17">
        <v>46002</v>
      </c>
      <c r="G256" s="17" cm="1">
        <f t="array" ref="G2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46732</v>
      </c>
      <c r="H256" s="15">
        <f ca="1">IF(OR(tblTraining[[#This Row],[Status]]="Renewed",tblTraining[[#This Row],[NextDueDate]]=""),"",tblTraining[[#This Row],[NextDueDate]]-TODAY())</f>
        <v>446</v>
      </c>
      <c r="I256" s="15" t="str" cm="1">
        <f t="array" aca="1" ref="I2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7" spans="1:9" x14ac:dyDescent="0.25">
      <c r="A257" s="15">
        <f t="shared" si="3"/>
        <v>256</v>
      </c>
      <c r="B257" s="15" t="s">
        <v>98</v>
      </c>
      <c r="C257" s="15" t="str" cm="1">
        <f t="array" ref="C257">IFERROR(_xlfn.XLOOKUP(B257, tblPeople[PersonID], tblPeople[PersonName], ""), "")</f>
        <v>Thadeus Mong’are</v>
      </c>
      <c r="D257" s="15" t="s">
        <v>137</v>
      </c>
      <c r="E257" s="16" t="str">
        <f>IFERROR(_xlfn.XLOOKUP(D257, tblCourses[CourseID], tblCourses[CourseName], ""), "")</f>
        <v>GARMIN 1000 Avionics</v>
      </c>
      <c r="F257" s="17">
        <v>44664</v>
      </c>
      <c r="G257" s="17" t="str" cm="1">
        <f t="array" ref="G2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7" s="15" t="str">
        <f ca="1">IF(OR(tblTraining[[#This Row],[Status]]="Renewed",tblTraining[[#This Row],[NextDueDate]]=""),"",tblTraining[[#This Row],[NextDueDate]]-TODAY())</f>
        <v/>
      </c>
      <c r="I257" s="15" t="str" cm="1">
        <f t="array" aca="1" ref="I2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8" spans="1:9" x14ac:dyDescent="0.25">
      <c r="A258" s="15">
        <f t="shared" si="3"/>
        <v>257</v>
      </c>
      <c r="B258" s="15" t="s">
        <v>90</v>
      </c>
      <c r="C258" s="15" t="str" cm="1">
        <f t="array" ref="C258">IFERROR(_xlfn.XLOOKUP(B258, tblPeople[PersonID], tblPeople[PersonName], ""), "")</f>
        <v>Kendra Nambisia</v>
      </c>
      <c r="D258" s="15" t="s">
        <v>33</v>
      </c>
      <c r="E258" s="16" t="str">
        <f>IFERROR(_xlfn.XLOOKUP(D258, tblCourses[CourseID], tblCourses[CourseName], ""), "")</f>
        <v>Audit Techniques</v>
      </c>
      <c r="F258" s="17">
        <v>45756</v>
      </c>
      <c r="G258" s="17" t="str" cm="1">
        <f t="array" ref="G2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8" s="15" t="str">
        <f ca="1">IF(OR(tblTraining[[#This Row],[Status]]="Renewed",tblTraining[[#This Row],[NextDueDate]]=""),"",tblTraining[[#This Row],[NextDueDate]]-TODAY())</f>
        <v/>
      </c>
      <c r="I258" s="15" t="str" cm="1">
        <f t="array" aca="1" ref="I2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9" spans="1:9" x14ac:dyDescent="0.25">
      <c r="A259" s="15">
        <f t="shared" si="3"/>
        <v>258</v>
      </c>
      <c r="B259" s="15" t="s">
        <v>92</v>
      </c>
      <c r="C259" s="15" t="str" cm="1">
        <f t="array" ref="C259">IFERROR(_xlfn.XLOOKUP(B259, tblPeople[PersonID], tblPeople[PersonName], ""), "")</f>
        <v>Reuben Otieno</v>
      </c>
      <c r="D259" s="15" t="s">
        <v>109</v>
      </c>
      <c r="E259" s="16" t="str">
        <f>IFERROR(_xlfn.XLOOKUP(D259, tblCourses[CourseID], tblCourses[CourseName], ""), "")</f>
        <v>Electrical Wiring Interconnection System Target Groups 1 &amp; 2 (Refresher)</v>
      </c>
      <c r="F259" s="17">
        <v>45777</v>
      </c>
      <c r="G259" s="17" cm="1">
        <f t="array" ref="G2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46507</v>
      </c>
      <c r="H259" s="15">
        <f ca="1">IF(OR(tblTraining[[#This Row],[Status]]="Renewed",tblTraining[[#This Row],[NextDueDate]]=""),"",tblTraining[[#This Row],[NextDueDate]]-TODAY())</f>
        <v>221</v>
      </c>
      <c r="I259" s="15" t="str" cm="1">
        <f t="array" aca="1" ref="I2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0" spans="1:9" x14ac:dyDescent="0.25">
      <c r="A260" s="15">
        <f t="shared" ref="A260:A323" si="4">A259+1</f>
        <v>259</v>
      </c>
      <c r="B260" s="15" t="s">
        <v>90</v>
      </c>
      <c r="C260" s="15" t="str" cm="1">
        <f t="array" ref="C260">IFERROR(_xlfn.XLOOKUP(B260, tblPeople[PersonID], tblPeople[PersonName], ""), "")</f>
        <v>Kendra Nambisia</v>
      </c>
      <c r="D260" s="15" t="s">
        <v>20</v>
      </c>
      <c r="E260" s="16" t="str">
        <f>IFERROR(_xlfn.XLOOKUP(D260, tblCourses[CourseID], tblCourses[CourseName], ""), "")</f>
        <v>Safety Management Systems (Initial)</v>
      </c>
      <c r="F260" s="17">
        <v>45379</v>
      </c>
      <c r="G260" s="17" t="str" cm="1">
        <f t="array" ref="G2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0" s="15" t="str">
        <f ca="1">IF(OR(tblTraining[[#This Row],[Status]]="Renewed",tblTraining[[#This Row],[NextDueDate]]=""),"",tblTraining[[#This Row],[NextDueDate]]-TODAY())</f>
        <v/>
      </c>
      <c r="I260" s="15" t="str" cm="1">
        <f t="array" aca="1" ref="I2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1" spans="1:9" x14ac:dyDescent="0.25">
      <c r="A261" s="15">
        <f t="shared" si="4"/>
        <v>260</v>
      </c>
      <c r="B261" s="15" t="s">
        <v>92</v>
      </c>
      <c r="C261" s="15" t="str" cm="1">
        <f t="array" ref="C261">IFERROR(_xlfn.XLOOKUP(B261, tblPeople[PersonID], tblPeople[PersonName], ""), "")</f>
        <v>Reuben Otieno</v>
      </c>
      <c r="D261" s="15" t="s">
        <v>125</v>
      </c>
      <c r="E261" s="16" t="str">
        <f>IFERROR(_xlfn.XLOOKUP(D261, tblCourses[CourseID], tblCourses[CourseName], ""), "")</f>
        <v>Aviation Security (Refresher)</v>
      </c>
      <c r="F261" s="17">
        <v>45716</v>
      </c>
      <c r="G261" s="17" cm="1">
        <f t="array" ref="G2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61" s="15">
        <f ca="1">IF(OR(tblTraining[[#This Row],[Status]]="Renewed",tblTraining[[#This Row],[NextDueDate]]=""),"",tblTraining[[#This Row],[NextDueDate]]-TODAY())</f>
        <v>160</v>
      </c>
      <c r="I261" s="15" t="str" cm="1">
        <f t="array" aca="1" ref="I2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2" spans="1:9" x14ac:dyDescent="0.25">
      <c r="A262" s="15">
        <f t="shared" si="4"/>
        <v>261</v>
      </c>
      <c r="B262" s="15" t="s">
        <v>97</v>
      </c>
      <c r="C262" s="15" t="str" cm="1">
        <f t="array" ref="C262">IFERROR(_xlfn.XLOOKUP(B262, tblPeople[PersonID], tblPeople[PersonName], ""), "")</f>
        <v>Thomas Wambunya</v>
      </c>
      <c r="D262" s="15" t="s">
        <v>75</v>
      </c>
      <c r="E262" s="16" t="str">
        <f>IFERROR(_xlfn.XLOOKUP(D262, tblCourses[CourseID], tblCourses[CourseName], ""), "")</f>
        <v>Fuel Tank Safety Phase 1 &amp; 2 Course (Refresher)</v>
      </c>
      <c r="F262" s="18">
        <v>45418</v>
      </c>
      <c r="G262" s="17" t="str" cm="1">
        <f t="array" ref="G2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2" s="15" t="str">
        <f ca="1">IF(OR(tblTraining[[#This Row],[Status]]="Renewed",tblTraining[[#This Row],[NextDueDate]]=""),"",tblTraining[[#This Row],[NextDueDate]]-TODAY())</f>
        <v/>
      </c>
      <c r="I262" s="15" t="str" cm="1">
        <f t="array" aca="1" ref="I2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63" spans="1:9" x14ac:dyDescent="0.25">
      <c r="A263" s="15">
        <f t="shared" si="4"/>
        <v>262</v>
      </c>
      <c r="B263" s="15" t="s">
        <v>90</v>
      </c>
      <c r="C263" s="15" t="str" cm="1">
        <f t="array" ref="C263">IFERROR(_xlfn.XLOOKUP(B263, tblPeople[PersonID], tblPeople[PersonName], ""), "")</f>
        <v>Kendra Nambisia</v>
      </c>
      <c r="D263" s="15" t="s">
        <v>17</v>
      </c>
      <c r="E263" s="16" t="str">
        <f>IFERROR(_xlfn.XLOOKUP(D263, tblCourses[CourseID], tblCourses[CourseName], ""), "")</f>
        <v>Safety Management Systems (Refresher)</v>
      </c>
      <c r="F263" s="17">
        <v>45379</v>
      </c>
      <c r="G263" s="17" t="str" cm="1">
        <f t="array" ref="G2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3" s="15" t="str">
        <f ca="1">IF(OR(tblTraining[[#This Row],[Status]]="Renewed",tblTraining[[#This Row],[NextDueDate]]=""),"",tblTraining[[#This Row],[NextDueDate]]-TODAY())</f>
        <v/>
      </c>
      <c r="I263" s="15" t="str" cm="1">
        <f t="array" aca="1" ref="I2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64" spans="1:9" x14ac:dyDescent="0.25">
      <c r="A264" s="15">
        <f t="shared" si="4"/>
        <v>263</v>
      </c>
      <c r="B264" s="15" t="s">
        <v>86</v>
      </c>
      <c r="C264" s="15" t="str" cm="1">
        <f t="array" ref="C264">IFERROR(_xlfn.XLOOKUP(B264, tblPeople[PersonID], tblPeople[PersonName], ""), "")</f>
        <v>Samuel Okoth</v>
      </c>
      <c r="D264" s="15" t="s">
        <v>17</v>
      </c>
      <c r="E264" s="16" t="str">
        <f>IFERROR(_xlfn.XLOOKUP(D264, tblCourses[CourseID], tblCourses[CourseName], ""), "")</f>
        <v>Safety Management Systems (Refresher)</v>
      </c>
      <c r="F264" s="17">
        <v>45590</v>
      </c>
      <c r="G264" s="17" cm="1">
        <f t="array" ref="G2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264" s="15">
        <f ca="1">IF(OR(tblTraining[[#This Row],[Status]]="Renewed",tblTraining[[#This Row],[NextDueDate]]=""),"",tblTraining[[#This Row],[NextDueDate]]-TODAY())</f>
        <v>34</v>
      </c>
      <c r="I264" s="15" t="str" cm="1">
        <f t="array" aca="1" ref="I2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265" spans="1:9" x14ac:dyDescent="0.25">
      <c r="A265" s="15">
        <f t="shared" si="4"/>
        <v>264</v>
      </c>
      <c r="B265" s="15" t="s">
        <v>97</v>
      </c>
      <c r="C265" s="15" t="str" cm="1">
        <f t="array" ref="C265">IFERROR(_xlfn.XLOOKUP(B265, tblPeople[PersonID], tblPeople[PersonName], ""), "")</f>
        <v>Thomas Wambunya</v>
      </c>
      <c r="D265" s="15" t="s">
        <v>77</v>
      </c>
      <c r="E265" s="16" t="str">
        <f>IFERROR(_xlfn.XLOOKUP(D265, tblCourses[CourseID], tblCourses[CourseName], ""), "")</f>
        <v>DHC8 -100/-200/-300 Collins Wheels &amp; Brakes Familiarization Training (Refresher)</v>
      </c>
      <c r="F265" s="18">
        <v>45637</v>
      </c>
      <c r="G265" s="17" cm="1">
        <f t="array" ref="G2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65" s="15">
        <f ca="1">IF(OR(tblTraining[[#This Row],[Status]]="Renewed",tblTraining[[#This Row],[NextDueDate]]=""),"",tblTraining[[#This Row],[NextDueDate]]-TODAY())</f>
        <v>81</v>
      </c>
      <c r="I265" s="15" t="str" cm="1">
        <f t="array" aca="1" ref="I2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6" spans="1:9" x14ac:dyDescent="0.25">
      <c r="A266" s="15">
        <f t="shared" si="4"/>
        <v>265</v>
      </c>
      <c r="B266" s="15" t="s">
        <v>90</v>
      </c>
      <c r="C266" s="15" t="str" cm="1">
        <f t="array" ref="C266">IFERROR(_xlfn.XLOOKUP(B266, tblPeople[PersonID], tblPeople[PersonName], ""), "")</f>
        <v>Kendra Nambisia</v>
      </c>
      <c r="D266" s="15" t="s">
        <v>124</v>
      </c>
      <c r="E266" s="16" t="str">
        <f>IFERROR(_xlfn.XLOOKUP(D266, tblCourses[CourseID], tblCourses[CourseName], ""), "")</f>
        <v>Aviation Security (Initial)</v>
      </c>
      <c r="F266" s="17">
        <v>45716</v>
      </c>
      <c r="G266" s="17" t="str" cm="1">
        <f t="array" ref="G2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6" s="15" t="str">
        <f ca="1">IF(OR(tblTraining[[#This Row],[Status]]="Renewed",tblTraining[[#This Row],[NextDueDate]]=""),"",tblTraining[[#This Row],[NextDueDate]]-TODAY())</f>
        <v/>
      </c>
      <c r="I266" s="15" t="str" cm="1">
        <f t="array" aca="1" ref="I2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7" spans="1:9" x14ac:dyDescent="0.25">
      <c r="A267" s="15">
        <f t="shared" si="4"/>
        <v>266</v>
      </c>
      <c r="B267" s="15" t="s">
        <v>86</v>
      </c>
      <c r="C267" s="15" t="str" cm="1">
        <f t="array" ref="C267">IFERROR(_xlfn.XLOOKUP(B267, tblPeople[PersonID], tblPeople[PersonName], ""), "")</f>
        <v>Samuel Okoth</v>
      </c>
      <c r="D267" s="15" t="s">
        <v>22</v>
      </c>
      <c r="E267" s="16" t="str">
        <f>IFERROR(_xlfn.XLOOKUP(D267, tblCourses[CourseID], tblCourses[CourseName], ""), "")</f>
        <v>Human Factors in Aviation (Refresher)</v>
      </c>
      <c r="F267" s="18">
        <v>45623</v>
      </c>
      <c r="G267" s="17" cm="1">
        <f t="array" ref="G2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46353</v>
      </c>
      <c r="H267" s="15">
        <f ca="1">IF(OR(tblTraining[[#This Row],[Status]]="Renewed",tblTraining[[#This Row],[NextDueDate]]=""),"",tblTraining[[#This Row],[NextDueDate]]-TODAY())</f>
        <v>67</v>
      </c>
      <c r="I267" s="15" t="str" cm="1">
        <f t="array" aca="1" ref="I2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8" spans="1:9" x14ac:dyDescent="0.25">
      <c r="A268" s="15">
        <f t="shared" si="4"/>
        <v>267</v>
      </c>
      <c r="B268" s="15" t="s">
        <v>90</v>
      </c>
      <c r="C268" s="15" t="str" cm="1">
        <f t="array" ref="C268">IFERROR(_xlfn.XLOOKUP(B268, tblPeople[PersonID], tblPeople[PersonName], ""), "")</f>
        <v>Kendra Nambisia</v>
      </c>
      <c r="D268" s="15" t="s">
        <v>125</v>
      </c>
      <c r="E268" s="16" t="str">
        <f>IFERROR(_xlfn.XLOOKUP(D268, tblCourses[CourseID], tblCourses[CourseName], ""), "")</f>
        <v>Aviation Security (Refresher)</v>
      </c>
      <c r="F268" s="17">
        <v>45716</v>
      </c>
      <c r="G268" s="17" cm="1">
        <f t="array" ref="G2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68" s="15">
        <f ca="1">IF(OR(tblTraining[[#This Row],[Status]]="Renewed",tblTraining[[#This Row],[NextDueDate]]=""),"",tblTraining[[#This Row],[NextDueDate]]-TODAY())</f>
        <v>160</v>
      </c>
      <c r="I268" s="15" t="str" cm="1">
        <f t="array" aca="1" ref="I2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9" spans="1:9" x14ac:dyDescent="0.25">
      <c r="A269" s="15">
        <f t="shared" si="4"/>
        <v>268</v>
      </c>
      <c r="B269" s="15" t="s">
        <v>90</v>
      </c>
      <c r="C269" s="15" t="str" cm="1">
        <f t="array" ref="C269">IFERROR(_xlfn.XLOOKUP(B269, tblPeople[PersonID], tblPeople[PersonName], ""), "")</f>
        <v>Kendra Nambisia</v>
      </c>
      <c r="D269" s="15" t="s">
        <v>75</v>
      </c>
      <c r="E269" s="16" t="str">
        <f>IFERROR(_xlfn.XLOOKUP(D269, tblCourses[CourseID], tblCourses[CourseName], ""), "")</f>
        <v>Fuel Tank Safety Phase 1 &amp; 2 Course (Refresher)</v>
      </c>
      <c r="F269" s="17">
        <v>45410</v>
      </c>
      <c r="G269" s="17" t="str" cm="1">
        <f t="array" ref="G2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9" s="15" t="str">
        <f ca="1">IF(OR(tblTraining[[#This Row],[Status]]="Renewed",tblTraining[[#This Row],[NextDueDate]]=""),"",tblTraining[[#This Row],[NextDueDate]]-TODAY())</f>
        <v/>
      </c>
      <c r="I269" s="15" t="str" cm="1">
        <f t="array" aca="1" ref="I2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70" spans="1:9" x14ac:dyDescent="0.25">
      <c r="A270" s="15">
        <f t="shared" si="4"/>
        <v>269</v>
      </c>
      <c r="B270" s="15" t="s">
        <v>86</v>
      </c>
      <c r="C270" s="15" t="str" cm="1">
        <f t="array" ref="C270">IFERROR(_xlfn.XLOOKUP(B270, tblPeople[PersonID], tblPeople[PersonName], ""), "")</f>
        <v>Samuel Okoth</v>
      </c>
      <c r="D270" s="15" t="s">
        <v>76</v>
      </c>
      <c r="E270" s="16" t="str">
        <f>IFERROR(_xlfn.XLOOKUP(D270, tblCourses[CourseID], tblCourses[CourseName], ""), "")</f>
        <v>Fuel Tank Safety Phase 1 &amp; 2 Course (Initial)</v>
      </c>
      <c r="F270" s="18">
        <v>45382</v>
      </c>
      <c r="G270" s="17" t="str" cm="1">
        <f t="array" ref="G2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0" s="15" t="str">
        <f ca="1">IF(OR(tblTraining[[#This Row],[Status]]="Renewed",tblTraining[[#This Row],[NextDueDate]]=""),"",tblTraining[[#This Row],[NextDueDate]]-TODAY())</f>
        <v/>
      </c>
      <c r="I270" s="15" t="str" cm="1">
        <f t="array" aca="1" ref="I2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1" spans="1:9" x14ac:dyDescent="0.25">
      <c r="A271" s="15">
        <f t="shared" si="4"/>
        <v>270</v>
      </c>
      <c r="B271" s="15" t="s">
        <v>90</v>
      </c>
      <c r="C271" s="15" t="str" cm="1">
        <f t="array" ref="C271">IFERROR(_xlfn.XLOOKUP(B271, tblPeople[PersonID], tblPeople[PersonName], ""), "")</f>
        <v>Kendra Nambisia</v>
      </c>
      <c r="D271" s="15" t="s">
        <v>24</v>
      </c>
      <c r="E271" s="16" t="str">
        <f>IFERROR(_xlfn.XLOOKUP(D271, tblCourses[CourseID], tblCourses[CourseName], ""), "")</f>
        <v>Human Factors in Aviation (Initial)</v>
      </c>
      <c r="F271" s="17">
        <v>45212</v>
      </c>
      <c r="G271" s="17" t="str" cm="1">
        <f t="array" ref="G2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1" s="15" t="str">
        <f ca="1">IF(OR(tblTraining[[#This Row],[Status]]="Renewed",tblTraining[[#This Row],[NextDueDate]]=""),"",tblTraining[[#This Row],[NextDueDate]]-TODAY())</f>
        <v/>
      </c>
      <c r="I271" s="15" t="str" cm="1">
        <f t="array" aca="1" ref="I2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2" spans="1:9" x14ac:dyDescent="0.25">
      <c r="A272" s="15">
        <f t="shared" si="4"/>
        <v>271</v>
      </c>
      <c r="B272" s="15" t="s">
        <v>90</v>
      </c>
      <c r="C272" s="15" t="str" cm="1">
        <f t="array" ref="C272">IFERROR(_xlfn.XLOOKUP(B272, tblPeople[PersonID], tblPeople[PersonName], ""), "")</f>
        <v>Kendra Nambisia</v>
      </c>
      <c r="D272" s="15" t="s">
        <v>22</v>
      </c>
      <c r="E272" s="16" t="str">
        <f>IFERROR(_xlfn.XLOOKUP(D272, tblCourses[CourseID], tblCourses[CourseName], ""), "")</f>
        <v>Human Factors in Aviation (Refresher)</v>
      </c>
      <c r="F272" s="17">
        <v>45212</v>
      </c>
      <c r="G272" s="17" t="str" cm="1">
        <f t="array" ref="G2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2" s="15" t="str">
        <f ca="1">IF(OR(tblTraining[[#This Row],[Status]]="Renewed",tblTraining[[#This Row],[NextDueDate]]=""),"",tblTraining[[#This Row],[NextDueDate]]-TODAY())</f>
        <v/>
      </c>
      <c r="I272" s="15" t="str" cm="1">
        <f t="array" aca="1" ref="I2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73" spans="1:9" x14ac:dyDescent="0.25">
      <c r="A273" s="15">
        <f t="shared" si="4"/>
        <v>272</v>
      </c>
      <c r="B273" s="15" t="s">
        <v>86</v>
      </c>
      <c r="C273" s="15" t="str" cm="1">
        <f t="array" ref="C273">IFERROR(_xlfn.XLOOKUP(B273, tblPeople[PersonID], tblPeople[PersonName], ""), "")</f>
        <v>Samuel Okoth</v>
      </c>
      <c r="D273" s="15" t="s">
        <v>126</v>
      </c>
      <c r="E273" s="16" t="str">
        <f>IFERROR(_xlfn.XLOOKUP(D273, tblCourses[CourseID], tblCourses[CourseName], ""), "")</f>
        <v>Maintenance Indoctrination</v>
      </c>
      <c r="F273" s="17">
        <v>44682</v>
      </c>
      <c r="G273" s="17" t="str" cm="1">
        <f t="array" ref="G2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3" s="15" t="str">
        <f ca="1">IF(OR(tblTraining[[#This Row],[Status]]="Renewed",tblTraining[[#This Row],[NextDueDate]]=""),"",tblTraining[[#This Row],[NextDueDate]]-TODAY())</f>
        <v/>
      </c>
      <c r="I273" s="15" t="str" cm="1">
        <f t="array" aca="1" ref="I2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4" spans="1:9" x14ac:dyDescent="0.25">
      <c r="A274" s="15">
        <f t="shared" si="4"/>
        <v>273</v>
      </c>
      <c r="B274" s="15" t="s">
        <v>97</v>
      </c>
      <c r="C274" s="15" t="str" cm="1">
        <f t="array" ref="C274">IFERROR(_xlfn.XLOOKUP(B274, tblPeople[PersonID], tblPeople[PersonName], ""), "")</f>
        <v>Thomas Wambunya</v>
      </c>
      <c r="D274" s="15" t="s">
        <v>17</v>
      </c>
      <c r="E274" s="16" t="str">
        <f>IFERROR(_xlfn.XLOOKUP(D274, tblCourses[CourseID], tblCourses[CourseName], ""), "")</f>
        <v>Safety Management Systems (Refresher)</v>
      </c>
      <c r="F274" s="17">
        <v>45723</v>
      </c>
      <c r="G274" s="17" cm="1">
        <f t="array" ref="G2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274" s="15">
        <f ca="1">IF(OR(tblTraining[[#This Row],[Status]]="Renewed",tblTraining[[#This Row],[NextDueDate]]=""),"",tblTraining[[#This Row],[NextDueDate]]-TODAY())</f>
        <v>167</v>
      </c>
      <c r="I274" s="15" t="str" cm="1">
        <f t="array" aca="1" ref="I2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5" spans="1:9" x14ac:dyDescent="0.25">
      <c r="A275" s="15">
        <f t="shared" si="4"/>
        <v>274</v>
      </c>
      <c r="B275" s="15" t="s">
        <v>90</v>
      </c>
      <c r="C275" s="15" t="str" cm="1">
        <f t="array" ref="C275">IFERROR(_xlfn.XLOOKUP(B275, tblPeople[PersonID], tblPeople[PersonName], ""), "")</f>
        <v>Kendra Nambisia</v>
      </c>
      <c r="D275" s="15" t="s">
        <v>22</v>
      </c>
      <c r="E275" s="16" t="str">
        <f>IFERROR(_xlfn.XLOOKUP(D275, tblCourses[CourseID], tblCourses[CourseName], ""), "")</f>
        <v>Human Factors in Aviation (Refresher)</v>
      </c>
      <c r="F275" s="17">
        <v>45921</v>
      </c>
      <c r="G275" s="17" cm="1">
        <f t="array" ref="G2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46651</v>
      </c>
      <c r="H275" s="15">
        <f ca="1">IF(OR(tblTraining[[#This Row],[Status]]="Renewed",tblTraining[[#This Row],[NextDueDate]]=""),"",tblTraining[[#This Row],[NextDueDate]]-TODAY())</f>
        <v>365</v>
      </c>
      <c r="I275" s="15" t="str" cm="1">
        <f t="array" aca="1" ref="I2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6" spans="1:9" x14ac:dyDescent="0.25">
      <c r="A276" s="15">
        <f t="shared" si="4"/>
        <v>275</v>
      </c>
      <c r="B276" s="15" t="s">
        <v>215</v>
      </c>
      <c r="C276" s="15" t="str" cm="1">
        <f t="array" ref="C276">IFERROR(_xlfn.XLOOKUP(B276, tblPeople[PersonID], tblPeople[PersonName], ""), "")</f>
        <v>Samuel Wacho</v>
      </c>
      <c r="D276" s="15" t="s">
        <v>126</v>
      </c>
      <c r="E276" s="16" t="str">
        <f>IFERROR(_xlfn.XLOOKUP(D276, tblCourses[CourseID], tblCourses[CourseName], ""), "")</f>
        <v>Maintenance Indoctrination</v>
      </c>
      <c r="F276" s="17">
        <v>45785</v>
      </c>
      <c r="G276" s="17" t="str" cm="1">
        <f t="array" ref="G2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6" s="15" t="str">
        <f ca="1">IF(OR(tblTraining[[#This Row],[Status]]="Renewed",tblTraining[[#This Row],[NextDueDate]]=""),"",tblTraining[[#This Row],[NextDueDate]]-TODAY())</f>
        <v/>
      </c>
      <c r="I276" s="15" t="str" cm="1">
        <f t="array" aca="1" ref="I2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7" spans="1:9" x14ac:dyDescent="0.25">
      <c r="A277" s="15">
        <f t="shared" si="4"/>
        <v>276</v>
      </c>
      <c r="B277" s="15" t="s">
        <v>97</v>
      </c>
      <c r="C277" s="15" t="str" cm="1">
        <f t="array" ref="C277">IFERROR(_xlfn.XLOOKUP(B277, tblPeople[PersonID], tblPeople[PersonName], ""), "")</f>
        <v>Thomas Wambunya</v>
      </c>
      <c r="D277" s="15" t="s">
        <v>132</v>
      </c>
      <c r="E277" s="16" t="str">
        <f>IFERROR(_xlfn.XLOOKUP(D277, tblCourses[CourseID], tblCourses[CourseName], ""), "")</f>
        <v>Marshalling Techniques Course</v>
      </c>
      <c r="F277" s="17">
        <v>45475</v>
      </c>
      <c r="G277" s="17" t="str" cm="1">
        <f t="array" ref="G2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7" s="15" t="str">
        <f ca="1">IF(OR(tblTraining[[#This Row],[Status]]="Renewed",tblTraining[[#This Row],[NextDueDate]]=""),"",tblTraining[[#This Row],[NextDueDate]]-TODAY())</f>
        <v/>
      </c>
      <c r="I277" s="15" t="str" cm="1">
        <f t="array" aca="1" ref="I2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8" spans="1:9" x14ac:dyDescent="0.25">
      <c r="A278" s="15">
        <f t="shared" si="4"/>
        <v>277</v>
      </c>
      <c r="B278" s="15" t="s">
        <v>153</v>
      </c>
      <c r="C278" s="15" t="str" cm="1">
        <f t="array" ref="C278">IFERROR(_xlfn.XLOOKUP(B278, tblPeople[PersonID], tblPeople[PersonName], ""), "")</f>
        <v>Majid Mohamed</v>
      </c>
      <c r="D278" s="15" t="s">
        <v>179</v>
      </c>
      <c r="E278" s="16" t="str">
        <f>IFERROR(_xlfn.XLOOKUP(D278, tblCourses[CourseID], tblCourses[CourseName], ""), "")</f>
        <v>Aircraft Maintenance Engineers' Licence</v>
      </c>
      <c r="F278" s="17">
        <v>45886</v>
      </c>
      <c r="G278" s="17" cm="1">
        <f t="array" ref="G2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46616</v>
      </c>
      <c r="H278" s="15">
        <f ca="1">IF(OR(tblTraining[[#This Row],[Status]]="Renewed",tblTraining[[#This Row],[NextDueDate]]=""),"",tblTraining[[#This Row],[NextDueDate]]-TODAY())</f>
        <v>330</v>
      </c>
      <c r="I278" s="15" t="str" cm="1">
        <f t="array" aca="1" ref="I2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9" spans="1:9" x14ac:dyDescent="0.25">
      <c r="A279" s="15">
        <f t="shared" si="4"/>
        <v>278</v>
      </c>
      <c r="B279" s="15" t="s">
        <v>215</v>
      </c>
      <c r="C279" s="15" t="str" cm="1">
        <f t="array" ref="C279">IFERROR(_xlfn.XLOOKUP(B279, tblPeople[PersonID], tblPeople[PersonName], ""), "")</f>
        <v>Samuel Wacho</v>
      </c>
      <c r="D279" s="15" t="s">
        <v>110</v>
      </c>
      <c r="E279" s="16" t="str">
        <f>IFERROR(_xlfn.XLOOKUP(D279, tblCourses[CourseID], tblCourses[CourseName], ""), "")</f>
        <v>Electrical Wiring Interconnection System Target Groups 1 &amp; 2 (Initial)</v>
      </c>
      <c r="F279" s="17">
        <v>45807</v>
      </c>
      <c r="G279" s="17" t="str" cm="1">
        <f t="array" ref="G2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9" s="15" t="str">
        <f ca="1">IF(OR(tblTraining[[#This Row],[Status]]="Renewed",tblTraining[[#This Row],[NextDueDate]]=""),"",tblTraining[[#This Row],[NextDueDate]]-TODAY())</f>
        <v/>
      </c>
      <c r="I279" s="15" t="str" cm="1">
        <f t="array" aca="1" ref="I2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0" spans="1:9" x14ac:dyDescent="0.25">
      <c r="A280" s="15">
        <f t="shared" si="4"/>
        <v>279</v>
      </c>
      <c r="B280" s="15" t="s">
        <v>97</v>
      </c>
      <c r="C280" s="15" t="str" cm="1">
        <f t="array" ref="C280">IFERROR(_xlfn.XLOOKUP(B280, tblPeople[PersonID], tblPeople[PersonName], ""), "")</f>
        <v>Thomas Wambunya</v>
      </c>
      <c r="D280" s="15" t="s">
        <v>126</v>
      </c>
      <c r="E280" s="16" t="str">
        <f>IFERROR(_xlfn.XLOOKUP(D280, tblCourses[CourseID], tblCourses[CourseName], ""), "")</f>
        <v>Maintenance Indoctrination</v>
      </c>
      <c r="F280" s="17">
        <v>43444</v>
      </c>
      <c r="G280" s="17" t="str" cm="1">
        <f t="array" ref="G2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0" s="15" t="str">
        <f ca="1">IF(OR(tblTraining[[#This Row],[Status]]="Renewed",tblTraining[[#This Row],[NextDueDate]]=""),"",tblTraining[[#This Row],[NextDueDate]]-TODAY())</f>
        <v/>
      </c>
      <c r="I280" s="15" t="str" cm="1">
        <f t="array" aca="1" ref="I2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1" spans="1:9" x14ac:dyDescent="0.25">
      <c r="A281" s="15">
        <f t="shared" si="4"/>
        <v>280</v>
      </c>
      <c r="B281" s="15" t="s">
        <v>153</v>
      </c>
      <c r="C281" s="15" t="str" cm="1">
        <f t="array" ref="C281">IFERROR(_xlfn.XLOOKUP(B281, tblPeople[PersonID], tblPeople[PersonName], ""), "")</f>
        <v>Majid Mohamed</v>
      </c>
      <c r="D281" s="15" t="s">
        <v>194</v>
      </c>
      <c r="E281" s="16" t="str">
        <f>IFERROR(_xlfn.XLOOKUP(D281, tblCourses[CourseID], tblCourses[CourseName], ""), "")</f>
        <v>Stock Receiving Inspection</v>
      </c>
      <c r="F281" s="17">
        <v>45646</v>
      </c>
      <c r="G281" s="17" t="str" cm="1">
        <f t="array" ref="G2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1" s="15" t="str">
        <f ca="1">IF(OR(tblTraining[[#This Row],[Status]]="Renewed",tblTraining[[#This Row],[NextDueDate]]=""),"",tblTraining[[#This Row],[NextDueDate]]-TODAY())</f>
        <v/>
      </c>
      <c r="I281" s="15" t="str" cm="1">
        <f t="array" aca="1" ref="I2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2" spans="1:9" x14ac:dyDescent="0.25">
      <c r="A282" s="15">
        <f t="shared" si="4"/>
        <v>281</v>
      </c>
      <c r="B282" s="15" t="s">
        <v>215</v>
      </c>
      <c r="C282" s="15" t="str" cm="1">
        <f t="array" ref="C282">IFERROR(_xlfn.XLOOKUP(B282, tblPeople[PersonID], tblPeople[PersonName], ""), "")</f>
        <v>Samuel Wacho</v>
      </c>
      <c r="D282" s="15" t="s">
        <v>109</v>
      </c>
      <c r="E282" s="16" t="str">
        <f>IFERROR(_xlfn.XLOOKUP(D282, tblCourses[CourseID], tblCourses[CourseName], ""), "")</f>
        <v>Electrical Wiring Interconnection System Target Groups 1 &amp; 2 (Refresher)</v>
      </c>
      <c r="F282" s="17">
        <v>45807</v>
      </c>
      <c r="G282" s="17" cm="1">
        <f t="array" ref="G2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46537</v>
      </c>
      <c r="H282" s="15">
        <f ca="1">IF(OR(tblTraining[[#This Row],[Status]]="Renewed",tblTraining[[#This Row],[NextDueDate]]=""),"",tblTraining[[#This Row],[NextDueDate]]-TODAY())</f>
        <v>251</v>
      </c>
      <c r="I282" s="15" t="str" cm="1">
        <f t="array" aca="1" ref="I2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3" spans="1:9" x14ac:dyDescent="0.25">
      <c r="A283" s="15">
        <f t="shared" si="4"/>
        <v>282</v>
      </c>
      <c r="B283" s="15" t="s">
        <v>97</v>
      </c>
      <c r="C283" s="15" t="str" cm="1">
        <f t="array" ref="C283">IFERROR(_xlfn.XLOOKUP(B283, tblPeople[PersonID], tblPeople[PersonName], ""), "")</f>
        <v>Thomas Wambunya</v>
      </c>
      <c r="D283" s="15" t="s">
        <v>202</v>
      </c>
      <c r="E283" s="16" t="str">
        <f>IFERROR(_xlfn.XLOOKUP(D283, tblCourses[CourseID], tblCourses[CourseName], ""), "")</f>
        <v>Maintenance Procedures &amp; Standard Maintenance Practices (Refresher)</v>
      </c>
      <c r="F283" s="17">
        <v>45322</v>
      </c>
      <c r="G283" s="17" t="str" cm="1">
        <f t="array" ref="G2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3" s="15" t="str">
        <f ca="1">IF(OR(tblTraining[[#This Row],[Status]]="Renewed",tblTraining[[#This Row],[NextDueDate]]=""),"",tblTraining[[#This Row],[NextDueDate]]-TODAY())</f>
        <v/>
      </c>
      <c r="I283" s="15" t="str" cm="1">
        <f t="array" aca="1" ref="I2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84" spans="1:9" x14ac:dyDescent="0.25">
      <c r="A284" s="15">
        <f t="shared" si="4"/>
        <v>283</v>
      </c>
      <c r="B284" s="15" t="s">
        <v>153</v>
      </c>
      <c r="C284" s="15" t="str" cm="1">
        <f t="array" ref="C284">IFERROR(_xlfn.XLOOKUP(B284, tblPeople[PersonID], tblPeople[PersonName], ""), "")</f>
        <v>Majid Mohamed</v>
      </c>
      <c r="D284" s="15" t="s">
        <v>132</v>
      </c>
      <c r="E284" s="16" t="str">
        <f>IFERROR(_xlfn.XLOOKUP(D284, tblCourses[CourseID], tblCourses[CourseName], ""), "")</f>
        <v>Marshalling Techniques Course</v>
      </c>
      <c r="F284" s="17">
        <v>45469</v>
      </c>
      <c r="G284" s="17" t="str" cm="1">
        <f t="array" ref="G2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4" s="15" t="str">
        <f ca="1">IF(OR(tblTraining[[#This Row],[Status]]="Renewed",tblTraining[[#This Row],[NextDueDate]]=""),"",tblTraining[[#This Row],[NextDueDate]]-TODAY())</f>
        <v/>
      </c>
      <c r="I284" s="15" t="str" cm="1">
        <f t="array" aca="1" ref="I2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5" spans="1:9" x14ac:dyDescent="0.25">
      <c r="A285" s="15">
        <f t="shared" si="4"/>
        <v>284</v>
      </c>
      <c r="B285" s="15" t="s">
        <v>215</v>
      </c>
      <c r="C285" s="15" t="str" cm="1">
        <f t="array" ref="C285">IFERROR(_xlfn.XLOOKUP(B285, tblPeople[PersonID], tblPeople[PersonName], ""), "")</f>
        <v>Samuel Wacho</v>
      </c>
      <c r="D285" s="15" t="s">
        <v>124</v>
      </c>
      <c r="E285" s="16" t="str">
        <f>IFERROR(_xlfn.XLOOKUP(D285, tblCourses[CourseID], tblCourses[CourseName], ""), "")</f>
        <v>Aviation Security (Initial)</v>
      </c>
      <c r="F285" s="17">
        <v>45716</v>
      </c>
      <c r="G285" s="17" t="str" cm="1">
        <f t="array" ref="G2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5" s="15" t="str">
        <f ca="1">IF(OR(tblTraining[[#This Row],[Status]]="Renewed",tblTraining[[#This Row],[NextDueDate]]=""),"",tblTraining[[#This Row],[NextDueDate]]-TODAY())</f>
        <v/>
      </c>
      <c r="I285" s="15" t="str" cm="1">
        <f t="array" aca="1" ref="I2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6" spans="1:9" x14ac:dyDescent="0.25">
      <c r="A286" s="15">
        <f t="shared" si="4"/>
        <v>285</v>
      </c>
      <c r="B286" s="15" t="s">
        <v>153</v>
      </c>
      <c r="C286" s="15" t="str" cm="1">
        <f t="array" ref="C286">IFERROR(_xlfn.XLOOKUP(B286, tblPeople[PersonID], tblPeople[PersonName], ""), "")</f>
        <v>Majid Mohamed</v>
      </c>
      <c r="D286" s="15" t="s">
        <v>124</v>
      </c>
      <c r="E286" s="16" t="str">
        <f>IFERROR(_xlfn.XLOOKUP(D286, tblCourses[CourseID], tblCourses[CourseName], ""), "")</f>
        <v>Aviation Security (Initial)</v>
      </c>
      <c r="F286" s="17">
        <v>45716</v>
      </c>
      <c r="G286" s="17" t="str" cm="1">
        <f t="array" ref="G2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6" s="15" t="str">
        <f ca="1">IF(OR(tblTraining[[#This Row],[Status]]="Renewed",tblTraining[[#This Row],[NextDueDate]]=""),"",tblTraining[[#This Row],[NextDueDate]]-TODAY())</f>
        <v/>
      </c>
      <c r="I286" s="15" t="str" cm="1">
        <f t="array" aca="1" ref="I2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7" spans="1:9" x14ac:dyDescent="0.25">
      <c r="A287" s="15">
        <f t="shared" si="4"/>
        <v>286</v>
      </c>
      <c r="B287" s="15" t="s">
        <v>215</v>
      </c>
      <c r="C287" s="15" t="str" cm="1">
        <f t="array" ref="C287">IFERROR(_xlfn.XLOOKUP(B287, tblPeople[PersonID], tblPeople[PersonName], ""), "")</f>
        <v>Samuel Wacho</v>
      </c>
      <c r="D287" s="15" t="s">
        <v>125</v>
      </c>
      <c r="E287" s="16" t="str">
        <f>IFERROR(_xlfn.XLOOKUP(D287, tblCourses[CourseID], tblCourses[CourseName], ""), "")</f>
        <v>Aviation Security (Refresher)</v>
      </c>
      <c r="F287" s="17">
        <v>45716</v>
      </c>
      <c r="G287" s="17" cm="1">
        <f t="array" ref="G2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87" s="15">
        <f ca="1">IF(OR(tblTraining[[#This Row],[Status]]="Renewed",tblTraining[[#This Row],[NextDueDate]]=""),"",tblTraining[[#This Row],[NextDueDate]]-TODAY())</f>
        <v>160</v>
      </c>
      <c r="I287" s="15" t="str" cm="1">
        <f t="array" aca="1" ref="I2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8" spans="1:9" x14ac:dyDescent="0.25">
      <c r="A288" s="15">
        <f t="shared" si="4"/>
        <v>287</v>
      </c>
      <c r="B288" s="15" t="s">
        <v>153</v>
      </c>
      <c r="C288" s="15" t="str" cm="1">
        <f t="array" ref="C288">IFERROR(_xlfn.XLOOKUP(B288, tblPeople[PersonID], tblPeople[PersonName], ""), "")</f>
        <v>Majid Mohamed</v>
      </c>
      <c r="D288" s="15" t="s">
        <v>125</v>
      </c>
      <c r="E288" s="16" t="str">
        <f>IFERROR(_xlfn.XLOOKUP(D288, tblCourses[CourseID], tblCourses[CourseName], ""), "")</f>
        <v>Aviation Security (Refresher)</v>
      </c>
      <c r="F288" s="17">
        <v>45716</v>
      </c>
      <c r="G288" s="17" cm="1">
        <f t="array" ref="G2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88" s="15">
        <f ca="1">IF(OR(tblTraining[[#This Row],[Status]]="Renewed",tblTraining[[#This Row],[NextDueDate]]=""),"",tblTraining[[#This Row],[NextDueDate]]-TODAY())</f>
        <v>160</v>
      </c>
      <c r="I288" s="15" t="str" cm="1">
        <f t="array" aca="1" ref="I2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9" spans="1:9" x14ac:dyDescent="0.25">
      <c r="A289" s="15">
        <f t="shared" si="4"/>
        <v>288</v>
      </c>
      <c r="B289" s="15" t="s">
        <v>215</v>
      </c>
      <c r="C289" s="15" t="str" cm="1">
        <f t="array" ref="C289">IFERROR(_xlfn.XLOOKUP(B289, tblPeople[PersonID], tblPeople[PersonName], ""), "")</f>
        <v>Samuel Wacho</v>
      </c>
      <c r="D289" s="15" t="s">
        <v>77</v>
      </c>
      <c r="E289" s="16" t="str">
        <f>IFERROR(_xlfn.XLOOKUP(D289, tblCourses[CourseID], tblCourses[CourseName], ""), "")</f>
        <v>DHC8 -100/-200/-300 Collins Wheels &amp; Brakes Familiarization Training (Refresher)</v>
      </c>
      <c r="F289" s="17">
        <v>45637</v>
      </c>
      <c r="G289" s="17" cm="1">
        <f t="array" ref="G2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89" s="15">
        <f ca="1">IF(OR(tblTraining[[#This Row],[Status]]="Renewed",tblTraining[[#This Row],[NextDueDate]]=""),"",tblTraining[[#This Row],[NextDueDate]]-TODAY())</f>
        <v>81</v>
      </c>
      <c r="I289" s="15" t="str" cm="1">
        <f t="array" aca="1" ref="I2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0" spans="1:9" x14ac:dyDescent="0.25">
      <c r="A290" s="15">
        <f t="shared" si="4"/>
        <v>289</v>
      </c>
      <c r="B290" s="15" t="s">
        <v>97</v>
      </c>
      <c r="C290" s="15" t="str" cm="1">
        <f t="array" ref="C290">IFERROR(_xlfn.XLOOKUP(B290, tblPeople[PersonID], tblPeople[PersonName], ""), "")</f>
        <v>Thomas Wambunya</v>
      </c>
      <c r="D290" s="15" t="s">
        <v>77</v>
      </c>
      <c r="E290" s="16" t="str">
        <f>IFERROR(_xlfn.XLOOKUP(D290, tblCourses[CourseID], tblCourses[CourseName], ""), "")</f>
        <v>DHC8 -100/-200/-300 Collins Wheels &amp; Brakes Familiarization Training (Refresher)</v>
      </c>
      <c r="F290" s="17">
        <v>44392</v>
      </c>
      <c r="G290" s="17" t="str" cm="1">
        <f t="array" ref="G2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0" s="15" t="str">
        <f ca="1">IF(OR(tblTraining[[#This Row],[Status]]="Renewed",tblTraining[[#This Row],[NextDueDate]]=""),"",tblTraining[[#This Row],[NextDueDate]]-TODAY())</f>
        <v/>
      </c>
      <c r="I290" s="15" t="str" cm="1">
        <f t="array" aca="1" ref="I2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91" spans="1:9" x14ac:dyDescent="0.25">
      <c r="A291" s="15">
        <f t="shared" si="4"/>
        <v>290</v>
      </c>
      <c r="B291" s="15" t="s">
        <v>153</v>
      </c>
      <c r="C291" s="15" t="str" cm="1">
        <f t="array" ref="C291">IFERROR(_xlfn.XLOOKUP(B291, tblPeople[PersonID], tblPeople[PersonName], ""), "")</f>
        <v>Majid Mohamed</v>
      </c>
      <c r="D291" s="15" t="s">
        <v>110</v>
      </c>
      <c r="E291" s="16" t="str">
        <f>IFERROR(_xlfn.XLOOKUP(D291, tblCourses[CourseID], tblCourses[CourseName], ""), "")</f>
        <v>Electrical Wiring Interconnection System Target Groups 1 &amp; 2 (Initial)</v>
      </c>
      <c r="F291" s="17">
        <v>45802</v>
      </c>
      <c r="G291" s="17" t="str" cm="1">
        <f t="array" ref="G2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1" s="15" t="str">
        <f ca="1">IF(OR(tblTraining[[#This Row],[Status]]="Renewed",tblTraining[[#This Row],[NextDueDate]]=""),"",tblTraining[[#This Row],[NextDueDate]]-TODAY())</f>
        <v/>
      </c>
      <c r="I291" s="15" t="str" cm="1">
        <f t="array" aca="1" ref="I2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2" spans="1:9" x14ac:dyDescent="0.25">
      <c r="A292" s="15">
        <f t="shared" si="4"/>
        <v>291</v>
      </c>
      <c r="B292" s="15" t="s">
        <v>215</v>
      </c>
      <c r="C292" s="15" t="str" cm="1">
        <f t="array" ref="C292">IFERROR(_xlfn.XLOOKUP(B292, tblPeople[PersonID], tblPeople[PersonName], ""), "")</f>
        <v>Samuel Wacho</v>
      </c>
      <c r="D292" s="15" t="s">
        <v>173</v>
      </c>
      <c r="E292" s="16" t="str">
        <f>IFERROR(_xlfn.XLOOKUP(D292, tblCourses[CourseID], tblCourses[CourseName], ""), "")</f>
        <v>Quality Management Systems</v>
      </c>
      <c r="F292" s="17">
        <v>45541</v>
      </c>
      <c r="G292" s="17" cm="1">
        <f t="array" ref="G2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46636</v>
      </c>
      <c r="H292" s="15">
        <f ca="1">IF(OR(tblTraining[[#This Row],[Status]]="Renewed",tblTraining[[#This Row],[NextDueDate]]=""),"",tblTraining[[#This Row],[NextDueDate]]-TODAY())</f>
        <v>350</v>
      </c>
      <c r="I292" s="15" t="str" cm="1">
        <f t="array" aca="1" ref="I2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3" spans="1:9" x14ac:dyDescent="0.25">
      <c r="A293" s="15">
        <f t="shared" si="4"/>
        <v>292</v>
      </c>
      <c r="B293" s="15" t="s">
        <v>97</v>
      </c>
      <c r="C293" s="15" t="str" cm="1">
        <f t="array" ref="C293">IFERROR(_xlfn.XLOOKUP(B293, tblPeople[PersonID], tblPeople[PersonName], ""), "")</f>
        <v>Thomas Wambunya</v>
      </c>
      <c r="D293" s="15" t="s">
        <v>28</v>
      </c>
      <c r="E293" s="16" t="str">
        <f>IFERROR(_xlfn.XLOOKUP(D293, tblCourses[CourseID], tblCourses[CourseName], ""), "")</f>
        <v>DHC-8 100/200/300 with PWC 120/120A/121/123B/C/D/E Series Engines(Refresher)</v>
      </c>
      <c r="F293" s="17">
        <v>43777</v>
      </c>
      <c r="G293" s="17" cm="1">
        <f t="array" ref="G2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44508</v>
      </c>
      <c r="H293" s="15">
        <f ca="1">IF(OR(tblTraining[[#This Row],[Status]]="Renewed",tblTraining[[#This Row],[NextDueDate]]=""),"",tblTraining[[#This Row],[NextDueDate]]-TODAY())</f>
        <v>-1778</v>
      </c>
      <c r="I293" s="15" t="str" cm="1">
        <f t="array" aca="1" ref="I2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294" spans="1:9" x14ac:dyDescent="0.25">
      <c r="A294" s="15">
        <f t="shared" si="4"/>
        <v>293</v>
      </c>
      <c r="B294" s="15" t="s">
        <v>153</v>
      </c>
      <c r="C294" s="15" t="str" cm="1">
        <f t="array" ref="C294">IFERROR(_xlfn.XLOOKUP(B294, tblPeople[PersonID], tblPeople[PersonName], ""), "")</f>
        <v>Majid Mohamed</v>
      </c>
      <c r="D294" s="15" t="s">
        <v>109</v>
      </c>
      <c r="E294" s="16" t="str">
        <f>IFERROR(_xlfn.XLOOKUP(D294, tblCourses[CourseID], tblCourses[CourseName], ""), "")</f>
        <v>Electrical Wiring Interconnection System Target Groups 1 &amp; 2 (Refresher)</v>
      </c>
      <c r="F294" s="17">
        <v>45802</v>
      </c>
      <c r="G294" s="17" cm="1">
        <f t="array" ref="G2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46532</v>
      </c>
      <c r="H294" s="15">
        <f ca="1">IF(OR(tblTraining[[#This Row],[Status]]="Renewed",tblTraining[[#This Row],[NextDueDate]]=""),"",tblTraining[[#This Row],[NextDueDate]]-TODAY())</f>
        <v>246</v>
      </c>
      <c r="I294" s="15" t="str" cm="1">
        <f t="array" aca="1" ref="I2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5" spans="1:9" x14ac:dyDescent="0.25">
      <c r="A295" s="15">
        <f t="shared" si="4"/>
        <v>294</v>
      </c>
      <c r="B295" s="15" t="s">
        <v>215</v>
      </c>
      <c r="C295" s="15" t="str" cm="1">
        <f t="array" ref="C295">IFERROR(_xlfn.XLOOKUP(B295, tblPeople[PersonID], tblPeople[PersonName], ""), "")</f>
        <v>Samuel Wacho</v>
      </c>
      <c r="D295" s="15" t="s">
        <v>132</v>
      </c>
      <c r="E295" s="16" t="str">
        <f>IFERROR(_xlfn.XLOOKUP(D295, tblCourses[CourseID], tblCourses[CourseName], ""), "")</f>
        <v>Marshalling Techniques Course</v>
      </c>
      <c r="F295" s="17">
        <v>45470</v>
      </c>
      <c r="G295" s="17" t="str" cm="1">
        <f t="array" ref="G2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5" s="15" t="str">
        <f ca="1">IF(OR(tblTraining[[#This Row],[Status]]="Renewed",tblTraining[[#This Row],[NextDueDate]]=""),"",tblTraining[[#This Row],[NextDueDate]]-TODAY())</f>
        <v/>
      </c>
      <c r="I295" s="15" t="str" cm="1">
        <f t="array" aca="1" ref="I2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6" spans="1:9" x14ac:dyDescent="0.25">
      <c r="A296" s="15">
        <f t="shared" si="4"/>
        <v>295</v>
      </c>
      <c r="B296" s="15" t="s">
        <v>85</v>
      </c>
      <c r="C296" s="15" t="str" cm="1">
        <f t="array" ref="C296">IFERROR(_xlfn.XLOOKUP(B296, tblPeople[PersonID], tblPeople[PersonName], ""), "")</f>
        <v>Titus Shunza</v>
      </c>
      <c r="D296" s="15" t="s">
        <v>126</v>
      </c>
      <c r="E296" s="16" t="str">
        <f>IFERROR(_xlfn.XLOOKUP(D296, tblCourses[CourseID], tblCourses[CourseName], ""), "")</f>
        <v>Maintenance Indoctrination</v>
      </c>
      <c r="F296" s="17">
        <v>44501</v>
      </c>
      <c r="G296" s="17" t="str" cm="1">
        <f t="array" ref="G2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6" s="15" t="str">
        <f ca="1">IF(OR(tblTraining[[#This Row],[Status]]="Renewed",tblTraining[[#This Row],[NextDueDate]]=""),"",tblTraining[[#This Row],[NextDueDate]]-TODAY())</f>
        <v/>
      </c>
      <c r="I296" s="15" t="str" cm="1">
        <f t="array" aca="1" ref="I2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7" spans="1:9" x14ac:dyDescent="0.25">
      <c r="A297" s="15">
        <f t="shared" si="4"/>
        <v>296</v>
      </c>
      <c r="B297" s="15" t="s">
        <v>153</v>
      </c>
      <c r="C297" s="15" t="str" cm="1">
        <f t="array" ref="C297">IFERROR(_xlfn.XLOOKUP(B297, tblPeople[PersonID], tblPeople[PersonName], ""), "")</f>
        <v>Majid Mohamed</v>
      </c>
      <c r="D297" s="15" t="s">
        <v>77</v>
      </c>
      <c r="E297" s="16" t="str">
        <f>IFERROR(_xlfn.XLOOKUP(D297, tblCourses[CourseID], tblCourses[CourseName], ""), "")</f>
        <v>DHC8 -100/-200/-300 Collins Wheels &amp; Brakes Familiarization Training (Refresher)</v>
      </c>
      <c r="F297" s="17">
        <v>45637</v>
      </c>
      <c r="G297" s="17" cm="1">
        <f t="array" ref="G2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97" s="15">
        <f ca="1">IF(OR(tblTraining[[#This Row],[Status]]="Renewed",tblTraining[[#This Row],[NextDueDate]]=""),"",tblTraining[[#This Row],[NextDueDate]]-TODAY())</f>
        <v>81</v>
      </c>
      <c r="I297" s="15" t="str" cm="1">
        <f t="array" aca="1" ref="I2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8" spans="1:9" x14ac:dyDescent="0.25">
      <c r="A298" s="15">
        <f t="shared" si="4"/>
        <v>297</v>
      </c>
      <c r="B298" s="15" t="s">
        <v>215</v>
      </c>
      <c r="C298" s="15" t="str" cm="1">
        <f t="array" ref="C298">IFERROR(_xlfn.XLOOKUP(B298, tblPeople[PersonID], tblPeople[PersonName], ""), "")</f>
        <v>Samuel Wacho</v>
      </c>
      <c r="D298" s="15" t="s">
        <v>181</v>
      </c>
      <c r="E298" s="16" t="str">
        <f>IFERROR(_xlfn.XLOOKUP(D298, tblCourses[CourseID], tblCourses[CourseName], ""), "")</f>
        <v>Cessna 208 Series (Caravan) With P&amp;WC PT6A-114/ -114A/ -140 Engines (Initial)</v>
      </c>
      <c r="F298" s="17">
        <v>45814</v>
      </c>
      <c r="G298" s="17" t="str" cm="1">
        <f t="array" ref="G2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8" s="15" t="str">
        <f ca="1">IF(OR(tblTraining[[#This Row],[Status]]="Renewed",tblTraining[[#This Row],[NextDueDate]]=""),"",tblTraining[[#This Row],[NextDueDate]]-TODAY())</f>
        <v/>
      </c>
      <c r="I298" s="15" t="str" cm="1">
        <f t="array" aca="1" ref="I2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9" spans="1:9" x14ac:dyDescent="0.25">
      <c r="A299" s="15">
        <f t="shared" si="4"/>
        <v>298</v>
      </c>
      <c r="B299" s="15" t="s">
        <v>85</v>
      </c>
      <c r="C299" s="15" t="str" cm="1">
        <f t="array" ref="C299">IFERROR(_xlfn.XLOOKUP(B299, tblPeople[PersonID], tblPeople[PersonName], ""), "")</f>
        <v>Titus Shunza</v>
      </c>
      <c r="D299" s="15" t="s">
        <v>179</v>
      </c>
      <c r="E299" s="16" t="str">
        <f>IFERROR(_xlfn.XLOOKUP(D299, tblCourses[CourseID], tblCourses[CourseName], ""), "")</f>
        <v>Aircraft Maintenance Engineers' Licence</v>
      </c>
      <c r="F299" s="17">
        <v>45607</v>
      </c>
      <c r="G299" s="17" cm="1">
        <f t="array" ref="G2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46337</v>
      </c>
      <c r="H299" s="15">
        <f ca="1">IF(OR(tblTraining[[#This Row],[Status]]="Renewed",tblTraining[[#This Row],[NextDueDate]]=""),"",tblTraining[[#This Row],[NextDueDate]]-TODAY())</f>
        <v>51</v>
      </c>
      <c r="I299" s="15" t="str" cm="1">
        <f t="array" aca="1" ref="I2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300" spans="1:9" x14ac:dyDescent="0.25">
      <c r="A300" s="15">
        <f t="shared" si="4"/>
        <v>299</v>
      </c>
      <c r="B300" s="15" t="s">
        <v>153</v>
      </c>
      <c r="C300" s="15" t="str" cm="1">
        <f t="array" ref="C300">IFERROR(_xlfn.XLOOKUP(B300, tblPeople[PersonID], tblPeople[PersonName], ""), "")</f>
        <v>Majid Mohamed</v>
      </c>
      <c r="D300" s="15" t="s">
        <v>28</v>
      </c>
      <c r="E300" s="16" t="str">
        <f>IFERROR(_xlfn.XLOOKUP(D300, tblCourses[CourseID], tblCourses[CourseName], ""), "")</f>
        <v>DHC-8 100/200/300 with PWC 120/120A/121/123B/C/D/E Series Engines(Refresher)</v>
      </c>
      <c r="F300" s="17">
        <v>45394</v>
      </c>
      <c r="G300" s="17" t="str" cm="1">
        <f t="array" ref="G3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0" s="15" t="str">
        <f ca="1">IF(OR(tblTraining[[#This Row],[Status]]="Renewed",tblTraining[[#This Row],[NextDueDate]]=""),"",tblTraining[[#This Row],[NextDueDate]]-TODAY())</f>
        <v/>
      </c>
      <c r="I300" s="15" t="str" cm="1">
        <f t="array" aca="1" ref="I3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1" spans="1:9" x14ac:dyDescent="0.25">
      <c r="A301" s="15">
        <f t="shared" si="4"/>
        <v>300</v>
      </c>
      <c r="B301" s="15" t="s">
        <v>215</v>
      </c>
      <c r="C301" s="15" t="str" cm="1">
        <f t="array" ref="C301">IFERROR(_xlfn.XLOOKUP(B301, tblPeople[PersonID], tblPeople[PersonName], ""), "")</f>
        <v>Samuel Wacho</v>
      </c>
      <c r="D301" s="15" t="s">
        <v>182</v>
      </c>
      <c r="E301" s="16" t="str">
        <f>IFERROR(_xlfn.XLOOKUP(D301, tblCourses[CourseID], tblCourses[CourseName], ""), "")</f>
        <v>Cessna 208 Series (Caravan) With P&amp;WC PT6A-114/ -114A/ -140 Engines (Refresher)</v>
      </c>
      <c r="F301" s="17">
        <v>45814</v>
      </c>
      <c r="G301" s="17" cm="1">
        <f t="array" ref="G3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46544</v>
      </c>
      <c r="H301" s="15">
        <f ca="1">IF(OR(tblTraining[[#This Row],[Status]]="Renewed",tblTraining[[#This Row],[NextDueDate]]=""),"",tblTraining[[#This Row],[NextDueDate]]-TODAY())</f>
        <v>258</v>
      </c>
      <c r="I301" s="15" t="str" cm="1">
        <f t="array" aca="1" ref="I3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2" spans="1:9" x14ac:dyDescent="0.25">
      <c r="A302" s="15">
        <f t="shared" si="4"/>
        <v>301</v>
      </c>
      <c r="B302" s="15" t="s">
        <v>85</v>
      </c>
      <c r="C302" s="15" t="str" cm="1">
        <f t="array" ref="C302">IFERROR(_xlfn.XLOOKUP(B302, tblPeople[PersonID], tblPeople[PersonName], ""), "")</f>
        <v>Titus Shunza</v>
      </c>
      <c r="D302" s="15" t="s">
        <v>28</v>
      </c>
      <c r="E302" s="16" t="str">
        <f>IFERROR(_xlfn.XLOOKUP(D302, tblCourses[CourseID], tblCourses[CourseName], ""), "")</f>
        <v>DHC-8 100/200/300 with PWC 120/120A/121/123B/C/D/E Series Engines(Refresher)</v>
      </c>
      <c r="F302" s="17">
        <v>45856</v>
      </c>
      <c r="G302" s="17" cm="1">
        <f t="array" ref="G3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302" s="15">
        <f ca="1">IF(OR(tblTraining[[#This Row],[Status]]="Renewed",tblTraining[[#This Row],[NextDueDate]]=""),"",tblTraining[[#This Row],[NextDueDate]]-TODAY())</f>
        <v>300</v>
      </c>
      <c r="I302" s="15" t="str" cm="1">
        <f t="array" aca="1" ref="I3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3" spans="1:9" x14ac:dyDescent="0.25">
      <c r="A303" s="15">
        <f t="shared" si="4"/>
        <v>302</v>
      </c>
      <c r="B303" s="15" t="s">
        <v>153</v>
      </c>
      <c r="C303" s="15" t="str" cm="1">
        <f t="array" ref="C303">IFERROR(_xlfn.XLOOKUP(B303, tblPeople[PersonID], tblPeople[PersonName], ""), "")</f>
        <v>Majid Mohamed</v>
      </c>
      <c r="D303" s="15" t="s">
        <v>25</v>
      </c>
      <c r="E303" s="16" t="str">
        <f>IFERROR(_xlfn.XLOOKUP(D303, tblCourses[CourseID], tblCourses[CourseName], ""), "")</f>
        <v>Pratt &amp; Whitney Canada PT6A Engine With P&amp;WC PT6A
20/ 27/ 41/ 42/ 60A/ 67D/ 112/ 114A/ 140 (Refresher)</v>
      </c>
      <c r="F303" s="17">
        <v>45730</v>
      </c>
      <c r="G303" s="17" cm="1">
        <f t="array" ref="G3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303" s="15">
        <f ca="1">IF(OR(tblTraining[[#This Row],[Status]]="Renewed",tblTraining[[#This Row],[NextDueDate]]=""),"",tblTraining[[#This Row],[NextDueDate]]-TODAY())</f>
        <v>174</v>
      </c>
      <c r="I303" s="15" t="str" cm="1">
        <f t="array" aca="1" ref="I3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4" spans="1:9" x14ac:dyDescent="0.25">
      <c r="A304" s="15">
        <f t="shared" si="4"/>
        <v>303</v>
      </c>
      <c r="B304" s="15" t="s">
        <v>215</v>
      </c>
      <c r="C304" s="15" t="str" cm="1">
        <f t="array" ref="C304">IFERROR(_xlfn.XLOOKUP(B304, tblPeople[PersonID], tblPeople[PersonName], ""), "")</f>
        <v>Samuel Wacho</v>
      </c>
      <c r="D304" s="15" t="s">
        <v>76</v>
      </c>
      <c r="E304" s="16" t="str">
        <f>IFERROR(_xlfn.XLOOKUP(D304, tblCourses[CourseID], tblCourses[CourseName], ""), "")</f>
        <v>Fuel Tank Safety Phase 1 &amp; 2 Course (Initial)</v>
      </c>
      <c r="F304" s="17">
        <v>45410</v>
      </c>
      <c r="G304" s="17" t="str" cm="1">
        <f t="array" ref="G3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4" s="15" t="str">
        <f ca="1">IF(OR(tblTraining[[#This Row],[Status]]="Renewed",tblTraining[[#This Row],[NextDueDate]]=""),"",tblTraining[[#This Row],[NextDueDate]]-TODAY())</f>
        <v/>
      </c>
      <c r="I304" s="15" t="str" cm="1">
        <f t="array" aca="1" ref="I3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5" spans="1:9" x14ac:dyDescent="0.25">
      <c r="A305" s="15">
        <f t="shared" si="4"/>
        <v>304</v>
      </c>
      <c r="B305" s="15" t="s">
        <v>85</v>
      </c>
      <c r="C305" s="15" t="str" cm="1">
        <f t="array" ref="C305">IFERROR(_xlfn.XLOOKUP(B305, tblPeople[PersonID], tblPeople[PersonName], ""), "")</f>
        <v>Titus Shunza</v>
      </c>
      <c r="D305" s="15" t="s">
        <v>25</v>
      </c>
      <c r="E305" s="16" t="str">
        <f>IFERROR(_xlfn.XLOOKUP(D305, tblCourses[CourseID], tblCourses[CourseName], ""), "")</f>
        <v>Pratt &amp; Whitney Canada PT6A Engine With P&amp;WC PT6A
20/ 27/ 41/ 42/ 60A/ 67D/ 112/ 114A/ 140 (Refresher)</v>
      </c>
      <c r="F305" s="17">
        <v>45821</v>
      </c>
      <c r="G305" s="17" t="str" cm="1">
        <f t="array" ref="G3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5" s="15" t="str">
        <f ca="1">IF(OR(tblTraining[[#This Row],[Status]]="Renewed",tblTraining[[#This Row],[NextDueDate]]=""),"",tblTraining[[#This Row],[NextDueDate]]-TODAY())</f>
        <v/>
      </c>
      <c r="I305" s="15" t="str" cm="1">
        <f t="array" aca="1" ref="I3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6" spans="1:9" x14ac:dyDescent="0.25">
      <c r="A306" s="15">
        <f t="shared" si="4"/>
        <v>305</v>
      </c>
      <c r="B306" s="15" t="s">
        <v>153</v>
      </c>
      <c r="C306" s="15" t="str" cm="1">
        <f t="array" ref="C306">IFERROR(_xlfn.XLOOKUP(B306, tblPeople[PersonID], tblPeople[PersonName], ""), "")</f>
        <v>Majid Mohamed</v>
      </c>
      <c r="D306" s="15" t="s">
        <v>182</v>
      </c>
      <c r="E306" s="16" t="str">
        <f>IFERROR(_xlfn.XLOOKUP(D306, tblCourses[CourseID], tblCourses[CourseName], ""), "")</f>
        <v>Cessna 208 Series (Caravan) With P&amp;WC PT6A-114/ -114A/ -140 Engines (Refresher)</v>
      </c>
      <c r="F306" s="17">
        <v>45387</v>
      </c>
      <c r="G306" s="17" t="str" cm="1">
        <f t="array" ref="G3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6" s="15" t="str">
        <f ca="1">IF(OR(tblTraining[[#This Row],[Status]]="Renewed",tblTraining[[#This Row],[NextDueDate]]=""),"",tblTraining[[#This Row],[NextDueDate]]-TODAY())</f>
        <v/>
      </c>
      <c r="I306" s="15" t="str" cm="1">
        <f t="array" aca="1" ref="I3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7" spans="1:9" x14ac:dyDescent="0.25">
      <c r="A307" s="15">
        <f t="shared" si="4"/>
        <v>306</v>
      </c>
      <c r="B307" s="15" t="s">
        <v>215</v>
      </c>
      <c r="C307" s="15" t="str" cm="1">
        <f t="array" ref="C307">IFERROR(_xlfn.XLOOKUP(B307, tblPeople[PersonID], tblPeople[PersonName], ""), "")</f>
        <v>Samuel Wacho</v>
      </c>
      <c r="D307" s="15" t="s">
        <v>75</v>
      </c>
      <c r="E307" s="16" t="str">
        <f>IFERROR(_xlfn.XLOOKUP(D307, tblCourses[CourseID], tblCourses[CourseName], ""), "")</f>
        <v>Fuel Tank Safety Phase 1 &amp; 2 Course (Refresher)</v>
      </c>
      <c r="F307" s="17">
        <v>45410</v>
      </c>
      <c r="G307" s="17" t="str" cm="1">
        <f t="array" ref="G3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7" s="15" t="str">
        <f ca="1">IF(OR(tblTraining[[#This Row],[Status]]="Renewed",tblTraining[[#This Row],[NextDueDate]]=""),"",tblTraining[[#This Row],[NextDueDate]]-TODAY())</f>
        <v/>
      </c>
      <c r="I307" s="15" t="str" cm="1">
        <f t="array" aca="1" ref="I3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8" spans="1:9" x14ac:dyDescent="0.25">
      <c r="A308" s="15">
        <f t="shared" si="4"/>
        <v>307</v>
      </c>
      <c r="B308" s="15" t="s">
        <v>153</v>
      </c>
      <c r="C308" s="15" t="str" cm="1">
        <f t="array" ref="C308">IFERROR(_xlfn.XLOOKUP(B308, tblPeople[PersonID], tblPeople[PersonName], ""), "")</f>
        <v>Majid Mohamed</v>
      </c>
      <c r="D308" s="15" t="s">
        <v>75</v>
      </c>
      <c r="E308" s="16" t="str">
        <f>IFERROR(_xlfn.XLOOKUP(D308, tblCourses[CourseID], tblCourses[CourseName], ""), "")</f>
        <v>Fuel Tank Safety Phase 1 &amp; 2 Course (Refresher)</v>
      </c>
      <c r="F308" s="17">
        <v>45410</v>
      </c>
      <c r="G308" s="17" t="str" cm="1">
        <f t="array" ref="G3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8" s="15" t="str">
        <f ca="1">IF(OR(tblTraining[[#This Row],[Status]]="Renewed",tblTraining[[#This Row],[NextDueDate]]=""),"",tblTraining[[#This Row],[NextDueDate]]-TODAY())</f>
        <v/>
      </c>
      <c r="I308" s="15" t="str" cm="1">
        <f t="array" aca="1" ref="I3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9" spans="1:9" x14ac:dyDescent="0.25">
      <c r="A309" s="15">
        <f t="shared" si="4"/>
        <v>308</v>
      </c>
      <c r="B309" s="15" t="s">
        <v>215</v>
      </c>
      <c r="C309" s="15" t="str" cm="1">
        <f t="array" ref="C309">IFERROR(_xlfn.XLOOKUP(B309, tblPeople[PersonID], tblPeople[PersonName], ""), "")</f>
        <v>Samuel Wacho</v>
      </c>
      <c r="D309" s="15" t="s">
        <v>20</v>
      </c>
      <c r="E309" s="16" t="str">
        <f>IFERROR(_xlfn.XLOOKUP(D309, tblCourses[CourseID], tblCourses[CourseName], ""), "")</f>
        <v>Safety Management Systems (Initial)</v>
      </c>
      <c r="F309" s="17">
        <v>45379</v>
      </c>
      <c r="G309" s="17" t="str" cm="1">
        <f t="array" ref="G3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9" s="15" t="str">
        <f ca="1">IF(OR(tblTraining[[#This Row],[Status]]="Renewed",tblTraining[[#This Row],[NextDueDate]]=""),"",tblTraining[[#This Row],[NextDueDate]]-TODAY())</f>
        <v/>
      </c>
      <c r="I309" s="15" t="str" cm="1">
        <f t="array" aca="1" ref="I3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0" spans="1:9" x14ac:dyDescent="0.25">
      <c r="A310" s="15">
        <f t="shared" si="4"/>
        <v>309</v>
      </c>
      <c r="B310" s="15" t="s">
        <v>85</v>
      </c>
      <c r="C310" s="15" t="str" cm="1">
        <f t="array" ref="C310">IFERROR(_xlfn.XLOOKUP(B310, tblPeople[PersonID], tblPeople[PersonName], ""), "")</f>
        <v>Titus Shunza</v>
      </c>
      <c r="D310" s="15" t="s">
        <v>191</v>
      </c>
      <c r="E310" s="16" t="str">
        <f>IFERROR(_xlfn.XLOOKUP(D310, tblCourses[CourseID], tblCourses[CourseName], ""), "")</f>
        <v>Borescope Fundamentals P&amp;WC PW100 Series</v>
      </c>
      <c r="F310" s="17">
        <v>42709</v>
      </c>
      <c r="G310" s="17" t="str" cm="1">
        <f t="array" ref="G3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0" s="15" t="str">
        <f ca="1">IF(OR(tblTraining[[#This Row],[Status]]="Renewed",tblTraining[[#This Row],[NextDueDate]]=""),"",tblTraining[[#This Row],[NextDueDate]]-TODAY())</f>
        <v/>
      </c>
      <c r="I310" s="15" t="str" cm="1">
        <f t="array" aca="1" ref="I3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1" spans="1:9" x14ac:dyDescent="0.25">
      <c r="A311" s="15">
        <f t="shared" si="4"/>
        <v>310</v>
      </c>
      <c r="B311" s="15" t="s">
        <v>153</v>
      </c>
      <c r="C311" s="15" t="str" cm="1">
        <f t="array" ref="C311">IFERROR(_xlfn.XLOOKUP(B311, tblPeople[PersonID], tblPeople[PersonName], ""), "")</f>
        <v>Majid Mohamed</v>
      </c>
      <c r="D311" s="15" t="s">
        <v>24</v>
      </c>
      <c r="E311" s="16" t="str">
        <f>IFERROR(_xlfn.XLOOKUP(D311, tblCourses[CourseID], tblCourses[CourseName], ""), "")</f>
        <v>Human Factors in Aviation (Initial)</v>
      </c>
      <c r="F311" s="17">
        <v>45410</v>
      </c>
      <c r="G311" s="17" t="str" cm="1">
        <f t="array" ref="G3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1" s="15" t="str">
        <f ca="1">IF(OR(tblTraining[[#This Row],[Status]]="Renewed",tblTraining[[#This Row],[NextDueDate]]=""),"",tblTraining[[#This Row],[NextDueDate]]-TODAY())</f>
        <v/>
      </c>
      <c r="I311" s="15" t="str" cm="1">
        <f t="array" aca="1" ref="I3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2" spans="1:9" x14ac:dyDescent="0.25">
      <c r="A312" s="15">
        <f t="shared" si="4"/>
        <v>311</v>
      </c>
      <c r="B312" s="15" t="s">
        <v>215</v>
      </c>
      <c r="C312" s="15" t="str" cm="1">
        <f t="array" ref="C312">IFERROR(_xlfn.XLOOKUP(B312, tblPeople[PersonID], tblPeople[PersonName], ""), "")</f>
        <v>Samuel Wacho</v>
      </c>
      <c r="D312" s="15" t="s">
        <v>17</v>
      </c>
      <c r="E312" s="16" t="str">
        <f>IFERROR(_xlfn.XLOOKUP(D312, tblCourses[CourseID], tblCourses[CourseName], ""), "")</f>
        <v>Safety Management Systems (Refresher)</v>
      </c>
      <c r="F312" s="17">
        <v>45379</v>
      </c>
      <c r="G312" s="17" t="str" cm="1">
        <f t="array" ref="G3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2" s="15" t="str">
        <f ca="1">IF(OR(tblTraining[[#This Row],[Status]]="Renewed",tblTraining[[#This Row],[NextDueDate]]=""),"",tblTraining[[#This Row],[NextDueDate]]-TODAY())</f>
        <v/>
      </c>
      <c r="I312" s="15" t="str" cm="1">
        <f t="array" aca="1" ref="I3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3" spans="1:9" x14ac:dyDescent="0.25">
      <c r="A313" s="15">
        <f t="shared" si="4"/>
        <v>312</v>
      </c>
      <c r="B313" s="15" t="s">
        <v>85</v>
      </c>
      <c r="C313" s="15" t="str" cm="1">
        <f t="array" ref="C313">IFERROR(_xlfn.XLOOKUP(B313, tblPeople[PersonID], tblPeople[PersonName], ""), "")</f>
        <v>Titus Shunza</v>
      </c>
      <c r="D313" s="15" t="s">
        <v>132</v>
      </c>
      <c r="E313" s="16" t="str">
        <f>IFERROR(_xlfn.XLOOKUP(D313, tblCourses[CourseID], tblCourses[CourseName], ""), "")</f>
        <v>Marshalling Techniques Course</v>
      </c>
      <c r="F313" s="17">
        <v>45470</v>
      </c>
      <c r="G313" s="17" t="str" cm="1">
        <f t="array" ref="G3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3" s="15" t="str">
        <f ca="1">IF(OR(tblTraining[[#This Row],[Status]]="Renewed",tblTraining[[#This Row],[NextDueDate]]=""),"",tblTraining[[#This Row],[NextDueDate]]-TODAY())</f>
        <v/>
      </c>
      <c r="I313" s="15" t="str" cm="1">
        <f t="array" aca="1" ref="I3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4" spans="1:9" x14ac:dyDescent="0.25">
      <c r="A314" s="15">
        <f t="shared" si="4"/>
        <v>313</v>
      </c>
      <c r="B314" s="15" t="s">
        <v>153</v>
      </c>
      <c r="C314" s="15" t="str" cm="1">
        <f t="array" ref="C314">IFERROR(_xlfn.XLOOKUP(B314, tblPeople[PersonID], tblPeople[PersonName], ""), "")</f>
        <v>Majid Mohamed</v>
      </c>
      <c r="D314" s="15" t="s">
        <v>22</v>
      </c>
      <c r="E314" s="16" t="str">
        <f>IFERROR(_xlfn.XLOOKUP(D314, tblCourses[CourseID], tblCourses[CourseName], ""), "")</f>
        <v>Human Factors in Aviation (Refresher)</v>
      </c>
      <c r="F314" s="17">
        <v>45410</v>
      </c>
      <c r="G314" s="17" t="str" cm="1">
        <f t="array" ref="G3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4" s="15" t="str">
        <f ca="1">IF(OR(tblTraining[[#This Row],[Status]]="Renewed",tblTraining[[#This Row],[NextDueDate]]=""),"",tblTraining[[#This Row],[NextDueDate]]-TODAY())</f>
        <v/>
      </c>
      <c r="I314" s="15" t="str" cm="1">
        <f t="array" aca="1" ref="I3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5" spans="1:9" x14ac:dyDescent="0.25">
      <c r="A315" s="15">
        <f t="shared" si="4"/>
        <v>314</v>
      </c>
      <c r="B315" s="15" t="s">
        <v>215</v>
      </c>
      <c r="C315" s="15" t="str" cm="1">
        <f t="array" ref="C315">IFERROR(_xlfn.XLOOKUP(B315, tblPeople[PersonID], tblPeople[PersonName], ""), "")</f>
        <v>Samuel Wacho</v>
      </c>
      <c r="D315" s="15" t="s">
        <v>24</v>
      </c>
      <c r="E315" s="16" t="str">
        <f>IFERROR(_xlfn.XLOOKUP(D315, tblCourses[CourseID], tblCourses[CourseName], ""), "")</f>
        <v>Human Factors in Aviation (Initial)</v>
      </c>
      <c r="F315" s="17">
        <v>45212</v>
      </c>
      <c r="G315" s="17" t="str" cm="1">
        <f t="array" ref="G3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5" s="15" t="str">
        <f ca="1">IF(OR(tblTraining[[#This Row],[Status]]="Renewed",tblTraining[[#This Row],[NextDueDate]]=""),"",tblTraining[[#This Row],[NextDueDate]]-TODAY())</f>
        <v/>
      </c>
      <c r="I315" s="15" t="str" cm="1">
        <f t="array" aca="1" ref="I3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6" spans="1:9" x14ac:dyDescent="0.25">
      <c r="A316" s="15">
        <f t="shared" si="4"/>
        <v>315</v>
      </c>
      <c r="B316" s="15" t="s">
        <v>85</v>
      </c>
      <c r="C316" s="15" t="str" cm="1">
        <f t="array" ref="C316">IFERROR(_xlfn.XLOOKUP(B316, tblPeople[PersonID], tblPeople[PersonName], ""), "")</f>
        <v>Titus Shunza</v>
      </c>
      <c r="D316" s="15" t="s">
        <v>77</v>
      </c>
      <c r="E316" s="16" t="str">
        <f>IFERROR(_xlfn.XLOOKUP(D316, tblCourses[CourseID], tblCourses[CourseName], ""), "")</f>
        <v>DHC8 -100/-200/-300 Collins Wheels &amp; Brakes Familiarization Training (Refresher)</v>
      </c>
      <c r="F316" s="17">
        <v>45637</v>
      </c>
      <c r="G316" s="17" cm="1">
        <f t="array" ref="G3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16" s="15">
        <f ca="1">IF(OR(tblTraining[[#This Row],[Status]]="Renewed",tblTraining[[#This Row],[NextDueDate]]=""),"",tblTraining[[#This Row],[NextDueDate]]-TODAY())</f>
        <v>81</v>
      </c>
      <c r="I316" s="15" t="str" cm="1">
        <f t="array" aca="1" ref="I3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7" spans="1:9" x14ac:dyDescent="0.25">
      <c r="A317" s="15">
        <f t="shared" si="4"/>
        <v>316</v>
      </c>
      <c r="B317" s="15" t="s">
        <v>153</v>
      </c>
      <c r="C317" s="15" t="str" cm="1">
        <f t="array" ref="C317">IFERROR(_xlfn.XLOOKUP(B317, tblPeople[PersonID], tblPeople[PersonName], ""), "")</f>
        <v>Majid Mohamed</v>
      </c>
      <c r="D317" s="15" t="s">
        <v>20</v>
      </c>
      <c r="E317" s="16" t="str">
        <f>IFERROR(_xlfn.XLOOKUP(D317, tblCourses[CourseID], tblCourses[CourseName], ""), "")</f>
        <v>Safety Management Systems (Initial)</v>
      </c>
      <c r="F317" s="17">
        <v>45379</v>
      </c>
      <c r="G317" s="17" t="str" cm="1">
        <f t="array" ref="G3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7" s="15" t="str">
        <f ca="1">IF(OR(tblTraining[[#This Row],[Status]]="Renewed",tblTraining[[#This Row],[NextDueDate]]=""),"",tblTraining[[#This Row],[NextDueDate]]-TODAY())</f>
        <v/>
      </c>
      <c r="I317" s="15" t="str" cm="1">
        <f t="array" aca="1" ref="I3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8" spans="1:9" x14ac:dyDescent="0.25">
      <c r="A318" s="15">
        <f t="shared" si="4"/>
        <v>317</v>
      </c>
      <c r="B318" s="15" t="s">
        <v>215</v>
      </c>
      <c r="C318" s="15" t="str" cm="1">
        <f t="array" ref="C318">IFERROR(_xlfn.XLOOKUP(B318, tblPeople[PersonID], tblPeople[PersonName], ""), "")</f>
        <v>Samuel Wacho</v>
      </c>
      <c r="D318" s="15" t="s">
        <v>22</v>
      </c>
      <c r="E318" s="16" t="str">
        <f>IFERROR(_xlfn.XLOOKUP(D318, tblCourses[CourseID], tblCourses[CourseName], ""), "")</f>
        <v>Human Factors in Aviation (Refresher)</v>
      </c>
      <c r="F318" s="17">
        <v>45212</v>
      </c>
      <c r="G318" s="17" t="str" cm="1">
        <f t="array" ref="G3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8" s="15" t="str">
        <f ca="1">IF(OR(tblTraining[[#This Row],[Status]]="Renewed",tblTraining[[#This Row],[NextDueDate]]=""),"",tblTraining[[#This Row],[NextDueDate]]-TODAY())</f>
        <v/>
      </c>
      <c r="I318" s="15" t="str" cm="1">
        <f t="array" aca="1" ref="I3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9" spans="1:9" x14ac:dyDescent="0.25">
      <c r="A319" s="15">
        <f t="shared" si="4"/>
        <v>318</v>
      </c>
      <c r="B319" s="15" t="s">
        <v>85</v>
      </c>
      <c r="C319" s="15" t="str" cm="1">
        <f t="array" ref="C319">IFERROR(_xlfn.XLOOKUP(B319, tblPeople[PersonID], tblPeople[PersonName], ""), "")</f>
        <v>Titus Shunza</v>
      </c>
      <c r="D319" s="15" t="s">
        <v>182</v>
      </c>
      <c r="E319" s="16" t="str">
        <f>IFERROR(_xlfn.XLOOKUP(D319, tblCourses[CourseID], tblCourses[CourseName], ""), "")</f>
        <v>Cessna 208 Series (Caravan) With P&amp;WC PT6A-114/ -114A/ -140 Engines (Refresher)</v>
      </c>
      <c r="F319" s="17">
        <v>45343</v>
      </c>
      <c r="G319" s="17" t="str" cm="1">
        <f t="array" ref="G3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9" s="15" t="str">
        <f ca="1">IF(OR(tblTraining[[#This Row],[Status]]="Renewed",tblTraining[[#This Row],[NextDueDate]]=""),"",tblTraining[[#This Row],[NextDueDate]]-TODAY())</f>
        <v/>
      </c>
      <c r="I319" s="15" t="str" cm="1">
        <f t="array" aca="1" ref="I3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0" spans="1:9" x14ac:dyDescent="0.25">
      <c r="A320" s="15">
        <f t="shared" si="4"/>
        <v>319</v>
      </c>
      <c r="B320" s="15" t="s">
        <v>153</v>
      </c>
      <c r="C320" s="15" t="str" cm="1">
        <f t="array" ref="C320">IFERROR(_xlfn.XLOOKUP(B320, tblPeople[PersonID], tblPeople[PersonName], ""), "")</f>
        <v>Majid Mohamed</v>
      </c>
      <c r="D320" s="15" t="s">
        <v>17</v>
      </c>
      <c r="E320" s="16" t="str">
        <f>IFERROR(_xlfn.XLOOKUP(D320, tblCourses[CourseID], tblCourses[CourseName], ""), "")</f>
        <v>Safety Management Systems (Refresher)</v>
      </c>
      <c r="F320" s="17">
        <v>45379</v>
      </c>
      <c r="G320" s="17" t="str" cm="1">
        <f t="array" ref="G3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0" s="15" t="str">
        <f ca="1">IF(OR(tblTraining[[#This Row],[Status]]="Renewed",tblTraining[[#This Row],[NextDueDate]]=""),"",tblTraining[[#This Row],[NextDueDate]]-TODAY())</f>
        <v/>
      </c>
      <c r="I320" s="15" t="str" cm="1">
        <f t="array" aca="1" ref="I3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1" spans="1:9" x14ac:dyDescent="0.25">
      <c r="A321" s="15">
        <f t="shared" si="4"/>
        <v>320</v>
      </c>
      <c r="B321" s="15" t="s">
        <v>85</v>
      </c>
      <c r="C321" s="15" t="str" cm="1">
        <f t="array" ref="C321">IFERROR(_xlfn.XLOOKUP(B321, tblPeople[PersonID], tblPeople[PersonName], ""), "")</f>
        <v>Titus Shunza</v>
      </c>
      <c r="D321" s="15" t="s">
        <v>25</v>
      </c>
      <c r="E321" s="16" t="str">
        <f>IFERROR(_xlfn.XLOOKUP(D321, tblCourses[CourseID], tblCourses[CourseName], ""), "")</f>
        <v>Pratt &amp; Whitney Canada PT6A Engine With P&amp;WC PT6A
20/ 27/ 41/ 42/ 60A/ 67D/ 112/ 114A/ 140 (Refresher)</v>
      </c>
      <c r="F321" s="17">
        <v>45090</v>
      </c>
      <c r="G321" s="17" t="str" cm="1">
        <f t="array" ref="G3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1" s="15" t="str">
        <f ca="1">IF(OR(tblTraining[[#This Row],[Status]]="Renewed",tblTraining[[#This Row],[NextDueDate]]=""),"",tblTraining[[#This Row],[NextDueDate]]-TODAY())</f>
        <v/>
      </c>
      <c r="I321" s="15" t="str" cm="1">
        <f t="array" aca="1" ref="I3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2" spans="1:9" x14ac:dyDescent="0.25">
      <c r="A322" s="15">
        <f t="shared" si="4"/>
        <v>321</v>
      </c>
      <c r="B322" s="15" t="s">
        <v>117</v>
      </c>
      <c r="C322" s="15" t="str" cm="1">
        <f t="array" ref="C322">IFERROR(_xlfn.XLOOKUP(B322, tblPeople[PersonID], tblPeople[PersonName], ""), "")</f>
        <v>Mercy Etende</v>
      </c>
      <c r="D322" s="15" t="s">
        <v>126</v>
      </c>
      <c r="E322" s="16" t="str">
        <f>IFERROR(_xlfn.XLOOKUP(D322, tblCourses[CourseID], tblCourses[CourseName], ""), "")</f>
        <v>Maintenance Indoctrination</v>
      </c>
      <c r="F322" s="17">
        <v>43867</v>
      </c>
      <c r="G322" s="17" t="str" cm="1">
        <f t="array" ref="G3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2" s="15" t="str">
        <f ca="1">IF(OR(tblTraining[[#This Row],[Status]]="Renewed",tblTraining[[#This Row],[NextDueDate]]=""),"",tblTraining[[#This Row],[NextDueDate]]-TODAY())</f>
        <v/>
      </c>
      <c r="I322" s="15" t="str" cm="1">
        <f t="array" aca="1" ref="I3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3" spans="1:9" x14ac:dyDescent="0.25">
      <c r="A323" s="15">
        <f t="shared" si="4"/>
        <v>322</v>
      </c>
      <c r="B323" s="15" t="s">
        <v>103</v>
      </c>
      <c r="C323" s="15" t="str" cm="1">
        <f t="array" ref="C323">IFERROR(_xlfn.XLOOKUP(B323, tblPeople[PersonID], tblPeople[PersonName], ""), "")</f>
        <v>Smith Harun</v>
      </c>
      <c r="D323" s="15" t="s">
        <v>132</v>
      </c>
      <c r="E323" s="16" t="str">
        <f>IFERROR(_xlfn.XLOOKUP(D323, tblCourses[CourseID], tblCourses[CourseName], ""), "")</f>
        <v>Marshalling Techniques Course</v>
      </c>
      <c r="F323" s="17">
        <v>45470</v>
      </c>
      <c r="G323" s="17" t="str" cm="1">
        <f t="array" ref="G3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3" s="15" t="str">
        <f ca="1">IF(OR(tblTraining[[#This Row],[Status]]="Renewed",tblTraining[[#This Row],[NextDueDate]]=""),"",tblTraining[[#This Row],[NextDueDate]]-TODAY())</f>
        <v/>
      </c>
      <c r="I323" s="15" t="str" cm="1">
        <f t="array" aca="1" ref="I3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4" spans="1:9" x14ac:dyDescent="0.25">
      <c r="A324" s="15">
        <f t="shared" ref="A324:A387" si="5">A323+1</f>
        <v>323</v>
      </c>
      <c r="B324" s="15" t="s">
        <v>85</v>
      </c>
      <c r="C324" s="15" t="str" cm="1">
        <f t="array" ref="C324">IFERROR(_xlfn.XLOOKUP(B324, tblPeople[PersonID], tblPeople[PersonName], ""), "")</f>
        <v>Titus Shunza</v>
      </c>
      <c r="D324" s="15" t="s">
        <v>22</v>
      </c>
      <c r="E324" s="16" t="str">
        <f>IFERROR(_xlfn.XLOOKUP(D324, tblCourses[CourseID], tblCourses[CourseName], ""), "")</f>
        <v>Human Factors in Aviation (Refresher)</v>
      </c>
      <c r="F324" s="17">
        <v>45344</v>
      </c>
      <c r="G324" s="17" t="str" cm="1">
        <f t="array" ref="G3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4" s="15" t="str">
        <f ca="1">IF(OR(tblTraining[[#This Row],[Status]]="Renewed",tblTraining[[#This Row],[NextDueDate]]=""),"",tblTraining[[#This Row],[NextDueDate]]-TODAY())</f>
        <v/>
      </c>
      <c r="I324" s="15" t="str" cm="1">
        <f t="array" aca="1" ref="I3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5" spans="1:9" x14ac:dyDescent="0.25">
      <c r="A325" s="15">
        <f t="shared" si="5"/>
        <v>324</v>
      </c>
      <c r="B325" s="15" t="s">
        <v>117</v>
      </c>
      <c r="C325" s="15" t="str" cm="1">
        <f t="array" ref="C325">IFERROR(_xlfn.XLOOKUP(B325, tblPeople[PersonID], tblPeople[PersonName], ""), "")</f>
        <v>Mercy Etende</v>
      </c>
      <c r="D325" s="15" t="s">
        <v>22</v>
      </c>
      <c r="E325" s="16" t="str">
        <f>IFERROR(_xlfn.XLOOKUP(D325, tblCourses[CourseID], tblCourses[CourseName], ""), "")</f>
        <v>Human Factors in Aviation (Refresher)</v>
      </c>
      <c r="F325" s="17">
        <v>45874</v>
      </c>
      <c r="G325" s="17" cm="1">
        <f t="array" ref="G3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46604</v>
      </c>
      <c r="H325" s="15">
        <f ca="1">IF(OR(tblTraining[[#This Row],[Status]]="Renewed",tblTraining[[#This Row],[NextDueDate]]=""),"",tblTraining[[#This Row],[NextDueDate]]-TODAY())</f>
        <v>318</v>
      </c>
      <c r="I325" s="15" t="str" cm="1">
        <f t="array" aca="1" ref="I3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6" spans="1:9" x14ac:dyDescent="0.25">
      <c r="A326" s="15">
        <f t="shared" si="5"/>
        <v>325</v>
      </c>
      <c r="B326" s="15" t="s">
        <v>103</v>
      </c>
      <c r="C326" s="15" t="str" cm="1">
        <f t="array" ref="C326">IFERROR(_xlfn.XLOOKUP(B326, tblPeople[PersonID], tblPeople[PersonName], ""), "")</f>
        <v>Smith Harun</v>
      </c>
      <c r="D326" s="15" t="s">
        <v>126</v>
      </c>
      <c r="E326" s="16" t="str">
        <f>IFERROR(_xlfn.XLOOKUP(D326, tblCourses[CourseID], tblCourses[CourseName], ""), "")</f>
        <v>Maintenance Indoctrination</v>
      </c>
      <c r="F326" s="17">
        <v>43444</v>
      </c>
      <c r="G326" s="17" t="str" cm="1">
        <f t="array" ref="G3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6" s="15" t="str">
        <f ca="1">IF(OR(tblTraining[[#This Row],[Status]]="Renewed",tblTraining[[#This Row],[NextDueDate]]=""),"",tblTraining[[#This Row],[NextDueDate]]-TODAY())</f>
        <v/>
      </c>
      <c r="I326" s="15" t="str" cm="1">
        <f t="array" aca="1" ref="I3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7" spans="1:9" x14ac:dyDescent="0.25">
      <c r="A327" s="15">
        <f t="shared" si="5"/>
        <v>326</v>
      </c>
      <c r="B327" s="15" t="s">
        <v>85</v>
      </c>
      <c r="C327" s="15" t="str" cm="1">
        <f t="array" ref="C327">IFERROR(_xlfn.XLOOKUP(B327, tblPeople[PersonID], tblPeople[PersonName], ""), "")</f>
        <v>Titus Shunza</v>
      </c>
      <c r="D327" s="15" t="s">
        <v>76</v>
      </c>
      <c r="E327" s="16" t="str">
        <f>IFERROR(_xlfn.XLOOKUP(D327, tblCourses[CourseID], tblCourses[CourseName], ""), "")</f>
        <v>Fuel Tank Safety Phase 1 &amp; 2 Course (Initial)</v>
      </c>
      <c r="F327" s="17">
        <v>45403</v>
      </c>
      <c r="G327" s="17" t="str" cm="1">
        <f t="array" ref="G3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7" s="15" t="str">
        <f ca="1">IF(OR(tblTraining[[#This Row],[Status]]="Renewed",tblTraining[[#This Row],[NextDueDate]]=""),"",tblTraining[[#This Row],[NextDueDate]]-TODAY())</f>
        <v/>
      </c>
      <c r="I327" s="15" t="str" cm="1">
        <f t="array" aca="1" ref="I3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8" spans="1:9" x14ac:dyDescent="0.25">
      <c r="A328" s="15">
        <f t="shared" si="5"/>
        <v>327</v>
      </c>
      <c r="B328" s="15" t="s">
        <v>117</v>
      </c>
      <c r="C328" s="15" t="str" cm="1">
        <f t="array" ref="C328">IFERROR(_xlfn.XLOOKUP(B328, tblPeople[PersonID], tblPeople[PersonName], ""), "")</f>
        <v>Mercy Etende</v>
      </c>
      <c r="D328" s="15" t="s">
        <v>30</v>
      </c>
      <c r="E328" s="16" t="str">
        <f>IFERROR(_xlfn.XLOOKUP(D328, tblCourses[CourseID], tblCourses[CourseName], ""), "")</f>
        <v>Dangerous Goods Regulations (CBTA 7.3) (Refresher)</v>
      </c>
      <c r="F328" s="17">
        <v>45503</v>
      </c>
      <c r="G328" s="17" t="str" cm="1">
        <f t="array" ref="G3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8" s="15" t="str">
        <f ca="1">IF(OR(tblTraining[[#This Row],[Status]]="Renewed",tblTraining[[#This Row],[NextDueDate]]=""),"",tblTraining[[#This Row],[NextDueDate]]-TODAY())</f>
        <v/>
      </c>
      <c r="I328" s="15" t="str" cm="1">
        <f t="array" aca="1" ref="I3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9" spans="1:9" x14ac:dyDescent="0.25">
      <c r="A329" s="15">
        <f t="shared" si="5"/>
        <v>328</v>
      </c>
      <c r="B329" s="15" t="s">
        <v>103</v>
      </c>
      <c r="C329" s="15" t="str" cm="1">
        <f t="array" ref="C329">IFERROR(_xlfn.XLOOKUP(B329, tblPeople[PersonID], tblPeople[PersonName], ""), "")</f>
        <v>Smith Harun</v>
      </c>
      <c r="D329" s="15" t="s">
        <v>179</v>
      </c>
      <c r="E329" s="16" t="str">
        <f>IFERROR(_xlfn.XLOOKUP(D329, tblCourses[CourseID], tblCourses[CourseName], ""), "")</f>
        <v>Aircraft Maintenance Engineers' Licence</v>
      </c>
      <c r="F329" s="17">
        <v>45312</v>
      </c>
      <c r="G329" s="17" t="str" cm="1">
        <f t="array" ref="G3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9" s="15" t="str">
        <f ca="1">IF(OR(tblTraining[[#This Row],[Status]]="Renewed",tblTraining[[#This Row],[NextDueDate]]=""),"",tblTraining[[#This Row],[NextDueDate]]-TODAY())</f>
        <v/>
      </c>
      <c r="I329" s="15" t="str" cm="1">
        <f t="array" aca="1" ref="I3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0" spans="1:9" x14ac:dyDescent="0.25">
      <c r="A330" s="15">
        <f t="shared" si="5"/>
        <v>329</v>
      </c>
      <c r="B330" s="15" t="s">
        <v>85</v>
      </c>
      <c r="C330" s="15" t="str" cm="1">
        <f t="array" ref="C330">IFERROR(_xlfn.XLOOKUP(B330, tblPeople[PersonID], tblPeople[PersonName], ""), "")</f>
        <v>Titus Shunza</v>
      </c>
      <c r="D330" s="15" t="s">
        <v>75</v>
      </c>
      <c r="E330" s="16" t="str">
        <f>IFERROR(_xlfn.XLOOKUP(D330, tblCourses[CourseID], tblCourses[CourseName], ""), "")</f>
        <v>Fuel Tank Safety Phase 1 &amp; 2 Course (Refresher)</v>
      </c>
      <c r="F330" s="17">
        <v>45403</v>
      </c>
      <c r="G330" s="17" t="str" cm="1">
        <f t="array" ref="G3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0" s="15" t="str">
        <f ca="1">IF(OR(tblTraining[[#This Row],[Status]]="Renewed",tblTraining[[#This Row],[NextDueDate]]=""),"",tblTraining[[#This Row],[NextDueDate]]-TODAY())</f>
        <v/>
      </c>
      <c r="I330" s="15" t="str" cm="1">
        <f t="array" aca="1" ref="I3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1" spans="1:9" x14ac:dyDescent="0.25">
      <c r="A331" s="15">
        <f t="shared" si="5"/>
        <v>330</v>
      </c>
      <c r="B331" s="15" t="s">
        <v>117</v>
      </c>
      <c r="C331" s="15" t="str" cm="1">
        <f t="array" ref="C331">IFERROR(_xlfn.XLOOKUP(B331, tblPeople[PersonID], tblPeople[PersonName], ""), "")</f>
        <v>Mercy Etende</v>
      </c>
      <c r="D331" s="15" t="s">
        <v>22</v>
      </c>
      <c r="E331" s="16" t="str">
        <f>IFERROR(_xlfn.XLOOKUP(D331, tblCourses[CourseID], tblCourses[CourseName], ""), "")</f>
        <v>Human Factors in Aviation (Refresher)</v>
      </c>
      <c r="F331" s="17">
        <v>45112</v>
      </c>
      <c r="G331" s="17" t="str" cm="1">
        <f t="array" ref="G3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1" s="15" t="str">
        <f ca="1">IF(OR(tblTraining[[#This Row],[Status]]="Renewed",tblTraining[[#This Row],[NextDueDate]]=""),"",tblTraining[[#This Row],[NextDueDate]]-TODAY())</f>
        <v/>
      </c>
      <c r="I331" s="15" t="str" cm="1">
        <f t="array" aca="1" ref="I3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2" spans="1:9" x14ac:dyDescent="0.25">
      <c r="A332" s="15">
        <f t="shared" si="5"/>
        <v>331</v>
      </c>
      <c r="B332" s="15" t="s">
        <v>103</v>
      </c>
      <c r="C332" s="15" t="str" cm="1">
        <f t="array" ref="C332">IFERROR(_xlfn.XLOOKUP(B332, tblPeople[PersonID], tblPeople[PersonName], ""), "")</f>
        <v>Smith Harun</v>
      </c>
      <c r="D332" s="15" t="s">
        <v>194</v>
      </c>
      <c r="E332" s="16" t="str">
        <f>IFERROR(_xlfn.XLOOKUP(D332, tblCourses[CourseID], tblCourses[CourseName], ""), "")</f>
        <v>Stock Receiving Inspection</v>
      </c>
      <c r="F332" s="17">
        <v>43423</v>
      </c>
      <c r="G332" s="17" t="str" cm="1">
        <f t="array" ref="G3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2" s="15" t="str">
        <f ca="1">IF(OR(tblTraining[[#This Row],[Status]]="Renewed",tblTraining[[#This Row],[NextDueDate]]=""),"",tblTraining[[#This Row],[NextDueDate]]-TODAY())</f>
        <v/>
      </c>
      <c r="I332" s="15" t="str" cm="1">
        <f t="array" aca="1" ref="I3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3" spans="1:9" x14ac:dyDescent="0.25">
      <c r="A333" s="15">
        <f t="shared" si="5"/>
        <v>332</v>
      </c>
      <c r="B333" s="15" t="s">
        <v>85</v>
      </c>
      <c r="C333" s="15" t="str" cm="1">
        <f t="array" ref="C333">IFERROR(_xlfn.XLOOKUP(B333, tblPeople[PersonID], tblPeople[PersonName], ""), "")</f>
        <v>Titus Shunza</v>
      </c>
      <c r="D333" s="15" t="s">
        <v>17</v>
      </c>
      <c r="E333" s="16" t="str">
        <f>IFERROR(_xlfn.XLOOKUP(D333, tblCourses[CourseID], tblCourses[CourseName], ""), "")</f>
        <v>Safety Management Systems (Refresher)</v>
      </c>
      <c r="F333" s="17">
        <v>45482</v>
      </c>
      <c r="G333" s="17" t="str" cm="1">
        <f t="array" ref="G3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3" s="15" t="str">
        <f ca="1">IF(OR(tblTraining[[#This Row],[Status]]="Renewed",tblTraining[[#This Row],[NextDueDate]]=""),"",tblTraining[[#This Row],[NextDueDate]]-TODAY())</f>
        <v/>
      </c>
      <c r="I333" s="15" t="str" cm="1">
        <f t="array" aca="1" ref="I3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4" spans="1:9" x14ac:dyDescent="0.25">
      <c r="A334" s="15">
        <f t="shared" si="5"/>
        <v>333</v>
      </c>
      <c r="B334" s="15" t="s">
        <v>117</v>
      </c>
      <c r="C334" s="15" t="str" cm="1">
        <f t="array" ref="C334">IFERROR(_xlfn.XLOOKUP(B334, tblPeople[PersonID], tblPeople[PersonName], ""), "")</f>
        <v>Mercy Etende</v>
      </c>
      <c r="D334" s="15" t="s">
        <v>202</v>
      </c>
      <c r="E334" s="16" t="str">
        <f>IFERROR(_xlfn.XLOOKUP(D334, tblCourses[CourseID], tblCourses[CourseName], ""), "")</f>
        <v>Maintenance Procedures &amp; Standard Maintenance Practices (Refresher)</v>
      </c>
      <c r="F334" s="17">
        <v>45322</v>
      </c>
      <c r="G334" s="17" t="str" cm="1">
        <f t="array" ref="G3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4" s="15" t="str">
        <f ca="1">IF(OR(tblTraining[[#This Row],[Status]]="Renewed",tblTraining[[#This Row],[NextDueDate]]=""),"",tblTraining[[#This Row],[NextDueDate]]-TODAY())</f>
        <v/>
      </c>
      <c r="I334" s="15" t="str" cm="1">
        <f t="array" aca="1" ref="I3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5" spans="1:9" x14ac:dyDescent="0.25">
      <c r="A335" s="15">
        <f t="shared" si="5"/>
        <v>334</v>
      </c>
      <c r="B335" s="15" t="s">
        <v>103</v>
      </c>
      <c r="C335" s="15" t="str" cm="1">
        <f t="array" ref="C335">IFERROR(_xlfn.XLOOKUP(B335, tblPeople[PersonID], tblPeople[PersonName], ""), "")</f>
        <v>Smith Harun</v>
      </c>
      <c r="D335" s="15" t="s">
        <v>28</v>
      </c>
      <c r="E335" s="16" t="str">
        <f>IFERROR(_xlfn.XLOOKUP(D335, tblCourses[CourseID], tblCourses[CourseName], ""), "")</f>
        <v>DHC-8 100/200/300 with PWC 120/120A/121/123B/C/D/E Series Engines(Refresher)</v>
      </c>
      <c r="F335" s="17">
        <v>45856</v>
      </c>
      <c r="G335" s="17" cm="1">
        <f t="array" ref="G3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335" s="15">
        <f ca="1">IF(OR(tblTraining[[#This Row],[Status]]="Renewed",tblTraining[[#This Row],[NextDueDate]]=""),"",tblTraining[[#This Row],[NextDueDate]]-TODAY())</f>
        <v>300</v>
      </c>
      <c r="I335" s="15" t="str" cm="1">
        <f t="array" aca="1" ref="I3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6" spans="1:9" x14ac:dyDescent="0.25">
      <c r="A336" s="15">
        <f t="shared" si="5"/>
        <v>335</v>
      </c>
      <c r="B336" s="15" t="s">
        <v>85</v>
      </c>
      <c r="C336" s="15" t="str" cm="1">
        <f t="array" ref="C336">IFERROR(_xlfn.XLOOKUP(B336, tblPeople[PersonID], tblPeople[PersonName], ""), "")</f>
        <v>Titus Shunza</v>
      </c>
      <c r="D336" s="15" t="s">
        <v>110</v>
      </c>
      <c r="E336" s="16" t="str">
        <f>IFERROR(_xlfn.XLOOKUP(D336, tblCourses[CourseID], tblCourses[CourseName], ""), "")</f>
        <v>Electrical Wiring Interconnection System Target Groups 1 &amp; 2 (Initial)</v>
      </c>
      <c r="F336" s="17">
        <v>45783</v>
      </c>
      <c r="G336" s="17" t="str" cm="1">
        <f t="array" ref="G3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6" s="15" t="str">
        <f ca="1">IF(OR(tblTraining[[#This Row],[Status]]="Renewed",tblTraining[[#This Row],[NextDueDate]]=""),"",tblTraining[[#This Row],[NextDueDate]]-TODAY())</f>
        <v/>
      </c>
      <c r="I336" s="15" t="str" cm="1">
        <f t="array" aca="1" ref="I3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7" spans="1:9" x14ac:dyDescent="0.25">
      <c r="A337" s="15">
        <f t="shared" si="5"/>
        <v>336</v>
      </c>
      <c r="B337" s="15" t="s">
        <v>117</v>
      </c>
      <c r="C337" s="15" t="str" cm="1">
        <f t="array" ref="C337">IFERROR(_xlfn.XLOOKUP(B337, tblPeople[PersonID], tblPeople[PersonName], ""), "")</f>
        <v>Mercy Etende</v>
      </c>
      <c r="D337" s="15" t="s">
        <v>17</v>
      </c>
      <c r="E337" s="16" t="str">
        <f>IFERROR(_xlfn.XLOOKUP(D337, tblCourses[CourseID], tblCourses[CourseName], ""), "")</f>
        <v>Safety Management Systems (Refresher)</v>
      </c>
      <c r="F337" s="17">
        <v>44990</v>
      </c>
      <c r="G337" s="17" t="str" cm="1">
        <f t="array" ref="G3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7" s="15" t="str">
        <f ca="1">IF(OR(tblTraining[[#This Row],[Status]]="Renewed",tblTraining[[#This Row],[NextDueDate]]=""),"",tblTraining[[#This Row],[NextDueDate]]-TODAY())</f>
        <v/>
      </c>
      <c r="I337" s="15" t="str" cm="1">
        <f t="array" aca="1" ref="I3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8" spans="1:9" x14ac:dyDescent="0.25">
      <c r="A338" s="15">
        <f t="shared" si="5"/>
        <v>337</v>
      </c>
      <c r="B338" s="15" t="s">
        <v>103</v>
      </c>
      <c r="C338" s="15" t="str" cm="1">
        <f t="array" ref="C338">IFERROR(_xlfn.XLOOKUP(B338, tblPeople[PersonID], tblPeople[PersonName], ""), "")</f>
        <v>Smith Harun</v>
      </c>
      <c r="D338" s="15" t="s">
        <v>77</v>
      </c>
      <c r="E338" s="16" t="str">
        <f>IFERROR(_xlfn.XLOOKUP(D338, tblCourses[CourseID], tblCourses[CourseName], ""), "")</f>
        <v>DHC8 -100/-200/-300 Collins Wheels &amp; Brakes Familiarization Training (Refresher)</v>
      </c>
      <c r="F338" s="17">
        <v>45637</v>
      </c>
      <c r="G338" s="17" cm="1">
        <f t="array" ref="G3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38" s="15">
        <f ca="1">IF(OR(tblTraining[[#This Row],[Status]]="Renewed",tblTraining[[#This Row],[NextDueDate]]=""),"",tblTraining[[#This Row],[NextDueDate]]-TODAY())</f>
        <v>81</v>
      </c>
      <c r="I338" s="15" t="str" cm="1">
        <f t="array" aca="1" ref="I3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9" spans="1:9" x14ac:dyDescent="0.25">
      <c r="A339" s="15">
        <f t="shared" si="5"/>
        <v>338</v>
      </c>
      <c r="B339" s="15" t="s">
        <v>85</v>
      </c>
      <c r="C339" s="15" t="str" cm="1">
        <f t="array" ref="C339">IFERROR(_xlfn.XLOOKUP(B339, tblPeople[PersonID], tblPeople[PersonName], ""), "")</f>
        <v>Titus Shunza</v>
      </c>
      <c r="D339" s="15" t="s">
        <v>109</v>
      </c>
      <c r="E339" s="16" t="str">
        <f>IFERROR(_xlfn.XLOOKUP(D339, tblCourses[CourseID], tblCourses[CourseName], ""), "")</f>
        <v>Electrical Wiring Interconnection System Target Groups 1 &amp; 2 (Refresher)</v>
      </c>
      <c r="F339" s="17">
        <v>45783</v>
      </c>
      <c r="G339" s="17" cm="1">
        <f t="array" ref="G3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46513</v>
      </c>
      <c r="H339" s="15">
        <f ca="1">IF(OR(tblTraining[[#This Row],[Status]]="Renewed",tblTraining[[#This Row],[NextDueDate]]=""),"",tblTraining[[#This Row],[NextDueDate]]-TODAY())</f>
        <v>227</v>
      </c>
      <c r="I339" s="15" t="str" cm="1">
        <f t="array" aca="1" ref="I3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0" spans="1:9" x14ac:dyDescent="0.25">
      <c r="A340" s="15">
        <f t="shared" si="5"/>
        <v>339</v>
      </c>
      <c r="B340" s="15" t="s">
        <v>117</v>
      </c>
      <c r="C340" s="15" t="str" cm="1">
        <f t="array" ref="C340">IFERROR(_xlfn.XLOOKUP(B340, tblPeople[PersonID], tblPeople[PersonName], ""), "")</f>
        <v>Mercy Etende</v>
      </c>
      <c r="D340" s="15" t="s">
        <v>17</v>
      </c>
      <c r="E340" s="16" t="str">
        <f>IFERROR(_xlfn.XLOOKUP(D340, tblCourses[CourseID], tblCourses[CourseName], ""), "")</f>
        <v>Safety Management Systems (Refresher)</v>
      </c>
      <c r="F340" s="17">
        <v>45723</v>
      </c>
      <c r="G340" s="17" cm="1">
        <f t="array" ref="G3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340" s="15">
        <f ca="1">IF(OR(tblTraining[[#This Row],[Status]]="Renewed",tblTraining[[#This Row],[NextDueDate]]=""),"",tblTraining[[#This Row],[NextDueDate]]-TODAY())</f>
        <v>167</v>
      </c>
      <c r="I340" s="15" t="str" cm="1">
        <f t="array" aca="1" ref="I3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1" spans="1:9" x14ac:dyDescent="0.25">
      <c r="A341" s="15">
        <f t="shared" si="5"/>
        <v>340</v>
      </c>
      <c r="B341" s="15" t="s">
        <v>103</v>
      </c>
      <c r="C341" s="15" t="str" cm="1">
        <f t="array" ref="C341">IFERROR(_xlfn.XLOOKUP(B341, tblPeople[PersonID], tblPeople[PersonName], ""), "")</f>
        <v>Smith Harun</v>
      </c>
      <c r="D341" s="15" t="s">
        <v>202</v>
      </c>
      <c r="E341" s="16" t="str">
        <f>IFERROR(_xlfn.XLOOKUP(D341, tblCourses[CourseID], tblCourses[CourseName], ""), "")</f>
        <v>Maintenance Procedures &amp; Standard Maintenance Practices (Refresher)</v>
      </c>
      <c r="F341" s="17">
        <v>45322</v>
      </c>
      <c r="G341" s="17" t="str" cm="1">
        <f t="array" ref="G3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1" s="15" t="str">
        <f ca="1">IF(OR(tblTraining[[#This Row],[Status]]="Renewed",tblTraining[[#This Row],[NextDueDate]]=""),"",tblTraining[[#This Row],[NextDueDate]]-TODAY())</f>
        <v/>
      </c>
      <c r="I341" s="15" t="str" cm="1">
        <f t="array" aca="1" ref="I3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42" spans="1:9" x14ac:dyDescent="0.25">
      <c r="A342" s="15">
        <f t="shared" si="5"/>
        <v>341</v>
      </c>
      <c r="B342" s="15" t="s">
        <v>85</v>
      </c>
      <c r="C342" s="15" t="str" cm="1">
        <f t="array" ref="C342">IFERROR(_xlfn.XLOOKUP(B342, tblPeople[PersonID], tblPeople[PersonName], ""), "")</f>
        <v>Titus Shunza</v>
      </c>
      <c r="D342" s="15" t="s">
        <v>33</v>
      </c>
      <c r="E342" s="16" t="str">
        <f>IFERROR(_xlfn.XLOOKUP(D342, tblCourses[CourseID], tblCourses[CourseName], ""), "")</f>
        <v>Audit Techniques</v>
      </c>
      <c r="F342" s="17">
        <v>45756</v>
      </c>
      <c r="G342" s="17" t="str" cm="1">
        <f t="array" ref="G3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2" s="15" t="str">
        <f ca="1">IF(OR(tblTraining[[#This Row],[Status]]="Renewed",tblTraining[[#This Row],[NextDueDate]]=""),"",tblTraining[[#This Row],[NextDueDate]]-TODAY())</f>
        <v/>
      </c>
      <c r="I342" s="15" t="str" cm="1">
        <f t="array" aca="1" ref="I3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3" spans="1:9" x14ac:dyDescent="0.25">
      <c r="A343" s="15">
        <f t="shared" si="5"/>
        <v>342</v>
      </c>
      <c r="B343" s="15" t="s">
        <v>103</v>
      </c>
      <c r="C343" s="15" t="str" cm="1">
        <f t="array" ref="C343">IFERROR(_xlfn.XLOOKUP(B343, tblPeople[PersonID], tblPeople[PersonName], ""), "")</f>
        <v>Smith Harun</v>
      </c>
      <c r="D343" s="15" t="s">
        <v>110</v>
      </c>
      <c r="E343" s="16" t="str">
        <f>IFERROR(_xlfn.XLOOKUP(D343, tblCourses[CourseID], tblCourses[CourseName], ""), "")</f>
        <v>Electrical Wiring Interconnection System Target Groups 1 &amp; 2 (Initial)</v>
      </c>
      <c r="F343" s="17">
        <v>45813</v>
      </c>
      <c r="G343" s="17" t="str" cm="1">
        <f t="array" ref="G3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3" s="15" t="str">
        <f ca="1">IF(OR(tblTraining[[#This Row],[Status]]="Renewed",tblTraining[[#This Row],[NextDueDate]]=""),"",tblTraining[[#This Row],[NextDueDate]]-TODAY())</f>
        <v/>
      </c>
      <c r="I343" s="15" t="str" cm="1">
        <f t="array" aca="1" ref="I3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4" spans="1:9" x14ac:dyDescent="0.25">
      <c r="A344" s="15">
        <f t="shared" si="5"/>
        <v>343</v>
      </c>
      <c r="B344" s="15" t="s">
        <v>85</v>
      </c>
      <c r="C344" s="15" t="str" cm="1">
        <f t="array" ref="C344">IFERROR(_xlfn.XLOOKUP(B344, tblPeople[PersonID], tblPeople[PersonName], ""), "")</f>
        <v>Titus Shunza</v>
      </c>
      <c r="D344" s="15" t="s">
        <v>173</v>
      </c>
      <c r="E344" s="16" t="str">
        <f>IFERROR(_xlfn.XLOOKUP(D344, tblCourses[CourseID], tblCourses[CourseName], ""), "")</f>
        <v>Quality Management Systems</v>
      </c>
      <c r="F344" s="17">
        <v>45709</v>
      </c>
      <c r="G344" s="17" cm="1">
        <f t="array" ref="G3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46804</v>
      </c>
      <c r="H344" s="15">
        <f ca="1">IF(OR(tblTraining[[#This Row],[Status]]="Renewed",tblTraining[[#This Row],[NextDueDate]]=""),"",tblTraining[[#This Row],[NextDueDate]]-TODAY())</f>
        <v>518</v>
      </c>
      <c r="I344" s="15" t="str" cm="1">
        <f t="array" aca="1" ref="I3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5" spans="1:9" x14ac:dyDescent="0.25">
      <c r="A345" s="15">
        <f t="shared" si="5"/>
        <v>344</v>
      </c>
      <c r="B345" s="15" t="s">
        <v>103</v>
      </c>
      <c r="C345" s="15" t="str" cm="1">
        <f t="array" ref="C345">IFERROR(_xlfn.XLOOKUP(B345, tblPeople[PersonID], tblPeople[PersonName], ""), "")</f>
        <v>Smith Harun</v>
      </c>
      <c r="D345" s="15" t="s">
        <v>109</v>
      </c>
      <c r="E345" s="16" t="str">
        <f>IFERROR(_xlfn.XLOOKUP(D345, tblCourses[CourseID], tblCourses[CourseName], ""), "")</f>
        <v>Electrical Wiring Interconnection System Target Groups 1 &amp; 2 (Refresher)</v>
      </c>
      <c r="F345" s="17">
        <v>45813</v>
      </c>
      <c r="G345" s="17" cm="1">
        <f t="array" ref="G3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46543</v>
      </c>
      <c r="H345" s="15">
        <f ca="1">IF(OR(tblTraining[[#This Row],[Status]]="Renewed",tblTraining[[#This Row],[NextDueDate]]=""),"",tblTraining[[#This Row],[NextDueDate]]-TODAY())</f>
        <v>257</v>
      </c>
      <c r="I345" s="15" t="str" cm="1">
        <f t="array" aca="1" ref="I3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6" spans="1:9" x14ac:dyDescent="0.25">
      <c r="A346" s="15">
        <f t="shared" si="5"/>
        <v>345</v>
      </c>
      <c r="B346" s="15" t="s">
        <v>85</v>
      </c>
      <c r="C346" s="15" t="str" cm="1">
        <f t="array" ref="C346">IFERROR(_xlfn.XLOOKUP(B346, tblPeople[PersonID], tblPeople[PersonName], ""), "")</f>
        <v>Titus Shunza</v>
      </c>
      <c r="D346" s="15" t="s">
        <v>124</v>
      </c>
      <c r="E346" s="16" t="str">
        <f>IFERROR(_xlfn.XLOOKUP(D346, tblCourses[CourseID], tblCourses[CourseName], ""), "")</f>
        <v>Aviation Security (Initial)</v>
      </c>
      <c r="F346" s="17">
        <v>45716</v>
      </c>
      <c r="G346" s="17" t="str" cm="1">
        <f t="array" ref="G3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6" s="15" t="str">
        <f ca="1">IF(OR(tblTraining[[#This Row],[Status]]="Renewed",tblTraining[[#This Row],[NextDueDate]]=""),"",tblTraining[[#This Row],[NextDueDate]]-TODAY())</f>
        <v/>
      </c>
      <c r="I346" s="15" t="str" cm="1">
        <f t="array" aca="1" ref="I3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7" spans="1:9" x14ac:dyDescent="0.25">
      <c r="A347" s="15">
        <f t="shared" si="5"/>
        <v>346</v>
      </c>
      <c r="B347" s="15" t="s">
        <v>103</v>
      </c>
      <c r="C347" s="15" t="str" cm="1">
        <f t="array" ref="C347">IFERROR(_xlfn.XLOOKUP(B347, tblPeople[PersonID], tblPeople[PersonName], ""), "")</f>
        <v>Smith Harun</v>
      </c>
      <c r="D347" s="15" t="s">
        <v>22</v>
      </c>
      <c r="E347" s="16" t="str">
        <f>IFERROR(_xlfn.XLOOKUP(D347, tblCourses[CourseID], tblCourses[CourseName], ""), "")</f>
        <v>Human Factors in Aviation (Refresher)</v>
      </c>
      <c r="F347" s="17">
        <v>45637</v>
      </c>
      <c r="G347" s="17" cm="1">
        <f t="array" ref="G3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47" s="15">
        <f ca="1">IF(OR(tblTraining[[#This Row],[Status]]="Renewed",tblTraining[[#This Row],[NextDueDate]]=""),"",tblTraining[[#This Row],[NextDueDate]]-TODAY())</f>
        <v>81</v>
      </c>
      <c r="I347" s="15" t="str" cm="1">
        <f t="array" aca="1" ref="I3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8" spans="1:9" x14ac:dyDescent="0.25">
      <c r="A348" s="15">
        <f t="shared" si="5"/>
        <v>347</v>
      </c>
      <c r="B348" s="15" t="s">
        <v>85</v>
      </c>
      <c r="C348" s="15" t="str" cm="1">
        <f t="array" ref="C348">IFERROR(_xlfn.XLOOKUP(B348, tblPeople[PersonID], tblPeople[PersonName], ""), "")</f>
        <v>Titus Shunza</v>
      </c>
      <c r="D348" s="15" t="s">
        <v>125</v>
      </c>
      <c r="E348" s="16" t="str">
        <f>IFERROR(_xlfn.XLOOKUP(D348, tblCourses[CourseID], tblCourses[CourseName], ""), "")</f>
        <v>Aviation Security (Refresher)</v>
      </c>
      <c r="F348" s="17">
        <v>45716</v>
      </c>
      <c r="G348" s="17" cm="1">
        <f t="array" ref="G3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348" s="15">
        <f ca="1">IF(OR(tblTraining[[#This Row],[Status]]="Renewed",tblTraining[[#This Row],[NextDueDate]]=""),"",tblTraining[[#This Row],[NextDueDate]]-TODAY())</f>
        <v>160</v>
      </c>
      <c r="I348" s="15" t="str" cm="1">
        <f t="array" aca="1" ref="I3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9" spans="1:9" x14ac:dyDescent="0.25">
      <c r="A349" s="15">
        <f t="shared" si="5"/>
        <v>348</v>
      </c>
      <c r="B349" s="15" t="s">
        <v>103</v>
      </c>
      <c r="C349" s="15" t="str" cm="1">
        <f t="array" ref="C349">IFERROR(_xlfn.XLOOKUP(B349, tblPeople[PersonID], tblPeople[PersonName], ""), "")</f>
        <v>Smith Harun</v>
      </c>
      <c r="D349" s="15" t="s">
        <v>17</v>
      </c>
      <c r="E349" s="16" t="str">
        <f>IFERROR(_xlfn.XLOOKUP(D349, tblCourses[CourseID], tblCourses[CourseName], ""), "")</f>
        <v>Safety Management Systems (Refresher)</v>
      </c>
      <c r="F349" s="17">
        <v>45114</v>
      </c>
      <c r="G349" s="17" t="str" cm="1">
        <f t="array" ref="G3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9" s="15" t="str">
        <f ca="1">IF(OR(tblTraining[[#This Row],[Status]]="Renewed",tblTraining[[#This Row],[NextDueDate]]=""),"",tblTraining[[#This Row],[NextDueDate]]-TODAY())</f>
        <v/>
      </c>
      <c r="I349" s="15" t="str" cm="1">
        <f t="array" aca="1" ref="I3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0" spans="1:9" x14ac:dyDescent="0.25">
      <c r="A350" s="15">
        <f t="shared" si="5"/>
        <v>349</v>
      </c>
      <c r="B350" s="15" t="s">
        <v>156</v>
      </c>
      <c r="C350" s="15" t="str" cm="1">
        <f t="array" ref="C350">IFERROR(_xlfn.XLOOKUP(B350, tblPeople[PersonID], tblPeople[PersonName], ""), "")</f>
        <v>Urbanus Muema</v>
      </c>
      <c r="D350" s="15" t="s">
        <v>126</v>
      </c>
      <c r="E350" s="16" t="str">
        <f>IFERROR(_xlfn.XLOOKUP(D350, tblCourses[CourseID], tblCourses[CourseName], ""), "")</f>
        <v>Maintenance Indoctrination</v>
      </c>
      <c r="F350" s="17">
        <v>44686</v>
      </c>
      <c r="G350" s="17" t="str" cm="1">
        <f t="array" ref="G3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0" s="15" t="str">
        <f ca="1">IF(OR(tblTraining[[#This Row],[Status]]="Renewed",tblTraining[[#This Row],[NextDueDate]]=""),"",tblTraining[[#This Row],[NextDueDate]]-TODAY())</f>
        <v/>
      </c>
      <c r="I350" s="15" t="str" cm="1">
        <f t="array" aca="1" ref="I3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1" spans="1:9" x14ac:dyDescent="0.25">
      <c r="A351" s="15">
        <f t="shared" si="5"/>
        <v>350</v>
      </c>
      <c r="B351" s="15" t="s">
        <v>103</v>
      </c>
      <c r="C351" s="15" t="str" cm="1">
        <f t="array" ref="C351">IFERROR(_xlfn.XLOOKUP(B351, tblPeople[PersonID], tblPeople[PersonName], ""), "")</f>
        <v>Smith Harun</v>
      </c>
      <c r="D351" s="15" t="s">
        <v>30</v>
      </c>
      <c r="E351" s="16" t="str">
        <f>IFERROR(_xlfn.XLOOKUP(D351, tblCourses[CourseID], tblCourses[CourseName], ""), "")</f>
        <v>Dangerous Goods Regulations (CBTA 7.3) (Refresher)</v>
      </c>
      <c r="F351" s="17">
        <v>45758</v>
      </c>
      <c r="G351" s="17" cm="1">
        <f t="array" ref="G3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351" s="15">
        <f ca="1">IF(OR(tblTraining[[#This Row],[Status]]="Renewed",tblTraining[[#This Row],[NextDueDate]]=""),"",tblTraining[[#This Row],[NextDueDate]]-TODAY())</f>
        <v>202</v>
      </c>
      <c r="I351" s="15" t="str" cm="1">
        <f t="array" aca="1" ref="I3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2" spans="1:9" x14ac:dyDescent="0.25">
      <c r="A352" s="15">
        <f t="shared" si="5"/>
        <v>351</v>
      </c>
      <c r="B352" s="15" t="s">
        <v>156</v>
      </c>
      <c r="C352" s="15" t="str" cm="1">
        <f t="array" ref="C352">IFERROR(_xlfn.XLOOKUP(B352, tblPeople[PersonID], tblPeople[PersonName], ""), "")</f>
        <v>Urbanus Muema</v>
      </c>
      <c r="D352" s="15" t="s">
        <v>78</v>
      </c>
      <c r="E352" s="16" t="str">
        <f>IFERROR(_xlfn.XLOOKUP(D352, tblCourses[CourseID], tblCourses[CourseName], ""), "")</f>
        <v>DHC8 -100/-200/-300 Collins Wheels &amp; Brakes Familiarization Training (Initial)</v>
      </c>
      <c r="F352" s="17">
        <v>45637</v>
      </c>
      <c r="G352" s="17" t="str" cm="1">
        <f t="array" ref="G3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2" s="15" t="str">
        <f ca="1">IF(OR(tblTraining[[#This Row],[Status]]="Renewed",tblTraining[[#This Row],[NextDueDate]]=""),"",tblTraining[[#This Row],[NextDueDate]]-TODAY())</f>
        <v/>
      </c>
      <c r="I352" s="15" t="str" cm="1">
        <f t="array" aca="1" ref="I3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3" spans="1:9" x14ac:dyDescent="0.25">
      <c r="A353" s="15">
        <f t="shared" si="5"/>
        <v>352</v>
      </c>
      <c r="B353" s="15" t="s">
        <v>103</v>
      </c>
      <c r="C353" s="15" t="str" cm="1">
        <f t="array" ref="C353">IFERROR(_xlfn.XLOOKUP(B353, tblPeople[PersonID], tblPeople[PersonName], ""), "")</f>
        <v>Smith Harun</v>
      </c>
      <c r="D353" s="15" t="s">
        <v>224</v>
      </c>
      <c r="E353" s="16" t="str">
        <f>IFERROR(_xlfn.XLOOKUP(D353, tblCourses[CourseID], tblCourses[CourseName], ""), "")</f>
        <v>SOCATA TBM 700 Series (Initial)</v>
      </c>
      <c r="F353" s="17">
        <v>45733</v>
      </c>
      <c r="G353" s="17" t="str" cm="1">
        <f t="array" ref="G3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3" s="15" t="str">
        <f ca="1">IF(OR(tblTraining[[#This Row],[Status]]="Renewed",tblTraining[[#This Row],[NextDueDate]]=""),"",tblTraining[[#This Row],[NextDueDate]]-TODAY())</f>
        <v/>
      </c>
      <c r="I353" s="15" t="str" cm="1">
        <f t="array" aca="1" ref="I3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4" spans="1:9" x14ac:dyDescent="0.25">
      <c r="A354" s="15">
        <f t="shared" si="5"/>
        <v>353</v>
      </c>
      <c r="B354" s="15" t="s">
        <v>156</v>
      </c>
      <c r="C354" s="15" t="str" cm="1">
        <f t="array" ref="C354">IFERROR(_xlfn.XLOOKUP(B354, tblPeople[PersonID], tblPeople[PersonName], ""), "")</f>
        <v>Urbanus Muema</v>
      </c>
      <c r="D354" s="15" t="s">
        <v>77</v>
      </c>
      <c r="E354" s="16" t="str">
        <f>IFERROR(_xlfn.XLOOKUP(D354, tblCourses[CourseID], tblCourses[CourseName], ""), "")</f>
        <v>DHC8 -100/-200/-300 Collins Wheels &amp; Brakes Familiarization Training (Refresher)</v>
      </c>
      <c r="F354" s="17">
        <v>45637</v>
      </c>
      <c r="G354" s="17" cm="1">
        <f t="array" ref="G3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54" s="15">
        <f ca="1">IF(OR(tblTraining[[#This Row],[Status]]="Renewed",tblTraining[[#This Row],[NextDueDate]]=""),"",tblTraining[[#This Row],[NextDueDate]]-TODAY())</f>
        <v>81</v>
      </c>
      <c r="I354" s="15" t="str" cm="1">
        <f t="array" aca="1" ref="I3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5" spans="1:9" x14ac:dyDescent="0.25">
      <c r="A355" s="15">
        <f t="shared" si="5"/>
        <v>354</v>
      </c>
      <c r="B355" s="15" t="s">
        <v>103</v>
      </c>
      <c r="C355" s="15" t="str" cm="1">
        <f t="array" ref="C355">IFERROR(_xlfn.XLOOKUP(B355, tblPeople[PersonID], tblPeople[PersonName], ""), "")</f>
        <v>Smith Harun</v>
      </c>
      <c r="D355" s="15" t="s">
        <v>75</v>
      </c>
      <c r="E355" s="16" t="str">
        <f>IFERROR(_xlfn.XLOOKUP(D355, tblCourses[CourseID], tblCourses[CourseName], ""), "")</f>
        <v>Fuel Tank Safety Phase 1 &amp; 2 Course (Refresher)</v>
      </c>
      <c r="F355" s="17">
        <v>45428</v>
      </c>
      <c r="G355" s="17" t="str" cm="1">
        <f t="array" ref="G3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5" s="15" t="str">
        <f ca="1">IF(OR(tblTraining[[#This Row],[Status]]="Renewed",tblTraining[[#This Row],[NextDueDate]]=""),"",tblTraining[[#This Row],[NextDueDate]]-TODAY())</f>
        <v/>
      </c>
      <c r="I355" s="15" t="str" cm="1">
        <f t="array" aca="1" ref="I3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6" spans="1:9" x14ac:dyDescent="0.25">
      <c r="A356" s="15">
        <f t="shared" si="5"/>
        <v>355</v>
      </c>
      <c r="B356" s="15" t="s">
        <v>156</v>
      </c>
      <c r="C356" s="15" t="str" cm="1">
        <f t="array" ref="C356">IFERROR(_xlfn.XLOOKUP(B356, tblPeople[PersonID], tblPeople[PersonName], ""), "")</f>
        <v>Urbanus Muema</v>
      </c>
      <c r="D356" s="15" t="s">
        <v>24</v>
      </c>
      <c r="E356" s="16" t="str">
        <f>IFERROR(_xlfn.XLOOKUP(D356, tblCourses[CourseID], tblCourses[CourseName], ""), "")</f>
        <v>Human Factors in Aviation (Initial)</v>
      </c>
      <c r="F356" s="17">
        <v>44854</v>
      </c>
      <c r="G356" s="17" t="str" cm="1">
        <f t="array" ref="G3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6" s="15" t="str">
        <f ca="1">IF(OR(tblTraining[[#This Row],[Status]]="Renewed",tblTraining[[#This Row],[NextDueDate]]=""),"",tblTraining[[#This Row],[NextDueDate]]-TODAY())</f>
        <v/>
      </c>
      <c r="I356" s="15" t="str" cm="1">
        <f t="array" aca="1" ref="I3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7" spans="1:9" x14ac:dyDescent="0.25">
      <c r="A357" s="15">
        <f t="shared" si="5"/>
        <v>356</v>
      </c>
      <c r="B357" s="15" t="s">
        <v>103</v>
      </c>
      <c r="C357" s="15" t="str" cm="1">
        <f t="array" ref="C357">IFERROR(_xlfn.XLOOKUP(B357, tblPeople[PersonID], tblPeople[PersonName], ""), "")</f>
        <v>Smith Harun</v>
      </c>
      <c r="D357" s="15" t="s">
        <v>182</v>
      </c>
      <c r="E357" s="16" t="str">
        <f>IFERROR(_xlfn.XLOOKUP(D357, tblCourses[CourseID], tblCourses[CourseName], ""), "")</f>
        <v>Cessna 208 Series (Caravan) With P&amp;WC PT6A-114/ -114A/ -140 Engines (Refresher)</v>
      </c>
      <c r="F357" s="17">
        <v>45343</v>
      </c>
      <c r="G357" s="17" t="str" cm="1">
        <f t="array" ref="G3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7" s="15" t="str">
        <f ca="1">IF(OR(tblTraining[[#This Row],[Status]]="Renewed",tblTraining[[#This Row],[NextDueDate]]=""),"",tblTraining[[#This Row],[NextDueDate]]-TODAY())</f>
        <v/>
      </c>
      <c r="I357" s="15" t="str" cm="1">
        <f t="array" aca="1" ref="I3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8" spans="1:9" x14ac:dyDescent="0.25">
      <c r="A358" s="15">
        <f t="shared" si="5"/>
        <v>357</v>
      </c>
      <c r="B358" s="15" t="s">
        <v>156</v>
      </c>
      <c r="C358" s="15" t="str" cm="1">
        <f t="array" ref="C358">IFERROR(_xlfn.XLOOKUP(B358, tblPeople[PersonID], tblPeople[PersonName], ""), "")</f>
        <v>Urbanus Muema</v>
      </c>
      <c r="D358" s="15" t="s">
        <v>22</v>
      </c>
      <c r="E358" s="16" t="str">
        <f>IFERROR(_xlfn.XLOOKUP(D358, tblCourses[CourseID], tblCourses[CourseName], ""), "")</f>
        <v>Human Factors in Aviation (Refresher)</v>
      </c>
      <c r="F358" s="17">
        <v>45606</v>
      </c>
      <c r="G358" s="17" cm="1">
        <f t="array" ref="G3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46336</v>
      </c>
      <c r="H358" s="15">
        <f ca="1">IF(OR(tblTraining[[#This Row],[Status]]="Renewed",tblTraining[[#This Row],[NextDueDate]]=""),"",tblTraining[[#This Row],[NextDueDate]]-TODAY())</f>
        <v>50</v>
      </c>
      <c r="I358" s="15" t="str" cm="1">
        <f t="array" aca="1" ref="I3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359" spans="1:9" x14ac:dyDescent="0.25">
      <c r="A359" s="15">
        <f t="shared" si="5"/>
        <v>358</v>
      </c>
      <c r="B359" s="15" t="s">
        <v>103</v>
      </c>
      <c r="C359" s="15" t="str" cm="1">
        <f t="array" ref="C359">IFERROR(_xlfn.XLOOKUP(B359, tblPeople[PersonID], tblPeople[PersonName], ""), "")</f>
        <v>Smith Harun</v>
      </c>
      <c r="D359" s="15" t="s">
        <v>28</v>
      </c>
      <c r="E359" s="16" t="str">
        <f>IFERROR(_xlfn.XLOOKUP(D359, tblCourses[CourseID], tblCourses[CourseName], ""), "")</f>
        <v>DHC-8 100/200/300 with PWC 120/120A/121/123B/C/D/E Series Engines(Refresher)</v>
      </c>
      <c r="F359" s="17">
        <v>45135</v>
      </c>
      <c r="G359" s="17" t="str" cm="1">
        <f t="array" ref="G3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9" s="15" t="str">
        <f ca="1">IF(OR(tblTraining[[#This Row],[Status]]="Renewed",tblTraining[[#This Row],[NextDueDate]]=""),"",tblTraining[[#This Row],[NextDueDate]]-TODAY())</f>
        <v/>
      </c>
      <c r="I359" s="15" t="str" cm="1">
        <f t="array" aca="1" ref="I3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0" spans="1:9" x14ac:dyDescent="0.25">
      <c r="A360" s="15">
        <f t="shared" si="5"/>
        <v>359</v>
      </c>
      <c r="B360" s="15" t="s">
        <v>156</v>
      </c>
      <c r="C360" s="15" t="str" cm="1">
        <f t="array" ref="C360">IFERROR(_xlfn.XLOOKUP(B360, tblPeople[PersonID], tblPeople[PersonName], ""), "")</f>
        <v>Urbanus Muema</v>
      </c>
      <c r="D360" s="15" t="s">
        <v>17</v>
      </c>
      <c r="E360" s="16" t="str">
        <f>IFERROR(_xlfn.XLOOKUP(D360, tblCourses[CourseID], tblCourses[CourseName], ""), "")</f>
        <v>Safety Management Systems (Refresher)</v>
      </c>
      <c r="F360" s="17">
        <v>45590</v>
      </c>
      <c r="G360" s="17" cm="1">
        <f t="array" ref="G3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360" s="15">
        <f ca="1">IF(OR(tblTraining[[#This Row],[Status]]="Renewed",tblTraining[[#This Row],[NextDueDate]]=""),"",tblTraining[[#This Row],[NextDueDate]]-TODAY())</f>
        <v>34</v>
      </c>
      <c r="I360" s="15" t="str" cm="1">
        <f t="array" aca="1" ref="I3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361" spans="1:9" x14ac:dyDescent="0.25">
      <c r="A361" s="15">
        <f t="shared" si="5"/>
        <v>360</v>
      </c>
      <c r="B361" s="15" t="s">
        <v>103</v>
      </c>
      <c r="C361" s="15" t="str" cm="1">
        <f t="array" ref="C361">IFERROR(_xlfn.XLOOKUP(B361, tblPeople[PersonID], tblPeople[PersonName], ""), "")</f>
        <v>Smith Harun</v>
      </c>
      <c r="D361" s="15" t="s">
        <v>25</v>
      </c>
      <c r="E361" s="16" t="str">
        <f>IFERROR(_xlfn.XLOOKUP(D361, tblCourses[CourseID], tblCourses[CourseName], ""), "")</f>
        <v>Pratt &amp; Whitney Canada PT6A Engine With P&amp;WC PT6A
20/ 27/ 41/ 42/ 60A/ 67D/ 112/ 114A/ 140 (Refresher)</v>
      </c>
      <c r="F361" s="17">
        <v>45195</v>
      </c>
      <c r="G361" s="17" t="str" cm="1">
        <f t="array" ref="G3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1" s="15" t="str">
        <f ca="1">IF(OR(tblTraining[[#This Row],[Status]]="Renewed",tblTraining[[#This Row],[NextDueDate]]=""),"",tblTraining[[#This Row],[NextDueDate]]-TODAY())</f>
        <v/>
      </c>
      <c r="I361" s="15" t="str" cm="1">
        <f t="array" aca="1" ref="I3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2" spans="1:9" x14ac:dyDescent="0.25">
      <c r="A362" s="15">
        <f t="shared" si="5"/>
        <v>361</v>
      </c>
      <c r="B362" s="15" t="s">
        <v>156</v>
      </c>
      <c r="C362" s="15" t="str" cm="1">
        <f t="array" ref="C362">IFERROR(_xlfn.XLOOKUP(B362, tblPeople[PersonID], tblPeople[PersonName], ""), "")</f>
        <v>Urbanus Muema</v>
      </c>
      <c r="D362" s="15" t="s">
        <v>76</v>
      </c>
      <c r="E362" s="16" t="str">
        <f>IFERROR(_xlfn.XLOOKUP(D362, tblCourses[CourseID], tblCourses[CourseName], ""), "")</f>
        <v>Fuel Tank Safety Phase 1 &amp; 2 Course (Initial)</v>
      </c>
      <c r="F362" s="17">
        <v>45416</v>
      </c>
      <c r="G362" s="17" t="str" cm="1">
        <f t="array" ref="G3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2" s="15" t="str">
        <f ca="1">IF(OR(tblTraining[[#This Row],[Status]]="Renewed",tblTraining[[#This Row],[NextDueDate]]=""),"",tblTraining[[#This Row],[NextDueDate]]-TODAY())</f>
        <v/>
      </c>
      <c r="I362" s="15" t="str" cm="1">
        <f t="array" aca="1" ref="I3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3" spans="1:9" x14ac:dyDescent="0.25">
      <c r="A363" s="15">
        <f t="shared" si="5"/>
        <v>362</v>
      </c>
      <c r="B363" s="15" t="s">
        <v>103</v>
      </c>
      <c r="C363" s="15" t="str" cm="1">
        <f t="array" ref="C363">IFERROR(_xlfn.XLOOKUP(B363, tblPeople[PersonID], tblPeople[PersonName], ""), "")</f>
        <v>Smith Harun</v>
      </c>
      <c r="D363" s="15" t="s">
        <v>227</v>
      </c>
      <c r="E363" s="16" t="str">
        <f>IFERROR(_xlfn.XLOOKUP(D363, tblCourses[CourseID], tblCourses[CourseName], ""), "")</f>
        <v>Core Instructional Technique (Initial)</v>
      </c>
      <c r="F363" s="17">
        <v>43357</v>
      </c>
      <c r="G363" s="17" t="str" cm="1">
        <f t="array" ref="G3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3" s="15" t="str">
        <f ca="1">IF(OR(tblTraining[[#This Row],[Status]]="Renewed",tblTraining[[#This Row],[NextDueDate]]=""),"",tblTraining[[#This Row],[NextDueDate]]-TODAY())</f>
        <v/>
      </c>
      <c r="I363" s="15" t="str" cm="1">
        <f t="array" aca="1" ref="I3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4" spans="1:9" x14ac:dyDescent="0.25">
      <c r="A364" s="15">
        <f t="shared" si="5"/>
        <v>363</v>
      </c>
      <c r="B364" s="15" t="s">
        <v>156</v>
      </c>
      <c r="C364" s="15" t="str" cm="1">
        <f t="array" ref="C364">IFERROR(_xlfn.XLOOKUP(B364, tblPeople[PersonID], tblPeople[PersonName], ""), "")</f>
        <v>Urbanus Muema</v>
      </c>
      <c r="D364" s="15" t="s">
        <v>75</v>
      </c>
      <c r="E364" s="16" t="str">
        <f>IFERROR(_xlfn.XLOOKUP(D364, tblCourses[CourseID], tblCourses[CourseName], ""), "")</f>
        <v>Fuel Tank Safety Phase 1 &amp; 2 Course (Refresher)</v>
      </c>
      <c r="F364" s="17">
        <v>45416</v>
      </c>
      <c r="G364" s="17" t="str" cm="1">
        <f t="array" ref="G3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4" s="15" t="str">
        <f ca="1">IF(OR(tblTraining[[#This Row],[Status]]="Renewed",tblTraining[[#This Row],[NextDueDate]]=""),"",tblTraining[[#This Row],[NextDueDate]]-TODAY())</f>
        <v/>
      </c>
      <c r="I364" s="15" t="str" cm="1">
        <f t="array" aca="1" ref="I3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5" spans="1:9" x14ac:dyDescent="0.25">
      <c r="A365" s="15">
        <f t="shared" si="5"/>
        <v>364</v>
      </c>
      <c r="B365" s="15" t="s">
        <v>103</v>
      </c>
      <c r="C365" s="15" t="str" cm="1">
        <f t="array" ref="C365">IFERROR(_xlfn.XLOOKUP(B365, tblPeople[PersonID], tblPeople[PersonName], ""), "")</f>
        <v>Smith Harun</v>
      </c>
      <c r="D365" s="15" t="s">
        <v>191</v>
      </c>
      <c r="E365" s="16" t="str">
        <f>IFERROR(_xlfn.XLOOKUP(D365, tblCourses[CourseID], tblCourses[CourseName], ""), "")</f>
        <v>Borescope Fundamentals P&amp;WC PW100 Series</v>
      </c>
      <c r="F365" s="17">
        <v>43416</v>
      </c>
      <c r="G365" s="17" t="str" cm="1">
        <f t="array" ref="G3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5" s="15" t="str">
        <f ca="1">IF(OR(tblTraining[[#This Row],[Status]]="Renewed",tblTraining[[#This Row],[NextDueDate]]=""),"",tblTraining[[#This Row],[NextDueDate]]-TODAY())</f>
        <v/>
      </c>
      <c r="I365" s="15" t="str" cm="1">
        <f t="array" aca="1" ref="I3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6" spans="1:9" x14ac:dyDescent="0.25">
      <c r="A366" s="15">
        <f t="shared" si="5"/>
        <v>365</v>
      </c>
      <c r="B366" s="15" t="s">
        <v>156</v>
      </c>
      <c r="C366" s="15" t="str" cm="1">
        <f t="array" ref="C366">IFERROR(_xlfn.XLOOKUP(B366, tblPeople[PersonID], tblPeople[PersonName], ""), "")</f>
        <v>Urbanus Muema</v>
      </c>
      <c r="D366" s="15" t="s">
        <v>144</v>
      </c>
      <c r="E366" s="16" t="str">
        <f>IFERROR(_xlfn.XLOOKUP(D366, tblCourses[CourseID], tblCourses[CourseName], ""), "")</f>
        <v>Composite Structures Inspection - Familiarisation</v>
      </c>
      <c r="F366" s="17">
        <v>44485</v>
      </c>
      <c r="G366" s="17" t="str" cm="1">
        <f t="array" ref="G3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6" s="15" t="str">
        <f ca="1">IF(OR(tblTraining[[#This Row],[Status]]="Renewed",tblTraining[[#This Row],[NextDueDate]]=""),"",tblTraining[[#This Row],[NextDueDate]]-TODAY())</f>
        <v/>
      </c>
      <c r="I366" s="15" t="str" cm="1">
        <f t="array" aca="1" ref="I3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7" spans="1:9" x14ac:dyDescent="0.25">
      <c r="A367" s="15">
        <f t="shared" si="5"/>
        <v>366</v>
      </c>
      <c r="B367" s="15" t="s">
        <v>103</v>
      </c>
      <c r="C367" s="15" t="str" cm="1">
        <f t="array" ref="C367">IFERROR(_xlfn.XLOOKUP(B367, tblPeople[PersonID], tblPeople[PersonName], ""), "")</f>
        <v>Smith Harun</v>
      </c>
      <c r="D367" s="15" t="s">
        <v>185</v>
      </c>
      <c r="E367" s="16" t="str">
        <f>IFERROR(_xlfn.XLOOKUP(D367, tblCourses[CourseID], tblCourses[CourseName], ""), "")</f>
        <v>Leadership &amp; Management</v>
      </c>
      <c r="F367" s="17">
        <v>43076</v>
      </c>
      <c r="G367" s="17" t="str" cm="1">
        <f t="array" ref="G3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7" s="15" t="str">
        <f ca="1">IF(OR(tblTraining[[#This Row],[Status]]="Renewed",tblTraining[[#This Row],[NextDueDate]]=""),"",tblTraining[[#This Row],[NextDueDate]]-TODAY())</f>
        <v/>
      </c>
      <c r="I367" s="15" t="str" cm="1">
        <f t="array" aca="1" ref="I3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8" spans="1:9" x14ac:dyDescent="0.25">
      <c r="A368" s="15">
        <f t="shared" si="5"/>
        <v>367</v>
      </c>
      <c r="B368" s="15" t="s">
        <v>103</v>
      </c>
      <c r="C368" s="15" t="str" cm="1">
        <f t="array" ref="C368">IFERROR(_xlfn.XLOOKUP(B368, tblPeople[PersonID], tblPeople[PersonName], ""), "")</f>
        <v>Smith Harun</v>
      </c>
      <c r="D368" s="15" t="s">
        <v>77</v>
      </c>
      <c r="E368" s="16" t="str">
        <f>IFERROR(_xlfn.XLOOKUP(D368, tblCourses[CourseID], tblCourses[CourseName], ""), "")</f>
        <v>DHC8 -100/-200/-300 Collins Wheels &amp; Brakes Familiarization Training (Refresher)</v>
      </c>
      <c r="F368" s="17">
        <v>44392</v>
      </c>
      <c r="G368" s="17" t="str" cm="1">
        <f t="array" ref="G3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8" s="15" t="str">
        <f ca="1">IF(OR(tblTraining[[#This Row],[Status]]="Renewed",tblTraining[[#This Row],[NextDueDate]]=""),"",tblTraining[[#This Row],[NextDueDate]]-TODAY())</f>
        <v/>
      </c>
      <c r="I368" s="15" t="str" cm="1">
        <f t="array" aca="1" ref="I3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9" spans="1:9" x14ac:dyDescent="0.25">
      <c r="A369" s="15">
        <f t="shared" si="5"/>
        <v>368</v>
      </c>
      <c r="B369" s="15" t="s">
        <v>119</v>
      </c>
      <c r="C369" s="15" t="str" cm="1">
        <f t="array" ref="C369">IFERROR(_xlfn.XLOOKUP(B369, tblPeople[PersonID], tblPeople[PersonName], ""), "")</f>
        <v>Walter Edupu</v>
      </c>
      <c r="D369" s="15" t="s">
        <v>32</v>
      </c>
      <c r="E369" s="16" t="str">
        <f>IFERROR(_xlfn.XLOOKUP(D369, tblCourses[CourseID], tblCourses[CourseName], ""), "")</f>
        <v>Dangerous Goods Regulations (CBTA 7.3) (Initial)</v>
      </c>
      <c r="F369" s="17">
        <v>45772</v>
      </c>
      <c r="G369" s="17" t="str" cm="1">
        <f t="array" ref="G3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9" s="15" t="str">
        <f ca="1">IF(OR(tblTraining[[#This Row],[Status]]="Renewed",tblTraining[[#This Row],[NextDueDate]]=""),"",tblTraining[[#This Row],[NextDueDate]]-TODAY())</f>
        <v/>
      </c>
      <c r="I369" s="15" t="str" cm="1">
        <f t="array" aca="1" ref="I3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0" spans="1:9" x14ac:dyDescent="0.25">
      <c r="A370" s="15">
        <f t="shared" si="5"/>
        <v>369</v>
      </c>
      <c r="B370" s="15" t="s">
        <v>103</v>
      </c>
      <c r="C370" s="15" t="str" cm="1">
        <f t="array" ref="C370">IFERROR(_xlfn.XLOOKUP(B370, tblPeople[PersonID], tblPeople[PersonName], ""), "")</f>
        <v>Smith Harun</v>
      </c>
      <c r="D370" s="15" t="s">
        <v>32</v>
      </c>
      <c r="E370" s="16" t="str">
        <f>IFERROR(_xlfn.XLOOKUP(D370, tblCourses[CourseID], tblCourses[CourseName], ""), "")</f>
        <v>Dangerous Goods Regulations (CBTA 7.3) (Initial)</v>
      </c>
      <c r="F370" s="17">
        <v>44116</v>
      </c>
      <c r="G370" s="17" t="str" cm="1">
        <f t="array" ref="G3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0" s="15" t="str">
        <f ca="1">IF(OR(tblTraining[[#This Row],[Status]]="Renewed",tblTraining[[#This Row],[NextDueDate]]=""),"",tblTraining[[#This Row],[NextDueDate]]-TODAY())</f>
        <v/>
      </c>
      <c r="I370" s="15" t="str" cm="1">
        <f t="array" aca="1" ref="I3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1" spans="1:9" x14ac:dyDescent="0.25">
      <c r="A371" s="15">
        <f t="shared" si="5"/>
        <v>370</v>
      </c>
      <c r="B371" s="15" t="s">
        <v>119</v>
      </c>
      <c r="C371" s="15" t="str" cm="1">
        <f t="array" ref="C371">IFERROR(_xlfn.XLOOKUP(B371, tblPeople[PersonID], tblPeople[PersonName], ""), "")</f>
        <v>Walter Edupu</v>
      </c>
      <c r="D371" s="15" t="s">
        <v>30</v>
      </c>
      <c r="E371" s="16" t="str">
        <f>IFERROR(_xlfn.XLOOKUP(D371, tblCourses[CourseID], tblCourses[CourseName], ""), "")</f>
        <v>Dangerous Goods Regulations (CBTA 7.3) (Refresher)</v>
      </c>
      <c r="F371" s="17">
        <v>45772</v>
      </c>
      <c r="G371" s="17" cm="1">
        <f t="array" ref="G3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46502</v>
      </c>
      <c r="H371" s="15">
        <f ca="1">IF(OR(tblTraining[[#This Row],[Status]]="Renewed",tblTraining[[#This Row],[NextDueDate]]=""),"",tblTraining[[#This Row],[NextDueDate]]-TODAY())</f>
        <v>216</v>
      </c>
      <c r="I371" s="15" t="str" cm="1">
        <f t="array" aca="1" ref="I3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2" spans="1:9" x14ac:dyDescent="0.25">
      <c r="A372" s="15">
        <f t="shared" si="5"/>
        <v>371</v>
      </c>
      <c r="B372" s="15" t="s">
        <v>103</v>
      </c>
      <c r="C372" s="15" t="str" cm="1">
        <f t="array" ref="C372">IFERROR(_xlfn.XLOOKUP(B372, tblPeople[PersonID], tblPeople[PersonName], ""), "")</f>
        <v>Smith Harun</v>
      </c>
      <c r="D372" s="15" t="s">
        <v>17</v>
      </c>
      <c r="E372" s="16" t="str">
        <f>IFERROR(_xlfn.XLOOKUP(D372, tblCourses[CourseID], tblCourses[CourseName], ""), "")</f>
        <v>Safety Management Systems (Refresher)</v>
      </c>
      <c r="F372" s="17">
        <v>45874</v>
      </c>
      <c r="G372" s="17" cm="1">
        <f t="array" ref="G3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46604</v>
      </c>
      <c r="H372" s="15">
        <f ca="1">IF(OR(tblTraining[[#This Row],[Status]]="Renewed",tblTraining[[#This Row],[NextDueDate]]=""),"",tblTraining[[#This Row],[NextDueDate]]-TODAY())</f>
        <v>318</v>
      </c>
      <c r="I372" s="15" t="str" cm="1">
        <f t="array" aca="1" ref="I3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3" spans="1:9" x14ac:dyDescent="0.25">
      <c r="A373" s="15">
        <f t="shared" si="5"/>
        <v>372</v>
      </c>
      <c r="B373" s="15" t="s">
        <v>119</v>
      </c>
      <c r="C373" s="15" t="str" cm="1">
        <f t="array" ref="C373">IFERROR(_xlfn.XLOOKUP(B373, tblPeople[PersonID], tblPeople[PersonName], ""), "")</f>
        <v>Walter Edupu</v>
      </c>
      <c r="D373" s="15" t="s">
        <v>20</v>
      </c>
      <c r="E373" s="16" t="str">
        <f>IFERROR(_xlfn.XLOOKUP(D373, tblCourses[CourseID], tblCourses[CourseName], ""), "")</f>
        <v>Safety Management Systems (Initial)</v>
      </c>
      <c r="F373" s="17">
        <v>45813</v>
      </c>
      <c r="G373" s="17" t="str" cm="1">
        <f t="array" ref="G3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3" s="15" t="str">
        <f ca="1">IF(OR(tblTraining[[#This Row],[Status]]="Renewed",tblTraining[[#This Row],[NextDueDate]]=""),"",tblTraining[[#This Row],[NextDueDate]]-TODAY())</f>
        <v/>
      </c>
      <c r="I373" s="15" t="str" cm="1">
        <f t="array" aca="1" ref="I3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4" spans="1:9" x14ac:dyDescent="0.25">
      <c r="A374" s="15">
        <f t="shared" si="5"/>
        <v>373</v>
      </c>
      <c r="B374" s="15" t="s">
        <v>119</v>
      </c>
      <c r="C374" s="15" t="str" cm="1">
        <f t="array" ref="C374">IFERROR(_xlfn.XLOOKUP(B374, tblPeople[PersonID], tblPeople[PersonName], ""), "")</f>
        <v>Walter Edupu</v>
      </c>
      <c r="D374" s="15" t="s">
        <v>17</v>
      </c>
      <c r="E374" s="16" t="str">
        <f>IFERROR(_xlfn.XLOOKUP(D374, tblCourses[CourseID], tblCourses[CourseName], ""), "")</f>
        <v>Safety Management Systems (Refresher)</v>
      </c>
      <c r="F374" s="17">
        <v>45813</v>
      </c>
      <c r="G374" s="17" cm="1">
        <f t="array" ref="G3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46543</v>
      </c>
      <c r="H374" s="15">
        <f ca="1">IF(OR(tblTraining[[#This Row],[Status]]="Renewed",tblTraining[[#This Row],[NextDueDate]]=""),"",tblTraining[[#This Row],[NextDueDate]]-TODAY())</f>
        <v>257</v>
      </c>
      <c r="I374" s="15" t="str" cm="1">
        <f t="array" aca="1" ref="I3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5" spans="1:9" x14ac:dyDescent="0.25">
      <c r="A375" s="15">
        <f t="shared" si="5"/>
        <v>374</v>
      </c>
      <c r="B375" s="15" t="s">
        <v>119</v>
      </c>
      <c r="C375" s="15" t="str" cm="1">
        <f t="array" ref="C375">IFERROR(_xlfn.XLOOKUP(B375, tblPeople[PersonID], tblPeople[PersonName], ""), "")</f>
        <v>Walter Edupu</v>
      </c>
      <c r="D375" s="15" t="s">
        <v>176</v>
      </c>
      <c r="E375" s="16" t="str">
        <f>IFERROR(_xlfn.XLOOKUP(D375, tblCourses[CourseID], tblCourses[CourseName], ""), "")</f>
        <v>Aviation Technical Records &amp; Stores Management (TRS)</v>
      </c>
      <c r="F375" s="17">
        <v>45737</v>
      </c>
      <c r="G375" s="17" t="str" cm="1">
        <f t="array" ref="G3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5" s="15" t="str">
        <f ca="1">IF(OR(tblTraining[[#This Row],[Status]]="Renewed",tblTraining[[#This Row],[NextDueDate]]=""),"",tblTraining[[#This Row],[NextDueDate]]-TODAY())</f>
        <v/>
      </c>
      <c r="I375" s="15" t="str" cm="1">
        <f t="array" aca="1" ref="I3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6" spans="1:9" x14ac:dyDescent="0.25">
      <c r="A376" s="15">
        <f t="shared" si="5"/>
        <v>375</v>
      </c>
      <c r="B376" s="15" t="s">
        <v>119</v>
      </c>
      <c r="C376" s="15" t="str" cm="1">
        <f t="array" ref="C376">IFERROR(_xlfn.XLOOKUP(B376, tblPeople[PersonID], tblPeople[PersonName], ""), "")</f>
        <v>Walter Edupu</v>
      </c>
      <c r="D376" s="15" t="s">
        <v>124</v>
      </c>
      <c r="E376" s="16" t="str">
        <f>IFERROR(_xlfn.XLOOKUP(D376, tblCourses[CourseID], tblCourses[CourseName], ""), "")</f>
        <v>Aviation Security (Initial)</v>
      </c>
      <c r="F376" s="17">
        <v>45716</v>
      </c>
      <c r="G376" s="17" t="str" cm="1">
        <f t="array" ref="G3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6" s="15" t="str">
        <f ca="1">IF(OR(tblTraining[[#This Row],[Status]]="Renewed",tblTraining[[#This Row],[NextDueDate]]=""),"",tblTraining[[#This Row],[NextDueDate]]-TODAY())</f>
        <v/>
      </c>
      <c r="I376" s="15" t="str" cm="1">
        <f t="array" aca="1" ref="I3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7" spans="1:9" x14ac:dyDescent="0.25">
      <c r="A377" s="15">
        <f t="shared" si="5"/>
        <v>376</v>
      </c>
      <c r="B377" s="15" t="s">
        <v>119</v>
      </c>
      <c r="C377" s="15" t="str" cm="1">
        <f t="array" ref="C377">IFERROR(_xlfn.XLOOKUP(B377, tblPeople[PersonID], tblPeople[PersonName], ""), "")</f>
        <v>Walter Edupu</v>
      </c>
      <c r="D377" s="15" t="s">
        <v>125</v>
      </c>
      <c r="E377" s="16" t="str">
        <f>IFERROR(_xlfn.XLOOKUP(D377, tblCourses[CourseID], tblCourses[CourseName], ""), "")</f>
        <v>Aviation Security (Refresher)</v>
      </c>
      <c r="F377" s="17">
        <v>45716</v>
      </c>
      <c r="G377" s="17" cm="1">
        <f t="array" ref="G3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377" s="15">
        <f ca="1">IF(OR(tblTraining[[#This Row],[Status]]="Renewed",tblTraining[[#This Row],[NextDueDate]]=""),"",tblTraining[[#This Row],[NextDueDate]]-TODAY())</f>
        <v>160</v>
      </c>
      <c r="I377" s="15" t="str" cm="1">
        <f t="array" aca="1" ref="I3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8" spans="1:9" x14ac:dyDescent="0.25">
      <c r="A378" s="15">
        <f t="shared" si="5"/>
        <v>377</v>
      </c>
      <c r="B378" s="15" t="s">
        <v>119</v>
      </c>
      <c r="C378" s="15" t="str" cm="1">
        <f t="array" ref="C378">IFERROR(_xlfn.XLOOKUP(B378, tblPeople[PersonID], tblPeople[PersonName], ""), "")</f>
        <v>Walter Edupu</v>
      </c>
      <c r="D378" s="15" t="s">
        <v>24</v>
      </c>
      <c r="E378" s="16" t="str">
        <f>IFERROR(_xlfn.XLOOKUP(D378, tblCourses[CourseID], tblCourses[CourseName], ""), "")</f>
        <v>Human Factors in Aviation (Initial)</v>
      </c>
      <c r="F378" s="17">
        <v>45687</v>
      </c>
      <c r="G378" s="17" t="str" cm="1">
        <f t="array" ref="G3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8" s="15" t="str">
        <f ca="1">IF(OR(tblTraining[[#This Row],[Status]]="Renewed",tblTraining[[#This Row],[NextDueDate]]=""),"",tblTraining[[#This Row],[NextDueDate]]-TODAY())</f>
        <v/>
      </c>
      <c r="I378" s="15" t="str" cm="1">
        <f t="array" aca="1" ref="I3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9" spans="1:9" x14ac:dyDescent="0.25">
      <c r="A379" s="15">
        <f t="shared" si="5"/>
        <v>378</v>
      </c>
      <c r="B379" s="15" t="s">
        <v>119</v>
      </c>
      <c r="C379" s="15" t="str" cm="1">
        <f t="array" ref="C379">IFERROR(_xlfn.XLOOKUP(B379, tblPeople[PersonID], tblPeople[PersonName], ""), "")</f>
        <v>Walter Edupu</v>
      </c>
      <c r="D379" s="15" t="s">
        <v>22</v>
      </c>
      <c r="E379" s="16" t="str">
        <f>IFERROR(_xlfn.XLOOKUP(D379, tblCourses[CourseID], tblCourses[CourseName], ""), "")</f>
        <v>Human Factors in Aviation (Refresher)</v>
      </c>
      <c r="F379" s="17">
        <v>45687</v>
      </c>
      <c r="G379" s="17" cm="1">
        <f t="array" ref="G3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46417</v>
      </c>
      <c r="H379" s="15">
        <f ca="1">IF(OR(tblTraining[[#This Row],[Status]]="Renewed",tblTraining[[#This Row],[NextDueDate]]=""),"",tblTraining[[#This Row],[NextDueDate]]-TODAY())</f>
        <v>131</v>
      </c>
      <c r="I379" s="15" t="str" cm="1">
        <f t="array" aca="1" ref="I3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0" spans="1:9" x14ac:dyDescent="0.25">
      <c r="A380" s="15">
        <f t="shared" si="5"/>
        <v>379</v>
      </c>
      <c r="B380" s="15" t="s">
        <v>95</v>
      </c>
      <c r="C380" s="15" t="str" cm="1">
        <f t="array" ref="C380">IFERROR(_xlfn.XLOOKUP(B380, tblPeople[PersonID], tblPeople[PersonName], ""), "")</f>
        <v>Walter Kibet</v>
      </c>
      <c r="D380" s="15" t="s">
        <v>126</v>
      </c>
      <c r="E380" s="16" t="str">
        <f>IFERROR(_xlfn.XLOOKUP(D380, tblCourses[CourseID], tblCourses[CourseName], ""), "")</f>
        <v>Maintenance Indoctrination</v>
      </c>
      <c r="F380" s="17">
        <v>45306</v>
      </c>
      <c r="G380" s="17" t="str" cm="1">
        <f t="array" ref="G3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0" s="15" t="str">
        <f ca="1">IF(OR(tblTraining[[#This Row],[Status]]="Renewed",tblTraining[[#This Row],[NextDueDate]]=""),"",tblTraining[[#This Row],[NextDueDate]]-TODAY())</f>
        <v/>
      </c>
      <c r="I380" s="15" t="str" cm="1">
        <f t="array" aca="1" ref="I3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1" spans="1:9" x14ac:dyDescent="0.25">
      <c r="A381" s="15">
        <f t="shared" si="5"/>
        <v>380</v>
      </c>
      <c r="B381" s="15" t="s">
        <v>95</v>
      </c>
      <c r="C381" s="15" t="str" cm="1">
        <f t="array" ref="C381">IFERROR(_xlfn.XLOOKUP(B381, tblPeople[PersonID], tblPeople[PersonName], ""), "")</f>
        <v>Walter Kibet</v>
      </c>
      <c r="D381" s="15" t="s">
        <v>110</v>
      </c>
      <c r="E381" s="16" t="str">
        <f>IFERROR(_xlfn.XLOOKUP(D381, tblCourses[CourseID], tblCourses[CourseName], ""), "")</f>
        <v>Electrical Wiring Interconnection System Target Groups 1 &amp; 2 (Initial)</v>
      </c>
      <c r="F381" s="17">
        <v>45805</v>
      </c>
      <c r="G381" s="17" t="str" cm="1">
        <f t="array" ref="G3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1" s="15" t="str">
        <f ca="1">IF(OR(tblTraining[[#This Row],[Status]]="Renewed",tblTraining[[#This Row],[NextDueDate]]=""),"",tblTraining[[#This Row],[NextDueDate]]-TODAY())</f>
        <v/>
      </c>
      <c r="I381" s="15" t="str" cm="1">
        <f t="array" aca="1" ref="I3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2" spans="1:9" x14ac:dyDescent="0.25">
      <c r="A382" s="15">
        <f t="shared" si="5"/>
        <v>381</v>
      </c>
      <c r="B382" s="15" t="s">
        <v>95</v>
      </c>
      <c r="C382" s="15" t="str" cm="1">
        <f t="array" ref="C382">IFERROR(_xlfn.XLOOKUP(B382, tblPeople[PersonID], tblPeople[PersonName], ""), "")</f>
        <v>Walter Kibet</v>
      </c>
      <c r="D382" s="15" t="s">
        <v>109</v>
      </c>
      <c r="E382" s="16" t="str">
        <f>IFERROR(_xlfn.XLOOKUP(D382, tblCourses[CourseID], tblCourses[CourseName], ""), "")</f>
        <v>Electrical Wiring Interconnection System Target Groups 1 &amp; 2 (Refresher)</v>
      </c>
      <c r="F382" s="17">
        <v>45805</v>
      </c>
      <c r="G382" s="17" cm="1">
        <f t="array" ref="G3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382" s="15">
        <f ca="1">IF(OR(tblTraining[[#This Row],[Status]]="Renewed",tblTraining[[#This Row],[NextDueDate]]=""),"",tblTraining[[#This Row],[NextDueDate]]-TODAY())</f>
        <v>249</v>
      </c>
      <c r="I382" s="15" t="str" cm="1">
        <f t="array" aca="1" ref="I3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3" spans="1:9" x14ac:dyDescent="0.25">
      <c r="A383" s="15">
        <f t="shared" si="5"/>
        <v>382</v>
      </c>
      <c r="B383" s="15" t="s">
        <v>95</v>
      </c>
      <c r="C383" s="15" t="str" cm="1">
        <f t="array" ref="C383">IFERROR(_xlfn.XLOOKUP(B383, tblPeople[PersonID], tblPeople[PersonName], ""), "")</f>
        <v>Walter Kibet</v>
      </c>
      <c r="D383" s="15" t="s">
        <v>78</v>
      </c>
      <c r="E383" s="16" t="str">
        <f>IFERROR(_xlfn.XLOOKUP(D383, tblCourses[CourseID], tblCourses[CourseName], ""), "")</f>
        <v>DHC8 -100/-200/-300 Collins Wheels &amp; Brakes Familiarization Training (Initial)</v>
      </c>
      <c r="F383" s="17">
        <v>45637</v>
      </c>
      <c r="G383" s="17" t="str" cm="1">
        <f t="array" ref="G3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3" s="15" t="str">
        <f ca="1">IF(OR(tblTraining[[#This Row],[Status]]="Renewed",tblTraining[[#This Row],[NextDueDate]]=""),"",tblTraining[[#This Row],[NextDueDate]]-TODAY())</f>
        <v/>
      </c>
      <c r="I383" s="15" t="str" cm="1">
        <f t="array" aca="1" ref="I3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4" spans="1:9" x14ac:dyDescent="0.25">
      <c r="A384" s="15">
        <f t="shared" si="5"/>
        <v>383</v>
      </c>
      <c r="B384" s="15" t="s">
        <v>95</v>
      </c>
      <c r="C384" s="15" t="str" cm="1">
        <f t="array" ref="C384">IFERROR(_xlfn.XLOOKUP(B384, tblPeople[PersonID], tblPeople[PersonName], ""), "")</f>
        <v>Walter Kibet</v>
      </c>
      <c r="D384" s="15" t="s">
        <v>77</v>
      </c>
      <c r="E384" s="16" t="str">
        <f>IFERROR(_xlfn.XLOOKUP(D384, tblCourses[CourseID], tblCourses[CourseName], ""), "")</f>
        <v>DHC8 -100/-200/-300 Collins Wheels &amp; Brakes Familiarization Training (Refresher)</v>
      </c>
      <c r="F384" s="17">
        <v>45637</v>
      </c>
      <c r="G384" s="17" cm="1">
        <f t="array" ref="G3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84" s="15">
        <f ca="1">IF(OR(tblTraining[[#This Row],[Status]]="Renewed",tblTraining[[#This Row],[NextDueDate]]=""),"",tblTraining[[#This Row],[NextDueDate]]-TODAY())</f>
        <v>81</v>
      </c>
      <c r="I384" s="15" t="str" cm="1">
        <f t="array" aca="1" ref="I3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5" spans="1:9" x14ac:dyDescent="0.25">
      <c r="A385" s="15">
        <f t="shared" si="5"/>
        <v>384</v>
      </c>
      <c r="B385" s="15" t="s">
        <v>95</v>
      </c>
      <c r="C385" s="15" t="str" cm="1">
        <f t="array" ref="C385">IFERROR(_xlfn.XLOOKUP(B385, tblPeople[PersonID], tblPeople[PersonName], ""), "")</f>
        <v>Walter Kibet</v>
      </c>
      <c r="D385" s="15" t="s">
        <v>202</v>
      </c>
      <c r="E385" s="16" t="str">
        <f>IFERROR(_xlfn.XLOOKUP(D385, tblCourses[CourseID], tblCourses[CourseName], ""), "")</f>
        <v>Maintenance Procedures &amp; Standard Maintenance Practices (Refresher)</v>
      </c>
      <c r="F385" s="17">
        <v>45786</v>
      </c>
      <c r="G385" s="17" cm="1">
        <f t="array" ref="G3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46516</v>
      </c>
      <c r="H385" s="15">
        <f ca="1">IF(OR(tblTraining[[#This Row],[Status]]="Renewed",tblTraining[[#This Row],[NextDueDate]]=""),"",tblTraining[[#This Row],[NextDueDate]]-TODAY())</f>
        <v>230</v>
      </c>
      <c r="I385" s="15" t="str" cm="1">
        <f t="array" aca="1" ref="I3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6" spans="1:9" x14ac:dyDescent="0.25">
      <c r="A386" s="15">
        <f t="shared" si="5"/>
        <v>385</v>
      </c>
      <c r="B386" s="15" t="s">
        <v>95</v>
      </c>
      <c r="C386" s="15" t="str" cm="1">
        <f t="array" ref="C386">IFERROR(_xlfn.XLOOKUP(B386, tblPeople[PersonID], tblPeople[PersonName], ""), "")</f>
        <v>Walter Kibet</v>
      </c>
      <c r="D386" s="15" t="s">
        <v>29</v>
      </c>
      <c r="E386" s="16" t="str">
        <f>IFERROR(_xlfn.XLOOKUP(D386, tblCourses[CourseID], tblCourses[CourseName], ""), "")</f>
        <v>DHC-8 100/200/300 with PWC 120/120A/121/123B/C/D/E Series Engines(Initial)</v>
      </c>
      <c r="F386" s="17">
        <v>45737</v>
      </c>
      <c r="G386" s="17" t="str" cm="1">
        <f t="array" ref="G3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6" s="15" t="str">
        <f ca="1">IF(OR(tblTraining[[#This Row],[Status]]="Renewed",tblTraining[[#This Row],[NextDueDate]]=""),"",tblTraining[[#This Row],[NextDueDate]]-TODAY())</f>
        <v/>
      </c>
      <c r="I386" s="15" t="str" cm="1">
        <f t="array" aca="1" ref="I3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7" spans="1:9" x14ac:dyDescent="0.25">
      <c r="A387" s="15">
        <f t="shared" si="5"/>
        <v>386</v>
      </c>
      <c r="B387" s="15" t="s">
        <v>95</v>
      </c>
      <c r="C387" s="15" t="str" cm="1">
        <f t="array" ref="C387">IFERROR(_xlfn.XLOOKUP(B387, tblPeople[PersonID], tblPeople[PersonName], ""), "")</f>
        <v>Walter Kibet</v>
      </c>
      <c r="D387" s="15" t="s">
        <v>28</v>
      </c>
      <c r="E387" s="16" t="str">
        <f>IFERROR(_xlfn.XLOOKUP(D387, tblCourses[CourseID], tblCourses[CourseName], ""), "")</f>
        <v>DHC-8 100/200/300 with PWC 120/120A/121/123B/C/D/E Series Engines(Refresher)</v>
      </c>
      <c r="F387" s="17">
        <v>45737</v>
      </c>
      <c r="G387" s="17" cm="1">
        <f t="array" ref="G3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46467</v>
      </c>
      <c r="H387" s="15">
        <f ca="1">IF(OR(tblTraining[[#This Row],[Status]]="Renewed",tblTraining[[#This Row],[NextDueDate]]=""),"",tblTraining[[#This Row],[NextDueDate]]-TODAY())</f>
        <v>181</v>
      </c>
      <c r="I387" s="15" t="str" cm="1">
        <f t="array" aca="1" ref="I3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8" spans="1:9" x14ac:dyDescent="0.25">
      <c r="A388" s="15">
        <f t="shared" ref="A388:A451" si="6">A387+1</f>
        <v>387</v>
      </c>
      <c r="B388" s="15" t="s">
        <v>95</v>
      </c>
      <c r="C388" s="15" t="str" cm="1">
        <f t="array" ref="C388">IFERROR(_xlfn.XLOOKUP(B388, tblPeople[PersonID], tblPeople[PersonName], ""), "")</f>
        <v>Walter Kibet</v>
      </c>
      <c r="D388" s="15" t="s">
        <v>181</v>
      </c>
      <c r="E388" s="16" t="str">
        <f>IFERROR(_xlfn.XLOOKUP(D388, tblCourses[CourseID], tblCourses[CourseName], ""), "")</f>
        <v>Cessna 208 Series (Caravan) With P&amp;WC PT6A-114/ -114A/ -140 Engines (Initial)</v>
      </c>
      <c r="F388" s="17">
        <v>45709</v>
      </c>
      <c r="G388" s="17" t="str" cm="1">
        <f t="array" ref="G3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8" s="15" t="str">
        <f ca="1">IF(OR(tblTraining[[#This Row],[Status]]="Renewed",tblTraining[[#This Row],[NextDueDate]]=""),"",tblTraining[[#This Row],[NextDueDate]]-TODAY())</f>
        <v/>
      </c>
      <c r="I388" s="15" t="str" cm="1">
        <f t="array" aca="1" ref="I3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9" spans="1:9" x14ac:dyDescent="0.25">
      <c r="A389" s="15">
        <f t="shared" si="6"/>
        <v>388</v>
      </c>
      <c r="B389" s="15" t="s">
        <v>95</v>
      </c>
      <c r="C389" s="15" t="str" cm="1">
        <f t="array" ref="C389">IFERROR(_xlfn.XLOOKUP(B389, tblPeople[PersonID], tblPeople[PersonName], ""), "")</f>
        <v>Walter Kibet</v>
      </c>
      <c r="D389" s="15" t="s">
        <v>182</v>
      </c>
      <c r="E389" s="16" t="str">
        <f>IFERROR(_xlfn.XLOOKUP(D389, tblCourses[CourseID], tblCourses[CourseName], ""), "")</f>
        <v>Cessna 208 Series (Caravan) With P&amp;WC PT6A-114/ -114A/ -140 Engines (Refresher)</v>
      </c>
      <c r="F389" s="17">
        <v>45709</v>
      </c>
      <c r="G389" s="17" cm="1">
        <f t="array" ref="G3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46439</v>
      </c>
      <c r="H389" s="15">
        <f ca="1">IF(OR(tblTraining[[#This Row],[Status]]="Renewed",tblTraining[[#This Row],[NextDueDate]]=""),"",tblTraining[[#This Row],[NextDueDate]]-TODAY())</f>
        <v>153</v>
      </c>
      <c r="I389" s="15" t="str" cm="1">
        <f t="array" aca="1" ref="I3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0" spans="1:9" x14ac:dyDescent="0.25">
      <c r="A390" s="15">
        <f t="shared" si="6"/>
        <v>389</v>
      </c>
      <c r="B390" s="15" t="s">
        <v>95</v>
      </c>
      <c r="C390" s="15" t="str" cm="1">
        <f t="array" ref="C390">IFERROR(_xlfn.XLOOKUP(B390, tblPeople[PersonID], tblPeople[PersonName], ""), "")</f>
        <v>Walter Kibet</v>
      </c>
      <c r="D390" s="15" t="s">
        <v>32</v>
      </c>
      <c r="E390" s="16" t="str">
        <f>IFERROR(_xlfn.XLOOKUP(D390, tblCourses[CourseID], tblCourses[CourseName], ""), "")</f>
        <v>Dangerous Goods Regulations (CBTA 7.3) (Initial)</v>
      </c>
      <c r="F390" s="17">
        <v>45427</v>
      </c>
      <c r="G390" s="17" t="str" cm="1">
        <f t="array" ref="G3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0" s="15" t="str">
        <f ca="1">IF(OR(tblTraining[[#This Row],[Status]]="Renewed",tblTraining[[#This Row],[NextDueDate]]=""),"",tblTraining[[#This Row],[NextDueDate]]-TODAY())</f>
        <v/>
      </c>
      <c r="I390" s="15" t="str" cm="1">
        <f t="array" aca="1" ref="I3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1" spans="1:9" x14ac:dyDescent="0.25">
      <c r="A391" s="15">
        <f t="shared" si="6"/>
        <v>390</v>
      </c>
      <c r="B391" s="15" t="s">
        <v>95</v>
      </c>
      <c r="C391" s="15" t="str" cm="1">
        <f t="array" ref="C391">IFERROR(_xlfn.XLOOKUP(B391, tblPeople[PersonID], tblPeople[PersonName], ""), "")</f>
        <v>Walter Kibet</v>
      </c>
      <c r="D391" s="15" t="s">
        <v>30</v>
      </c>
      <c r="E391" s="16" t="str">
        <f>IFERROR(_xlfn.XLOOKUP(D391, tblCourses[CourseID], tblCourses[CourseName], ""), "")</f>
        <v>Dangerous Goods Regulations (CBTA 7.3) (Refresher)</v>
      </c>
      <c r="F391" s="17">
        <v>45427</v>
      </c>
      <c r="G391" s="17" t="str" cm="1">
        <f t="array" ref="G3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1" s="15" t="str">
        <f ca="1">IF(OR(tblTraining[[#This Row],[Status]]="Renewed",tblTraining[[#This Row],[NextDueDate]]=""),"",tblTraining[[#This Row],[NextDueDate]]-TODAY())</f>
        <v/>
      </c>
      <c r="I391" s="15" t="str" cm="1">
        <f t="array" aca="1" ref="I3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92" spans="1:9" x14ac:dyDescent="0.25">
      <c r="A392" s="15">
        <f t="shared" si="6"/>
        <v>391</v>
      </c>
      <c r="B392" s="15" t="s">
        <v>95</v>
      </c>
      <c r="C392" s="15" t="str" cm="1">
        <f t="array" ref="C392">IFERROR(_xlfn.XLOOKUP(B392, tblPeople[PersonID], tblPeople[PersonName], ""), "")</f>
        <v>Walter Kibet</v>
      </c>
      <c r="D392" s="15" t="s">
        <v>20</v>
      </c>
      <c r="E392" s="16" t="str">
        <f>IFERROR(_xlfn.XLOOKUP(D392, tblCourses[CourseID], tblCourses[CourseName], ""), "")</f>
        <v>Safety Management Systems (Initial)</v>
      </c>
      <c r="F392" s="17">
        <v>45379</v>
      </c>
      <c r="G392" s="17" t="str" cm="1">
        <f t="array" ref="G3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2" s="15" t="str">
        <f ca="1">IF(OR(tblTraining[[#This Row],[Status]]="Renewed",tblTraining[[#This Row],[NextDueDate]]=""),"",tblTraining[[#This Row],[NextDueDate]]-TODAY())</f>
        <v/>
      </c>
      <c r="I392" s="15" t="str" cm="1">
        <f t="array" aca="1" ref="I3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3" spans="1:9" x14ac:dyDescent="0.25">
      <c r="A393" s="15">
        <f t="shared" si="6"/>
        <v>392</v>
      </c>
      <c r="B393" s="15" t="s">
        <v>95</v>
      </c>
      <c r="C393" s="15" t="str" cm="1">
        <f t="array" ref="C393">IFERROR(_xlfn.XLOOKUP(B393, tblPeople[PersonID], tblPeople[PersonName], ""), "")</f>
        <v>Walter Kibet</v>
      </c>
      <c r="D393" s="15" t="s">
        <v>17</v>
      </c>
      <c r="E393" s="16" t="str">
        <f>IFERROR(_xlfn.XLOOKUP(D393, tblCourses[CourseID], tblCourses[CourseName], ""), "")</f>
        <v>Safety Management Systems (Refresher)</v>
      </c>
      <c r="F393" s="17">
        <v>45379</v>
      </c>
      <c r="G393" s="17" t="str" cm="1">
        <f t="array" ref="G3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3" s="15" t="str">
        <f ca="1">IF(OR(tblTraining[[#This Row],[Status]]="Renewed",tblTraining[[#This Row],[NextDueDate]]=""),"",tblTraining[[#This Row],[NextDueDate]]-TODAY())</f>
        <v/>
      </c>
      <c r="I393" s="15" t="str" cm="1">
        <f t="array" aca="1" ref="I3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94" spans="1:9" x14ac:dyDescent="0.25">
      <c r="A394" s="15">
        <f t="shared" si="6"/>
        <v>393</v>
      </c>
      <c r="B394" s="15" t="s">
        <v>95</v>
      </c>
      <c r="C394" s="15" t="str" cm="1">
        <f t="array" ref="C394">IFERROR(_xlfn.XLOOKUP(B394, tblPeople[PersonID], tblPeople[PersonName], ""), "")</f>
        <v>Walter Kibet</v>
      </c>
      <c r="D394" s="15" t="s">
        <v>179</v>
      </c>
      <c r="E394" s="16" t="str">
        <f>IFERROR(_xlfn.XLOOKUP(D394, tblCourses[CourseID], tblCourses[CourseName], ""), "")</f>
        <v>Aircraft Maintenance Engineers' Licence</v>
      </c>
      <c r="F394" s="17">
        <v>45624</v>
      </c>
      <c r="G394" s="17" cm="1">
        <f t="array" ref="G3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46354</v>
      </c>
      <c r="H394" s="15">
        <f ca="1">IF(OR(tblTraining[[#This Row],[Status]]="Renewed",tblTraining[[#This Row],[NextDueDate]]=""),"",tblTraining[[#This Row],[NextDueDate]]-TODAY())</f>
        <v>68</v>
      </c>
      <c r="I394" s="15" t="str" cm="1">
        <f t="array" aca="1" ref="I3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5" spans="1:9" x14ac:dyDescent="0.25">
      <c r="A395" s="15">
        <f t="shared" si="6"/>
        <v>394</v>
      </c>
      <c r="B395" s="15" t="s">
        <v>95</v>
      </c>
      <c r="C395" s="15" t="str" cm="1">
        <f t="array" ref="C395">IFERROR(_xlfn.XLOOKUP(B395, tblPeople[PersonID], tblPeople[PersonName], ""), "")</f>
        <v>Walter Kibet</v>
      </c>
      <c r="D395" s="15" t="s">
        <v>137</v>
      </c>
      <c r="E395" s="16" t="str">
        <f>IFERROR(_xlfn.XLOOKUP(D395, tblCourses[CourseID], tblCourses[CourseName], ""), "")</f>
        <v>GARMIN 1000 Avionics</v>
      </c>
      <c r="F395" s="17">
        <v>45805</v>
      </c>
      <c r="G395" s="17" t="str" cm="1">
        <f t="array" ref="G3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5" s="15" t="str">
        <f ca="1">IF(OR(tblTraining[[#This Row],[Status]]="Renewed",tblTraining[[#This Row],[NextDueDate]]=""),"",tblTraining[[#This Row],[NextDueDate]]-TODAY())</f>
        <v/>
      </c>
      <c r="I395" s="15" t="str" cm="1">
        <f t="array" aca="1" ref="I3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6" spans="1:9" x14ac:dyDescent="0.25">
      <c r="A396" s="15">
        <f t="shared" si="6"/>
        <v>395</v>
      </c>
      <c r="B396" s="15" t="s">
        <v>102</v>
      </c>
      <c r="C396" s="15" t="str" cm="1">
        <f t="array" ref="C396">IFERROR(_xlfn.XLOOKUP(B396, tblPeople[PersonID], tblPeople[PersonName], ""), "")</f>
        <v>William Mlati</v>
      </c>
      <c r="D396" s="15" t="s">
        <v>126</v>
      </c>
      <c r="E396" s="16" t="str">
        <f>IFERROR(_xlfn.XLOOKUP(D396, tblCourses[CourseID], tblCourses[CourseName], ""), "")</f>
        <v>Maintenance Indoctrination</v>
      </c>
      <c r="F396" s="17">
        <v>43444</v>
      </c>
      <c r="G396" s="17" t="str" cm="1">
        <f t="array" ref="G3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6" s="15" t="str">
        <f ca="1">IF(OR(tblTraining[[#This Row],[Status]]="Renewed",tblTraining[[#This Row],[NextDueDate]]=""),"",tblTraining[[#This Row],[NextDueDate]]-TODAY())</f>
        <v/>
      </c>
      <c r="I396" s="15" t="str" cm="1">
        <f t="array" aca="1" ref="I3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7" spans="1:9" x14ac:dyDescent="0.25">
      <c r="A397" s="15">
        <f t="shared" si="6"/>
        <v>396</v>
      </c>
      <c r="B397" s="15" t="s">
        <v>102</v>
      </c>
      <c r="C397" s="15" t="str" cm="1">
        <f t="array" ref="C397">IFERROR(_xlfn.XLOOKUP(B397, tblPeople[PersonID], tblPeople[PersonName], ""), "")</f>
        <v>William Mlati</v>
      </c>
      <c r="D397" s="15" t="s">
        <v>110</v>
      </c>
      <c r="E397" s="16" t="str">
        <f>IFERROR(_xlfn.XLOOKUP(D397, tblCourses[CourseID], tblCourses[CourseName], ""), "")</f>
        <v>Electrical Wiring Interconnection System Target Groups 1 &amp; 2 (Initial)</v>
      </c>
      <c r="F397" s="17">
        <v>45847</v>
      </c>
      <c r="G397" s="17" t="str" cm="1">
        <f t="array" ref="G3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7" s="15" t="str">
        <f ca="1">IF(OR(tblTraining[[#This Row],[Status]]="Renewed",tblTraining[[#This Row],[NextDueDate]]=""),"",tblTraining[[#This Row],[NextDueDate]]-TODAY())</f>
        <v/>
      </c>
      <c r="I397" s="15" t="str" cm="1">
        <f t="array" aca="1" ref="I3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8" spans="1:9" x14ac:dyDescent="0.25">
      <c r="A398" s="15">
        <f t="shared" si="6"/>
        <v>397</v>
      </c>
      <c r="B398" s="15" t="s">
        <v>102</v>
      </c>
      <c r="C398" s="15" t="str" cm="1">
        <f t="array" ref="C398">IFERROR(_xlfn.XLOOKUP(B398, tblPeople[PersonID], tblPeople[PersonName], ""), "")</f>
        <v>William Mlati</v>
      </c>
      <c r="D398" s="15" t="s">
        <v>109</v>
      </c>
      <c r="E398" s="16" t="str">
        <f>IFERROR(_xlfn.XLOOKUP(D398, tblCourses[CourseID], tblCourses[CourseName], ""), "")</f>
        <v>Electrical Wiring Interconnection System Target Groups 1 &amp; 2 (Refresher)</v>
      </c>
      <c r="F398" s="17">
        <v>45847</v>
      </c>
      <c r="G398" s="17" cm="1">
        <f t="array" ref="G3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46577</v>
      </c>
      <c r="H398" s="15">
        <f ca="1">IF(OR(tblTraining[[#This Row],[Status]]="Renewed",tblTraining[[#This Row],[NextDueDate]]=""),"",tblTraining[[#This Row],[NextDueDate]]-TODAY())</f>
        <v>291</v>
      </c>
      <c r="I398" s="15" t="str" cm="1">
        <f t="array" aca="1" ref="I3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9" spans="1:9" x14ac:dyDescent="0.25">
      <c r="A399" s="15">
        <f t="shared" si="6"/>
        <v>398</v>
      </c>
      <c r="B399" s="15" t="s">
        <v>102</v>
      </c>
      <c r="C399" s="15" t="str" cm="1">
        <f t="array" ref="C399">IFERROR(_xlfn.XLOOKUP(B399, tblPeople[PersonID], tblPeople[PersonName], ""), "")</f>
        <v>William Mlati</v>
      </c>
      <c r="D399" s="15" t="s">
        <v>224</v>
      </c>
      <c r="E399" s="16" t="str">
        <f>IFERROR(_xlfn.XLOOKUP(D399, tblCourses[CourseID], tblCourses[CourseName], ""), "")</f>
        <v>SOCATA TBM 700 Series (Initial)</v>
      </c>
      <c r="F399" s="17">
        <v>45733</v>
      </c>
      <c r="G399" s="17" t="str" cm="1">
        <f t="array" ref="G3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9" s="15" t="str">
        <f ca="1">IF(OR(tblTraining[[#This Row],[Status]]="Renewed",tblTraining[[#This Row],[NextDueDate]]=""),"",tblTraining[[#This Row],[NextDueDate]]-TODAY())</f>
        <v/>
      </c>
      <c r="I399" s="15" t="str" cm="1">
        <f t="array" aca="1" ref="I3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0" spans="1:9" x14ac:dyDescent="0.25">
      <c r="A400" s="15">
        <f t="shared" si="6"/>
        <v>399</v>
      </c>
      <c r="B400" s="15" t="s">
        <v>102</v>
      </c>
      <c r="C400" s="15" t="str" cm="1">
        <f t="array" ref="C400">IFERROR(_xlfn.XLOOKUP(B400, tblPeople[PersonID], tblPeople[PersonName], ""), "")</f>
        <v>William Mlati</v>
      </c>
      <c r="D400" s="15" t="s">
        <v>132</v>
      </c>
      <c r="E400" s="16" t="str">
        <f>IFERROR(_xlfn.XLOOKUP(D400, tblCourses[CourseID], tblCourses[CourseName], ""), "")</f>
        <v>Marshalling Techniques Course</v>
      </c>
      <c r="F400" s="17">
        <v>45470</v>
      </c>
      <c r="G400" s="17" t="str" cm="1">
        <f t="array" ref="G4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0" s="15" t="str">
        <f ca="1">IF(OR(tblTraining[[#This Row],[Status]]="Renewed",tblTraining[[#This Row],[NextDueDate]]=""),"",tblTraining[[#This Row],[NextDueDate]]-TODAY())</f>
        <v/>
      </c>
      <c r="I400" s="15" t="str" cm="1">
        <f t="array" aca="1" ref="I4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1" spans="1:9" x14ac:dyDescent="0.25">
      <c r="A401" s="15">
        <f t="shared" si="6"/>
        <v>400</v>
      </c>
      <c r="B401" s="15" t="s">
        <v>102</v>
      </c>
      <c r="C401" s="15" t="str" cm="1">
        <f t="array" ref="C401">IFERROR(_xlfn.XLOOKUP(B401, tblPeople[PersonID], tblPeople[PersonName], ""), "")</f>
        <v>William Mlati</v>
      </c>
      <c r="D401" s="15" t="s">
        <v>77</v>
      </c>
      <c r="E401" s="16" t="str">
        <f>IFERROR(_xlfn.XLOOKUP(D401, tblCourses[CourseID], tblCourses[CourseName], ""), "")</f>
        <v>DHC8 -100/-200/-300 Collins Wheels &amp; Brakes Familiarization Training (Refresher)</v>
      </c>
      <c r="F401" s="17">
        <v>45637</v>
      </c>
      <c r="G401" s="17" cm="1">
        <f t="array" ref="G4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401" s="15">
        <f ca="1">IF(OR(tblTraining[[#This Row],[Status]]="Renewed",tblTraining[[#This Row],[NextDueDate]]=""),"",tblTraining[[#This Row],[NextDueDate]]-TODAY())</f>
        <v>81</v>
      </c>
      <c r="I401" s="15" t="str" cm="1">
        <f t="array" aca="1" ref="I4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2" spans="1:9" x14ac:dyDescent="0.25">
      <c r="A402" s="15">
        <f t="shared" si="6"/>
        <v>401</v>
      </c>
      <c r="B402" s="15" t="s">
        <v>102</v>
      </c>
      <c r="C402" s="15" t="str" cm="1">
        <f t="array" ref="C402">IFERROR(_xlfn.XLOOKUP(B402, tblPeople[PersonID], tblPeople[PersonName], ""), "")</f>
        <v>William Mlati</v>
      </c>
      <c r="D402" s="15" t="s">
        <v>22</v>
      </c>
      <c r="E402" s="16" t="str">
        <f>IFERROR(_xlfn.XLOOKUP(D402, tblCourses[CourseID], tblCourses[CourseName], ""), "")</f>
        <v>Human Factors in Aviation (Refresher)</v>
      </c>
      <c r="F402" s="17">
        <v>45630</v>
      </c>
      <c r="G402" s="17" cm="1">
        <f t="array" ref="G4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46360</v>
      </c>
      <c r="H402" s="15">
        <f ca="1">IF(OR(tblTraining[[#This Row],[Status]]="Renewed",tblTraining[[#This Row],[NextDueDate]]=""),"",tblTraining[[#This Row],[NextDueDate]]-TODAY())</f>
        <v>74</v>
      </c>
      <c r="I402" s="15" t="str" cm="1">
        <f t="array" aca="1" ref="I4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3" spans="1:9" x14ac:dyDescent="0.25">
      <c r="A403" s="15">
        <f t="shared" si="6"/>
        <v>402</v>
      </c>
      <c r="B403" s="15" t="s">
        <v>102</v>
      </c>
      <c r="C403" s="15" t="str" cm="1">
        <f t="array" ref="C403">IFERROR(_xlfn.XLOOKUP(B403, tblPeople[PersonID], tblPeople[PersonName], ""), "")</f>
        <v>William Mlati</v>
      </c>
      <c r="D403" s="15" t="s">
        <v>28</v>
      </c>
      <c r="E403" s="16" t="str">
        <f>IFERROR(_xlfn.XLOOKUP(D403, tblCourses[CourseID], tblCourses[CourseName], ""), "")</f>
        <v>DHC-8 100/200/300 with PWC 120/120A/121/123B/C/D/E Series Engines(Refresher)</v>
      </c>
      <c r="F403" s="17">
        <v>45338</v>
      </c>
      <c r="G403" s="17" t="str" cm="1">
        <f t="array" ref="G4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3" s="15" t="str">
        <f ca="1">IF(OR(tblTraining[[#This Row],[Status]]="Renewed",tblTraining[[#This Row],[NextDueDate]]=""),"",tblTraining[[#This Row],[NextDueDate]]-TODAY())</f>
        <v/>
      </c>
      <c r="I403" s="15" t="str" cm="1">
        <f t="array" aca="1" ref="I4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4" spans="1:9" x14ac:dyDescent="0.25">
      <c r="A404" s="15">
        <f t="shared" si="6"/>
        <v>403</v>
      </c>
      <c r="B404" s="15" t="s">
        <v>102</v>
      </c>
      <c r="C404" s="15" t="str" cm="1">
        <f t="array" ref="C404">IFERROR(_xlfn.XLOOKUP(B404, tblPeople[PersonID], tblPeople[PersonName], ""), "")</f>
        <v>William Mlati</v>
      </c>
      <c r="D404" s="15" t="s">
        <v>182</v>
      </c>
      <c r="E404" s="16" t="str">
        <f>IFERROR(_xlfn.XLOOKUP(D404, tblCourses[CourseID], tblCourses[CourseName], ""), "")</f>
        <v>Cessna 208 Series (Caravan) With P&amp;WC PT6A-114/ -114A/ -140 Engines (Refresher)</v>
      </c>
      <c r="F404" s="17">
        <v>45343</v>
      </c>
      <c r="G404" s="17" t="str" cm="1">
        <f t="array" ref="G4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4" s="15" t="str">
        <f ca="1">IF(OR(tblTraining[[#This Row],[Status]]="Renewed",tblTraining[[#This Row],[NextDueDate]]=""),"",tblTraining[[#This Row],[NextDueDate]]-TODAY())</f>
        <v/>
      </c>
      <c r="I404" s="15" t="str" cm="1">
        <f t="array" aca="1" ref="I4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5" spans="1:9" x14ac:dyDescent="0.25">
      <c r="A405" s="15">
        <f t="shared" si="6"/>
        <v>404</v>
      </c>
      <c r="B405" s="15" t="s">
        <v>102</v>
      </c>
      <c r="C405" s="15" t="str" cm="1">
        <f t="array" ref="C405">IFERROR(_xlfn.XLOOKUP(B405, tblPeople[PersonID], tblPeople[PersonName], ""), "")</f>
        <v>William Mlati</v>
      </c>
      <c r="D405" s="15" t="s">
        <v>25</v>
      </c>
      <c r="E405" s="16" t="str">
        <f>IFERROR(_xlfn.XLOOKUP(D405, tblCourses[CourseID], tblCourses[CourseName], ""), "")</f>
        <v>Pratt &amp; Whitney Canada PT6A Engine With P&amp;WC PT6A
20/ 27/ 41/ 42/ 60A/ 67D/ 112/ 114A/ 140 (Refresher)</v>
      </c>
      <c r="F405" s="17">
        <v>45195</v>
      </c>
      <c r="G405" s="17" t="str" cm="1">
        <f t="array" ref="G4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5" s="15" t="str">
        <f ca="1">IF(OR(tblTraining[[#This Row],[Status]]="Renewed",tblTraining[[#This Row],[NextDueDate]]=""),"",tblTraining[[#This Row],[NextDueDate]]-TODAY())</f>
        <v/>
      </c>
      <c r="I405" s="15" t="str" cm="1">
        <f t="array" aca="1" ref="I4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6" spans="1:9" x14ac:dyDescent="0.25">
      <c r="A406" s="15">
        <f t="shared" si="6"/>
        <v>405</v>
      </c>
      <c r="B406" s="15" t="s">
        <v>102</v>
      </c>
      <c r="C406" s="15" t="str" cm="1">
        <f t="array" ref="C406">IFERROR(_xlfn.XLOOKUP(B406, tblPeople[PersonID], tblPeople[PersonName], ""), "")</f>
        <v>William Mlati</v>
      </c>
      <c r="D406" s="15" t="s">
        <v>191</v>
      </c>
      <c r="E406" s="16" t="str">
        <f>IFERROR(_xlfn.XLOOKUP(D406, tblCourses[CourseID], tblCourses[CourseName], ""), "")</f>
        <v>Borescope Fundamentals P&amp;WC PW100 Series</v>
      </c>
      <c r="F406" s="17">
        <v>43416</v>
      </c>
      <c r="G406" s="17" t="str" cm="1">
        <f t="array" ref="G4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6" s="15" t="str">
        <f ca="1">IF(OR(tblTraining[[#This Row],[Status]]="Renewed",tblTraining[[#This Row],[NextDueDate]]=""),"",tblTraining[[#This Row],[NextDueDate]]-TODAY())</f>
        <v/>
      </c>
      <c r="I406" s="15" t="str" cm="1">
        <f t="array" aca="1" ref="I4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7" spans="1:9" x14ac:dyDescent="0.25">
      <c r="A407" s="15">
        <f t="shared" si="6"/>
        <v>406</v>
      </c>
      <c r="B407" s="15" t="s">
        <v>102</v>
      </c>
      <c r="C407" s="15" t="str" cm="1">
        <f t="array" ref="C407">IFERROR(_xlfn.XLOOKUP(B407, tblPeople[PersonID], tblPeople[PersonName], ""), "")</f>
        <v>William Mlati</v>
      </c>
      <c r="D407" s="15" t="s">
        <v>75</v>
      </c>
      <c r="E407" s="16" t="str">
        <f>IFERROR(_xlfn.XLOOKUP(D407, tblCourses[CourseID], tblCourses[CourseName], ""), "")</f>
        <v>Fuel Tank Safety Phase 1 &amp; 2 Course (Refresher)</v>
      </c>
      <c r="F407" s="17">
        <v>45434</v>
      </c>
      <c r="G407" s="17" cm="1">
        <f t="array" ref="G4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46164</v>
      </c>
      <c r="H407" s="15">
        <f ca="1">IF(OR(tblTraining[[#This Row],[Status]]="Renewed",tblTraining[[#This Row],[NextDueDate]]=""),"",tblTraining[[#This Row],[NextDueDate]]-TODAY())</f>
        <v>-122</v>
      </c>
      <c r="I407" s="15" t="str" cm="1">
        <f t="array" aca="1" ref="I4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08" spans="1:9" x14ac:dyDescent="0.25">
      <c r="A408" s="15">
        <f t="shared" si="6"/>
        <v>407</v>
      </c>
      <c r="B408" s="15" t="s">
        <v>102</v>
      </c>
      <c r="C408" s="15" t="str" cm="1">
        <f t="array" ref="C408">IFERROR(_xlfn.XLOOKUP(B408, tblPeople[PersonID], tblPeople[PersonName], ""), "")</f>
        <v>William Mlati</v>
      </c>
      <c r="D408" s="15" t="s">
        <v>202</v>
      </c>
      <c r="E408" s="16" t="str">
        <f>IFERROR(_xlfn.XLOOKUP(D408, tblCourses[CourseID], tblCourses[CourseName], ""), "")</f>
        <v>Maintenance Procedures &amp; Standard Maintenance Practices (Refresher)</v>
      </c>
      <c r="F408" s="17">
        <v>45322</v>
      </c>
      <c r="G408" s="17" t="str" cm="1">
        <f t="array" ref="G4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8" s="15" t="str">
        <f ca="1">IF(OR(tblTraining[[#This Row],[Status]]="Renewed",tblTraining[[#This Row],[NextDueDate]]=""),"",tblTraining[[#This Row],[NextDueDate]]-TODAY())</f>
        <v/>
      </c>
      <c r="I408" s="15" t="str" cm="1">
        <f t="array" aca="1" ref="I4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9" spans="1:9" x14ac:dyDescent="0.25">
      <c r="A409" s="15">
        <f t="shared" si="6"/>
        <v>408</v>
      </c>
      <c r="B409" s="15" t="s">
        <v>102</v>
      </c>
      <c r="C409" s="15" t="str" cm="1">
        <f t="array" ref="C409">IFERROR(_xlfn.XLOOKUP(B409, tblPeople[PersonID], tblPeople[PersonName], ""), "")</f>
        <v>William Mlati</v>
      </c>
      <c r="D409" s="15" t="s">
        <v>190</v>
      </c>
      <c r="E409" s="16" t="str">
        <f>IFERROR(_xlfn.XLOOKUP(D409, tblCourses[CourseID], tblCourses[CourseName], ""), "")</f>
        <v>Borescope Training P&amp;WC PT6A Series</v>
      </c>
      <c r="F409" s="17">
        <v>40215</v>
      </c>
      <c r="G409" s="17" t="str" cm="1">
        <f t="array" ref="G4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9" s="15" t="str">
        <f ca="1">IF(OR(tblTraining[[#This Row],[Status]]="Renewed",tblTraining[[#This Row],[NextDueDate]]=""),"",tblTraining[[#This Row],[NextDueDate]]-TODAY())</f>
        <v/>
      </c>
      <c r="I409" s="15" t="str" cm="1">
        <f t="array" aca="1" ref="I4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0" spans="1:9" x14ac:dyDescent="0.25">
      <c r="A410" s="15">
        <f t="shared" si="6"/>
        <v>409</v>
      </c>
      <c r="B410" s="15" t="s">
        <v>102</v>
      </c>
      <c r="C410" s="15" t="str" cm="1">
        <f t="array" ref="C410">IFERROR(_xlfn.XLOOKUP(B410, tblPeople[PersonID], tblPeople[PersonName], ""), "")</f>
        <v>William Mlati</v>
      </c>
      <c r="D410" s="15" t="s">
        <v>17</v>
      </c>
      <c r="E410" s="16" t="str">
        <f>IFERROR(_xlfn.XLOOKUP(D410, tblCourses[CourseID], tblCourses[CourseName], ""), "")</f>
        <v>Safety Management Systems (Refresher)</v>
      </c>
      <c r="F410" s="17">
        <v>45750</v>
      </c>
      <c r="G410" s="17" cm="1">
        <f t="array" ref="G4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46480</v>
      </c>
      <c r="H410" s="15">
        <f ca="1">IF(OR(tblTraining[[#This Row],[Status]]="Renewed",tblTraining[[#This Row],[NextDueDate]]=""),"",tblTraining[[#This Row],[NextDueDate]]-TODAY())</f>
        <v>194</v>
      </c>
      <c r="I410" s="15" t="str" cm="1">
        <f t="array" aca="1" ref="I4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1" spans="1:9" x14ac:dyDescent="0.25">
      <c r="A411" s="15">
        <f t="shared" si="6"/>
        <v>410</v>
      </c>
      <c r="B411" s="15" t="s">
        <v>102</v>
      </c>
      <c r="C411" s="15" t="str" cm="1">
        <f t="array" ref="C411">IFERROR(_xlfn.XLOOKUP(B411, tblPeople[PersonID], tblPeople[PersonName], ""), "")</f>
        <v>William Mlati</v>
      </c>
      <c r="D411" s="15" t="s">
        <v>77</v>
      </c>
      <c r="E411" s="16" t="str">
        <f>IFERROR(_xlfn.XLOOKUP(D411, tblCourses[CourseID], tblCourses[CourseName], ""), "")</f>
        <v>DHC8 -100/-200/-300 Collins Wheels &amp; Brakes Familiarization Training (Refresher)</v>
      </c>
      <c r="F411" s="17">
        <v>44392</v>
      </c>
      <c r="G411" s="17" t="str" cm="1">
        <f t="array" ref="G4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1" s="15" t="str">
        <f ca="1">IF(OR(tblTraining[[#This Row],[Status]]="Renewed",tblTraining[[#This Row],[NextDueDate]]=""),"",tblTraining[[#This Row],[NextDueDate]]-TODAY())</f>
        <v/>
      </c>
      <c r="I411" s="15" t="str" cm="1">
        <f t="array" aca="1" ref="I4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2" spans="1:9" x14ac:dyDescent="0.25">
      <c r="A412" s="15">
        <f t="shared" si="6"/>
        <v>411</v>
      </c>
      <c r="B412" s="15" t="s">
        <v>102</v>
      </c>
      <c r="C412" s="15" t="str" cm="1">
        <f t="array" ref="C412">IFERROR(_xlfn.XLOOKUP(B412, tblPeople[PersonID], tblPeople[PersonName], ""), "")</f>
        <v>William Mlati</v>
      </c>
      <c r="D412" s="15" t="s">
        <v>179</v>
      </c>
      <c r="E412" s="16" t="str">
        <f>IFERROR(_xlfn.XLOOKUP(D412, tblCourses[CourseID], tblCourses[CourseName], ""), "")</f>
        <v>Aircraft Maintenance Engineers' Licence</v>
      </c>
      <c r="F412" s="17">
        <v>45292</v>
      </c>
      <c r="G412" s="17" t="str" cm="1">
        <f t="array" ref="G4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2" s="15" t="str">
        <f ca="1">IF(OR(tblTraining[[#This Row],[Status]]="Renewed",tblTraining[[#This Row],[NextDueDate]]=""),"",tblTraining[[#This Row],[NextDueDate]]-TODAY())</f>
        <v/>
      </c>
      <c r="I412" s="15" t="str" cm="1">
        <f t="array" aca="1" ref="I4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3" spans="1:9" x14ac:dyDescent="0.25">
      <c r="A413" s="15">
        <f t="shared" si="6"/>
        <v>412</v>
      </c>
      <c r="B413" s="15" t="s">
        <v>217</v>
      </c>
      <c r="C413" s="15" t="str" cm="1">
        <f t="array" ref="C413">IFERROR(_xlfn.XLOOKUP(B413, tblPeople[PersonID], tblPeople[PersonName], ""), "")</f>
        <v>Angeline Nthakyo</v>
      </c>
      <c r="D413" s="15" t="s">
        <v>20</v>
      </c>
      <c r="E413" s="16" t="str">
        <f>IFERROR(_xlfn.XLOOKUP(D413, tblCourses[CourseID], tblCourses[CourseName], ""), "")</f>
        <v>Safety Management Systems (Initial)</v>
      </c>
      <c r="F413" s="17">
        <v>45846</v>
      </c>
      <c r="G413" s="17" t="str" cm="1">
        <f t="array" ref="G4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3" s="15" t="str">
        <f ca="1">IF(OR(tblTraining[[#This Row],[Status]]="Renewed",tblTraining[[#This Row],[NextDueDate]]=""),"",tblTraining[[#This Row],[NextDueDate]]-TODAY())</f>
        <v/>
      </c>
      <c r="I413" s="15" t="str" cm="1">
        <f t="array" aca="1" ref="I4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4" spans="1:9" x14ac:dyDescent="0.25">
      <c r="A414" s="15">
        <f t="shared" si="6"/>
        <v>413</v>
      </c>
      <c r="B414" s="15" t="s">
        <v>217</v>
      </c>
      <c r="C414" s="15" t="str" cm="1">
        <f t="array" ref="C414">IFERROR(_xlfn.XLOOKUP(B414, tblPeople[PersonID], tblPeople[PersonName], ""), "")</f>
        <v>Angeline Nthakyo</v>
      </c>
      <c r="D414" s="15" t="s">
        <v>17</v>
      </c>
      <c r="E414" s="16" t="str">
        <f>IFERROR(_xlfn.XLOOKUP(D414, tblCourses[CourseID], tblCourses[CourseName], ""), "")</f>
        <v>Safety Management Systems (Refresher)</v>
      </c>
      <c r="F414" s="17">
        <v>45846</v>
      </c>
      <c r="G414" s="17" cm="1">
        <f t="array" ref="G4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414" s="15">
        <f ca="1">IF(OR(tblTraining[[#This Row],[Status]]="Renewed",tblTraining[[#This Row],[NextDueDate]]=""),"",tblTraining[[#This Row],[NextDueDate]]-TODAY())</f>
        <v>290</v>
      </c>
      <c r="I414" s="15" t="str" cm="1">
        <f t="array" aca="1" ref="I4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5" spans="1:9" x14ac:dyDescent="0.25">
      <c r="A415" s="15">
        <f t="shared" si="6"/>
        <v>414</v>
      </c>
      <c r="B415" s="15" t="s">
        <v>113</v>
      </c>
      <c r="C415" s="15" t="str" cm="1">
        <f t="array" ref="C415">IFERROR(_xlfn.XLOOKUP(B415, tblPeople[PersonID], tblPeople[PersonName], ""), "")</f>
        <v>Ann Mwangi</v>
      </c>
      <c r="D415" s="15" t="s">
        <v>126</v>
      </c>
      <c r="E415" s="16" t="str">
        <f>IFERROR(_xlfn.XLOOKUP(D415, tblCourses[CourseID], tblCourses[CourseName], ""), "")</f>
        <v>Maintenance Indoctrination</v>
      </c>
      <c r="F415" s="17">
        <v>43752</v>
      </c>
      <c r="G415" s="17" t="str" cm="1">
        <f t="array" ref="G4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5" s="15" t="str">
        <f ca="1">IF(OR(tblTraining[[#This Row],[Status]]="Renewed",tblTraining[[#This Row],[NextDueDate]]=""),"",tblTraining[[#This Row],[NextDueDate]]-TODAY())</f>
        <v/>
      </c>
      <c r="I415" s="15" t="str" cm="1">
        <f t="array" aca="1" ref="I4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6" spans="1:9" x14ac:dyDescent="0.25">
      <c r="A416" s="15">
        <f t="shared" si="6"/>
        <v>415</v>
      </c>
      <c r="B416" s="15" t="s">
        <v>113</v>
      </c>
      <c r="C416" s="15" t="str" cm="1">
        <f t="array" ref="C416">IFERROR(_xlfn.XLOOKUP(B416, tblPeople[PersonID], tblPeople[PersonName], ""), "")</f>
        <v>Ann Mwangi</v>
      </c>
      <c r="D416" s="15" t="s">
        <v>227</v>
      </c>
      <c r="E416" s="16" t="str">
        <f>IFERROR(_xlfn.XLOOKUP(D416, tblCourses[CourseID], tblCourses[CourseName], ""), "")</f>
        <v>Core Instructional Technique (Initial)</v>
      </c>
      <c r="F416" s="17">
        <v>45637</v>
      </c>
      <c r="G416" s="17" t="str" cm="1">
        <f t="array" ref="G4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6" s="15" t="str">
        <f ca="1">IF(OR(tblTraining[[#This Row],[Status]]="Renewed",tblTraining[[#This Row],[NextDueDate]]=""),"",tblTraining[[#This Row],[NextDueDate]]-TODAY())</f>
        <v/>
      </c>
      <c r="I416" s="15" t="str" cm="1">
        <f t="array" aca="1" ref="I4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7" spans="1:9" x14ac:dyDescent="0.25">
      <c r="A417" s="15">
        <f t="shared" si="6"/>
        <v>416</v>
      </c>
      <c r="B417" s="15" t="s">
        <v>113</v>
      </c>
      <c r="C417" s="15" t="str" cm="1">
        <f t="array" ref="C417">IFERROR(_xlfn.XLOOKUP(B417, tblPeople[PersonID], tblPeople[PersonName], ""), "")</f>
        <v>Ann Mwangi</v>
      </c>
      <c r="D417" s="15" t="s">
        <v>32</v>
      </c>
      <c r="E417" s="16" t="str">
        <f>IFERROR(_xlfn.XLOOKUP(D417, tblCourses[CourseID], tblCourses[CourseName], ""), "")</f>
        <v>Dangerous Goods Regulations (CBTA 7.3) (Initial)</v>
      </c>
      <c r="F417" s="17">
        <v>45008</v>
      </c>
      <c r="G417" s="17" t="str" cm="1">
        <f t="array" ref="G4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7" s="15" t="str">
        <f ca="1">IF(OR(tblTraining[[#This Row],[Status]]="Renewed",tblTraining[[#This Row],[NextDueDate]]=""),"",tblTraining[[#This Row],[NextDueDate]]-TODAY())</f>
        <v/>
      </c>
      <c r="I417" s="15" t="str" cm="1">
        <f t="array" aca="1" ref="I4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8" spans="1:9" x14ac:dyDescent="0.25">
      <c r="A418" s="15">
        <f t="shared" si="6"/>
        <v>417</v>
      </c>
      <c r="B418" s="15" t="s">
        <v>113</v>
      </c>
      <c r="C418" s="15" t="str" cm="1">
        <f t="array" ref="C418">IFERROR(_xlfn.XLOOKUP(B418, tblPeople[PersonID], tblPeople[PersonName], ""), "")</f>
        <v>Ann Mwangi</v>
      </c>
      <c r="D418" s="15" t="s">
        <v>30</v>
      </c>
      <c r="E418" s="16" t="str">
        <f>IFERROR(_xlfn.XLOOKUP(D418, tblCourses[CourseID], tblCourses[CourseName], ""), "")</f>
        <v>Dangerous Goods Regulations (CBTA 7.3) (Refresher)</v>
      </c>
      <c r="F418" s="17">
        <v>45008</v>
      </c>
      <c r="G418" s="17" t="str" cm="1">
        <f t="array" ref="G4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8" s="15" t="str">
        <f ca="1">IF(OR(tblTraining[[#This Row],[Status]]="Renewed",tblTraining[[#This Row],[NextDueDate]]=""),"",tblTraining[[#This Row],[NextDueDate]]-TODAY())</f>
        <v/>
      </c>
      <c r="I418" s="15" t="str" cm="1">
        <f t="array" aca="1" ref="I4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9" spans="1:9" x14ac:dyDescent="0.25">
      <c r="A419" s="15">
        <f t="shared" si="6"/>
        <v>418</v>
      </c>
      <c r="B419" s="15" t="s">
        <v>113</v>
      </c>
      <c r="C419" s="15" t="str" cm="1">
        <f t="array" ref="C419">IFERROR(_xlfn.XLOOKUP(B419, tblPeople[PersonID], tblPeople[PersonName], ""), "")</f>
        <v>Ann Mwangi</v>
      </c>
      <c r="D419" s="15" t="s">
        <v>17</v>
      </c>
      <c r="E419" s="16" t="str">
        <f>IFERROR(_xlfn.XLOOKUP(D419, tblCourses[CourseID], tblCourses[CourseName], ""), "")</f>
        <v>Safety Management Systems (Refresher)</v>
      </c>
      <c r="F419" s="17">
        <v>44915</v>
      </c>
      <c r="G419" s="17" t="str" cm="1">
        <f t="array" ref="G4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9" s="15" t="str">
        <f ca="1">IF(OR(tblTraining[[#This Row],[Status]]="Renewed",tblTraining[[#This Row],[NextDueDate]]=""),"",tblTraining[[#This Row],[NextDueDate]]-TODAY())</f>
        <v/>
      </c>
      <c r="I419" s="15" t="str" cm="1">
        <f t="array" aca="1" ref="I4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20" spans="1:9" x14ac:dyDescent="0.25">
      <c r="A420" s="15">
        <f t="shared" si="6"/>
        <v>419</v>
      </c>
      <c r="B420" s="15" t="s">
        <v>113</v>
      </c>
      <c r="C420" s="15" t="str" cm="1">
        <f t="array" ref="C420">IFERROR(_xlfn.XLOOKUP(B420, tblPeople[PersonID], tblPeople[PersonName], ""), "")</f>
        <v>Ann Mwangi</v>
      </c>
      <c r="D420" s="15" t="s">
        <v>22</v>
      </c>
      <c r="E420" s="16" t="str">
        <f>IFERROR(_xlfn.XLOOKUP(D420, tblCourses[CourseID], tblCourses[CourseName], ""), "")</f>
        <v>Human Factors in Aviation (Refresher)</v>
      </c>
      <c r="F420" s="17">
        <v>44915</v>
      </c>
      <c r="G420" s="17" t="str" cm="1">
        <f t="array" ref="G4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0" s="15" t="str">
        <f ca="1">IF(OR(tblTraining[[#This Row],[Status]]="Renewed",tblTraining[[#This Row],[NextDueDate]]=""),"",tblTraining[[#This Row],[NextDueDate]]-TODAY())</f>
        <v/>
      </c>
      <c r="I420" s="15" t="str" cm="1">
        <f t="array" aca="1" ref="I4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21" spans="1:9" x14ac:dyDescent="0.25">
      <c r="A421" s="15">
        <f t="shared" si="6"/>
        <v>420</v>
      </c>
      <c r="B421" s="15" t="s">
        <v>113</v>
      </c>
      <c r="C421" s="15" t="str" cm="1">
        <f t="array" ref="C421">IFERROR(_xlfn.XLOOKUP(B421, tblPeople[PersonID], tblPeople[PersonName], ""), "")</f>
        <v>Ann Mwangi</v>
      </c>
      <c r="D421" s="15" t="s">
        <v>169</v>
      </c>
      <c r="E421" s="16" t="str">
        <f>IFERROR(_xlfn.XLOOKUP(D421, tblCourses[CourseID], tblCourses[CourseName], ""), "")</f>
        <v xml:space="preserve">Aircraft Reliability </v>
      </c>
      <c r="F421" s="17">
        <v>44545</v>
      </c>
      <c r="G421" s="17" t="str" cm="1">
        <f t="array" ref="G4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1" s="15" t="str">
        <f ca="1">IF(OR(tblTraining[[#This Row],[Status]]="Renewed",tblTraining[[#This Row],[NextDueDate]]=""),"",tblTraining[[#This Row],[NextDueDate]]-TODAY())</f>
        <v/>
      </c>
      <c r="I421" s="15" t="str" cm="1">
        <f t="array" aca="1" ref="I4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2" spans="1:9" x14ac:dyDescent="0.25">
      <c r="A422" s="15">
        <f t="shared" si="6"/>
        <v>421</v>
      </c>
      <c r="B422" s="15" t="s">
        <v>113</v>
      </c>
      <c r="C422" s="15" t="str" cm="1">
        <f t="array" ref="C422">IFERROR(_xlfn.XLOOKUP(B422, tblPeople[PersonID], tblPeople[PersonName], ""), "")</f>
        <v>Ann Mwangi</v>
      </c>
      <c r="D422" s="15" t="s">
        <v>17</v>
      </c>
      <c r="E422" s="16" t="str">
        <f>IFERROR(_xlfn.XLOOKUP(D422, tblCourses[CourseID], tblCourses[CourseName], ""), "")</f>
        <v>Safety Management Systems (Refresher)</v>
      </c>
      <c r="F422" s="17">
        <v>45343</v>
      </c>
      <c r="G422" s="17" cm="1">
        <f t="array" ref="G4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46074</v>
      </c>
      <c r="H422" s="15">
        <f ca="1">IF(OR(tblTraining[[#This Row],[Status]]="Renewed",tblTraining[[#This Row],[NextDueDate]]=""),"",tblTraining[[#This Row],[NextDueDate]]-TODAY())</f>
        <v>-212</v>
      </c>
      <c r="I422" s="15" t="str" cm="1">
        <f t="array" aca="1" ref="I4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23" spans="1:9" x14ac:dyDescent="0.25">
      <c r="A423" s="15">
        <f t="shared" si="6"/>
        <v>422</v>
      </c>
      <c r="B423" s="15" t="s">
        <v>113</v>
      </c>
      <c r="C423" s="15" t="str" cm="1">
        <f t="array" ref="C423">IFERROR(_xlfn.XLOOKUP(B423, tblPeople[PersonID], tblPeople[PersonName], ""), "")</f>
        <v>Ann Mwangi</v>
      </c>
      <c r="D423" s="15" t="s">
        <v>30</v>
      </c>
      <c r="E423" s="16" t="str">
        <f>IFERROR(_xlfn.XLOOKUP(D423, tblCourses[CourseID], tblCourses[CourseName], ""), "")</f>
        <v>Dangerous Goods Regulations (CBTA 7.3) (Refresher)</v>
      </c>
      <c r="F423" s="17">
        <v>45887</v>
      </c>
      <c r="G423" s="17" cm="1">
        <f t="array" ref="G4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46617</v>
      </c>
      <c r="H423" s="15">
        <f ca="1">IF(OR(tblTraining[[#This Row],[Status]]="Renewed",tblTraining[[#This Row],[NextDueDate]]=""),"",tblTraining[[#This Row],[NextDueDate]]-TODAY())</f>
        <v>331</v>
      </c>
      <c r="I423" s="15" t="str" cm="1">
        <f t="array" aca="1" ref="I4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4" spans="1:9" x14ac:dyDescent="0.25">
      <c r="A424" s="15">
        <f t="shared" si="6"/>
        <v>423</v>
      </c>
      <c r="B424" s="15" t="s">
        <v>113</v>
      </c>
      <c r="C424" s="15" t="str" cm="1">
        <f t="array" ref="C424">IFERROR(_xlfn.XLOOKUP(B424, tblPeople[PersonID], tblPeople[PersonName], ""), "")</f>
        <v>Ann Mwangi</v>
      </c>
      <c r="D424" s="15" t="s">
        <v>22</v>
      </c>
      <c r="E424" s="16" t="str">
        <f>IFERROR(_xlfn.XLOOKUP(D424, tblCourses[CourseID], tblCourses[CourseName], ""), "")</f>
        <v>Human Factors in Aviation (Refresher)</v>
      </c>
      <c r="F424" s="17">
        <v>45917</v>
      </c>
      <c r="G424" s="17" cm="1">
        <f t="array" ref="G4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46647</v>
      </c>
      <c r="H424" s="15">
        <f ca="1">IF(OR(tblTraining[[#This Row],[Status]]="Renewed",tblTraining[[#This Row],[NextDueDate]]=""),"",tblTraining[[#This Row],[NextDueDate]]-TODAY())</f>
        <v>361</v>
      </c>
      <c r="I424" s="15" t="str" cm="1">
        <f t="array" aca="1" ref="I4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5" spans="1:9" x14ac:dyDescent="0.25">
      <c r="A425" s="15">
        <f t="shared" si="6"/>
        <v>424</v>
      </c>
      <c r="B425" s="15" t="s">
        <v>99</v>
      </c>
      <c r="C425" s="15" t="str" cm="1">
        <f t="array" ref="C425">IFERROR(_xlfn.XLOOKUP(B425, tblPeople[PersonID], tblPeople[PersonName], ""), "")</f>
        <v>Bernard Kibiwott</v>
      </c>
      <c r="D425" s="15" t="s">
        <v>126</v>
      </c>
      <c r="E425" s="16" t="str">
        <f>IFERROR(_xlfn.XLOOKUP(D425, tblCourses[CourseID], tblCourses[CourseName], ""), "")</f>
        <v>Maintenance Indoctrination</v>
      </c>
      <c r="F425" s="17">
        <v>44382</v>
      </c>
      <c r="G425" s="17" t="str" cm="1">
        <f t="array" ref="G4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5" s="15" t="str">
        <f ca="1">IF(OR(tblTraining[[#This Row],[Status]]="Renewed",tblTraining[[#This Row],[NextDueDate]]=""),"",tblTraining[[#This Row],[NextDueDate]]-TODAY())</f>
        <v/>
      </c>
      <c r="I425" s="15" t="str" cm="1">
        <f t="array" aca="1" ref="I4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6" spans="1:9" x14ac:dyDescent="0.25">
      <c r="A426" s="15">
        <f t="shared" si="6"/>
        <v>425</v>
      </c>
      <c r="B426" s="15" t="s">
        <v>99</v>
      </c>
      <c r="C426" s="15" t="str" cm="1">
        <f t="array" ref="C426">IFERROR(_xlfn.XLOOKUP(B426, tblPeople[PersonID], tblPeople[PersonName], ""), "")</f>
        <v>Bernard Kibiwott</v>
      </c>
      <c r="D426" s="15" t="s">
        <v>17</v>
      </c>
      <c r="E426" s="16" t="str">
        <f>IFERROR(_xlfn.XLOOKUP(D426, tblCourses[CourseID], tblCourses[CourseName], ""), "")</f>
        <v>Safety Management Systems (Refresher)</v>
      </c>
      <c r="F426" s="17">
        <v>45590</v>
      </c>
      <c r="G426" s="17" cm="1">
        <f t="array" ref="G4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426" s="15">
        <f ca="1">IF(OR(tblTraining[[#This Row],[Status]]="Renewed",tblTraining[[#This Row],[NextDueDate]]=""),"",tblTraining[[#This Row],[NextDueDate]]-TODAY())</f>
        <v>34</v>
      </c>
      <c r="I426" s="15" t="str" cm="1">
        <f t="array" aca="1" ref="I4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427" spans="1:9" x14ac:dyDescent="0.25">
      <c r="A427" s="15">
        <f t="shared" si="6"/>
        <v>426</v>
      </c>
      <c r="B427" s="15" t="s">
        <v>99</v>
      </c>
      <c r="C427" s="15" t="str" cm="1">
        <f t="array" ref="C427">IFERROR(_xlfn.XLOOKUP(B427, tblPeople[PersonID], tblPeople[PersonName], ""), "")</f>
        <v>Bernard Kibiwott</v>
      </c>
      <c r="D427" s="15" t="s">
        <v>20</v>
      </c>
      <c r="E427" s="16" t="str">
        <f>IFERROR(_xlfn.XLOOKUP(D427, tblCourses[CourseID], tblCourses[CourseName], ""), "")</f>
        <v>Safety Management Systems (Initial)</v>
      </c>
      <c r="F427" s="17">
        <v>44853</v>
      </c>
      <c r="G427" s="17" t="str" cm="1">
        <f t="array" ref="G4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7" s="15" t="str">
        <f ca="1">IF(OR(tblTraining[[#This Row],[Status]]="Renewed",tblTraining[[#This Row],[NextDueDate]]=""),"",tblTraining[[#This Row],[NextDueDate]]-TODAY())</f>
        <v/>
      </c>
      <c r="I427" s="15" t="str" cm="1">
        <f t="array" aca="1" ref="I4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8" spans="1:9" x14ac:dyDescent="0.25">
      <c r="A428" s="15">
        <f t="shared" si="6"/>
        <v>427</v>
      </c>
      <c r="B428" s="15" t="s">
        <v>99</v>
      </c>
      <c r="C428" s="15" t="str" cm="1">
        <f t="array" ref="C428">IFERROR(_xlfn.XLOOKUP(B428, tblPeople[PersonID], tblPeople[PersonName], ""), "")</f>
        <v>Bernard Kibiwott</v>
      </c>
      <c r="D428" s="15" t="s">
        <v>132</v>
      </c>
      <c r="E428" s="16" t="str">
        <f>IFERROR(_xlfn.XLOOKUP(D428, tblCourses[CourseID], tblCourses[CourseName], ""), "")</f>
        <v>Marshalling Techniques Course</v>
      </c>
      <c r="F428" s="17">
        <v>42167</v>
      </c>
      <c r="G428" s="17" t="str" cm="1">
        <f t="array" ref="G4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8" s="15" t="str">
        <f ca="1">IF(OR(tblTraining[[#This Row],[Status]]="Renewed",tblTraining[[#This Row],[NextDueDate]]=""),"",tblTraining[[#This Row],[NextDueDate]]-TODAY())</f>
        <v/>
      </c>
      <c r="I428" s="15" t="str" cm="1">
        <f t="array" aca="1" ref="I4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9" spans="1:9" x14ac:dyDescent="0.25">
      <c r="A429" s="15">
        <f t="shared" si="6"/>
        <v>428</v>
      </c>
      <c r="B429" s="15" t="s">
        <v>99</v>
      </c>
      <c r="C429" s="15" t="str" cm="1">
        <f t="array" ref="C429">IFERROR(_xlfn.XLOOKUP(B429, tblPeople[PersonID], tblPeople[PersonName], ""), "")</f>
        <v>Bernard Kibiwott</v>
      </c>
      <c r="D429" s="15" t="s">
        <v>24</v>
      </c>
      <c r="E429" s="16" t="str">
        <f>IFERROR(_xlfn.XLOOKUP(D429, tblCourses[CourseID], tblCourses[CourseName], ""), "")</f>
        <v>Human Factors in Aviation (Initial)</v>
      </c>
      <c r="F429" s="17">
        <v>45894</v>
      </c>
      <c r="G429" s="17" t="str" cm="1">
        <f t="array" ref="G4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9" s="15" t="str">
        <f ca="1">IF(OR(tblTraining[[#This Row],[Status]]="Renewed",tblTraining[[#This Row],[NextDueDate]]=""),"",tblTraining[[#This Row],[NextDueDate]]-TODAY())</f>
        <v/>
      </c>
      <c r="I429" s="15" t="str" cm="1">
        <f t="array" aca="1" ref="I4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0" spans="1:9" x14ac:dyDescent="0.25">
      <c r="A430" s="15">
        <f t="shared" si="6"/>
        <v>429</v>
      </c>
      <c r="B430" s="15" t="s">
        <v>99</v>
      </c>
      <c r="C430" s="15" t="str" cm="1">
        <f t="array" ref="C430">IFERROR(_xlfn.XLOOKUP(B430, tblPeople[PersonID], tblPeople[PersonName], ""), "")</f>
        <v>Bernard Kibiwott</v>
      </c>
      <c r="D430" s="15" t="s">
        <v>22</v>
      </c>
      <c r="E430" s="16" t="str">
        <f>IFERROR(_xlfn.XLOOKUP(D430, tblCourses[CourseID], tblCourses[CourseName], ""), "")</f>
        <v>Human Factors in Aviation (Refresher)</v>
      </c>
      <c r="F430" s="17">
        <v>45894</v>
      </c>
      <c r="G430" s="17" cm="1">
        <f t="array" ref="G4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46624</v>
      </c>
      <c r="H430" s="15">
        <f ca="1">IF(OR(tblTraining[[#This Row],[Status]]="Renewed",tblTraining[[#This Row],[NextDueDate]]=""),"",tblTraining[[#This Row],[NextDueDate]]-TODAY())</f>
        <v>338</v>
      </c>
      <c r="I430" s="15" t="str" cm="1">
        <f t="array" aca="1" ref="I4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1" spans="1:9" x14ac:dyDescent="0.25">
      <c r="A431" s="15">
        <f t="shared" si="6"/>
        <v>430</v>
      </c>
      <c r="B431" s="15" t="s">
        <v>106</v>
      </c>
      <c r="C431" s="15" t="str" cm="1">
        <f t="array" ref="C431">IFERROR(_xlfn.XLOOKUP(B431, tblPeople[PersonID], tblPeople[PersonName], ""), "")</f>
        <v>James Mugo</v>
      </c>
      <c r="D431" s="15" t="s">
        <v>17</v>
      </c>
      <c r="E431" s="16" t="str">
        <f>IFERROR(_xlfn.XLOOKUP(D431, tblCourses[CourseID], tblCourses[CourseName], ""), "")</f>
        <v>Safety Management Systems (Refresher)</v>
      </c>
      <c r="F431" s="17">
        <v>45114</v>
      </c>
      <c r="G431" s="17" t="str" cm="1">
        <f t="array" ref="G4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1" s="15" t="str">
        <f ca="1">IF(OR(tblTraining[[#This Row],[Status]]="Renewed",tblTraining[[#This Row],[NextDueDate]]=""),"",tblTraining[[#This Row],[NextDueDate]]-TODAY())</f>
        <v/>
      </c>
      <c r="I431" s="15" t="str" cm="1">
        <f t="array" aca="1" ref="I4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32" spans="1:9" x14ac:dyDescent="0.25">
      <c r="A432" s="15">
        <f t="shared" si="6"/>
        <v>431</v>
      </c>
      <c r="B432" s="15" t="s">
        <v>106</v>
      </c>
      <c r="C432" s="15" t="str" cm="1">
        <f t="array" ref="C432">IFERROR(_xlfn.XLOOKUP(B432, tblPeople[PersonID], tblPeople[PersonName], ""), "")</f>
        <v>James Mugo</v>
      </c>
      <c r="D432" s="15" t="s">
        <v>17</v>
      </c>
      <c r="E432" s="16" t="str">
        <f>IFERROR(_xlfn.XLOOKUP(D432, tblCourses[CourseID], tblCourses[CourseName], ""), "")</f>
        <v>Safety Management Systems (Refresher)</v>
      </c>
      <c r="F432" s="17">
        <v>45895</v>
      </c>
      <c r="G432" s="17" cm="1">
        <f t="array" ref="G4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432" s="15">
        <f ca="1">IF(OR(tblTraining[[#This Row],[Status]]="Renewed",tblTraining[[#This Row],[NextDueDate]]=""),"",tblTraining[[#This Row],[NextDueDate]]-TODAY())</f>
        <v>339</v>
      </c>
      <c r="I432" s="15" t="str" cm="1">
        <f t="array" aca="1" ref="I4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3" spans="1:9" x14ac:dyDescent="0.25">
      <c r="A433" s="15">
        <f t="shared" si="6"/>
        <v>432</v>
      </c>
      <c r="B433" s="15" t="s">
        <v>216</v>
      </c>
      <c r="C433" s="15" t="str" cm="1">
        <f t="array" ref="C433">IFERROR(_xlfn.XLOOKUP(B433, tblPeople[PersonID], tblPeople[PersonName], ""), "")</f>
        <v>John Kihara</v>
      </c>
      <c r="D433" s="15" t="s">
        <v>20</v>
      </c>
      <c r="E433" s="16" t="str">
        <f>IFERROR(_xlfn.XLOOKUP(D433, tblCourses[CourseID], tblCourses[CourseName], ""), "")</f>
        <v>Safety Management Systems (Initial)</v>
      </c>
      <c r="F433" s="17">
        <v>45846</v>
      </c>
      <c r="G433" s="17" t="str" cm="1">
        <f t="array" ref="G4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3" s="15" t="str">
        <f ca="1">IF(OR(tblTraining[[#This Row],[Status]]="Renewed",tblTraining[[#This Row],[NextDueDate]]=""),"",tblTraining[[#This Row],[NextDueDate]]-TODAY())</f>
        <v/>
      </c>
      <c r="I433" s="15" t="str" cm="1">
        <f t="array" aca="1" ref="I4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4" spans="1:9" x14ac:dyDescent="0.25">
      <c r="A434" s="15">
        <f t="shared" si="6"/>
        <v>433</v>
      </c>
      <c r="B434" s="15" t="s">
        <v>216</v>
      </c>
      <c r="C434" s="15" t="str" cm="1">
        <f t="array" ref="C434">IFERROR(_xlfn.XLOOKUP(B434, tblPeople[PersonID], tblPeople[PersonName], ""), "")</f>
        <v>John Kihara</v>
      </c>
      <c r="D434" s="15" t="s">
        <v>17</v>
      </c>
      <c r="E434" s="16" t="str">
        <f>IFERROR(_xlfn.XLOOKUP(D434, tblCourses[CourseID], tblCourses[CourseName], ""), "")</f>
        <v>Safety Management Systems (Refresher)</v>
      </c>
      <c r="F434" s="17">
        <v>45846</v>
      </c>
      <c r="G434" s="17" cm="1">
        <f t="array" ref="G4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434" s="15">
        <f ca="1">IF(OR(tblTraining[[#This Row],[Status]]="Renewed",tblTraining[[#This Row],[NextDueDate]]=""),"",tblTraining[[#This Row],[NextDueDate]]-TODAY())</f>
        <v>290</v>
      </c>
      <c r="I434" s="15" t="str" cm="1">
        <f t="array" aca="1" ref="I4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5" spans="1:9" x14ac:dyDescent="0.25">
      <c r="A435" s="15">
        <f t="shared" si="6"/>
        <v>434</v>
      </c>
      <c r="B435" s="15" t="s">
        <v>100</v>
      </c>
      <c r="C435" s="15" t="str" cm="1">
        <f t="array" ref="C435">IFERROR(_xlfn.XLOOKUP(B435, tblPeople[PersonID], tblPeople[PersonName], ""), "")</f>
        <v>John Muriithi</v>
      </c>
      <c r="D435" s="15" t="s">
        <v>28</v>
      </c>
      <c r="E435" s="16" t="str">
        <f>IFERROR(_xlfn.XLOOKUP(D435, tblCourses[CourseID], tblCourses[CourseName], ""), "")</f>
        <v>DHC-8 100/200/300 with PWC 120/120A/121/123B/C/D/E Series Engines(Refresher)</v>
      </c>
      <c r="F435" s="17">
        <v>45737</v>
      </c>
      <c r="G435" s="17" cm="1">
        <f t="array" ref="G4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46467</v>
      </c>
      <c r="H435" s="15">
        <f ca="1">IF(OR(tblTraining[[#This Row],[Status]]="Renewed",tblTraining[[#This Row],[NextDueDate]]=""),"",tblTraining[[#This Row],[NextDueDate]]-TODAY())</f>
        <v>181</v>
      </c>
      <c r="I435" s="15" t="str" cm="1">
        <f t="array" aca="1" ref="I4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6" spans="1:9" x14ac:dyDescent="0.25">
      <c r="A436" s="15">
        <f t="shared" si="6"/>
        <v>435</v>
      </c>
      <c r="B436" s="15" t="s">
        <v>100</v>
      </c>
      <c r="C436" s="15" t="str" cm="1">
        <f t="array" ref="C436">IFERROR(_xlfn.XLOOKUP(B436, tblPeople[PersonID], tblPeople[PersonName], ""), "")</f>
        <v>John Muriithi</v>
      </c>
      <c r="D436" s="15" t="s">
        <v>126</v>
      </c>
      <c r="E436" s="16" t="str">
        <f>IFERROR(_xlfn.XLOOKUP(D436, tblCourses[CourseID], tblCourses[CourseName], ""), "")</f>
        <v>Maintenance Indoctrination</v>
      </c>
      <c r="F436" s="17">
        <v>43444</v>
      </c>
      <c r="G436" s="17" t="str" cm="1">
        <f t="array" ref="G4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6" s="15" t="str">
        <f ca="1">IF(OR(tblTraining[[#This Row],[Status]]="Renewed",tblTraining[[#This Row],[NextDueDate]]=""),"",tblTraining[[#This Row],[NextDueDate]]-TODAY())</f>
        <v/>
      </c>
      <c r="I436" s="15" t="str" cm="1">
        <f t="array" aca="1" ref="I4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7" spans="1:9" x14ac:dyDescent="0.25">
      <c r="A437" s="15">
        <f t="shared" si="6"/>
        <v>436</v>
      </c>
      <c r="B437" s="15" t="s">
        <v>100</v>
      </c>
      <c r="C437" s="15" t="str" cm="1">
        <f t="array" ref="C437">IFERROR(_xlfn.XLOOKUP(B437, tblPeople[PersonID], tblPeople[PersonName], ""), "")</f>
        <v>John Muriithi</v>
      </c>
      <c r="D437" s="15" t="s">
        <v>179</v>
      </c>
      <c r="E437" s="16" t="str">
        <f>IFERROR(_xlfn.XLOOKUP(D437, tblCourses[CourseID], tblCourses[CourseName], ""), "")</f>
        <v>Aircraft Maintenance Engineers' Licence</v>
      </c>
      <c r="F437" s="17">
        <v>45683</v>
      </c>
      <c r="G437" s="17" cm="1">
        <f t="array" ref="G4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46413</v>
      </c>
      <c r="H437" s="15">
        <f ca="1">IF(OR(tblTraining[[#This Row],[Status]]="Renewed",tblTraining[[#This Row],[NextDueDate]]=""),"",tblTraining[[#This Row],[NextDueDate]]-TODAY())</f>
        <v>127</v>
      </c>
      <c r="I437" s="15" t="str" cm="1">
        <f t="array" aca="1" ref="I4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8" spans="1:9" x14ac:dyDescent="0.25">
      <c r="A438" s="15">
        <f t="shared" si="6"/>
        <v>437</v>
      </c>
      <c r="B438" s="15" t="s">
        <v>100</v>
      </c>
      <c r="C438" s="15" t="str" cm="1">
        <f t="array" ref="C438">IFERROR(_xlfn.XLOOKUP(B438, tblPeople[PersonID], tblPeople[PersonName], ""), "")</f>
        <v>John Muriithi</v>
      </c>
      <c r="D438" s="15" t="s">
        <v>194</v>
      </c>
      <c r="E438" s="16" t="str">
        <f>IFERROR(_xlfn.XLOOKUP(D438, tblCourses[CourseID], tblCourses[CourseName], ""), "")</f>
        <v>Stock Receiving Inspection</v>
      </c>
      <c r="F438" s="17">
        <v>45086</v>
      </c>
      <c r="G438" s="17" t="str" cm="1">
        <f t="array" ref="G4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8" s="15" t="str">
        <f ca="1">IF(OR(tblTraining[[#This Row],[Status]]="Renewed",tblTraining[[#This Row],[NextDueDate]]=""),"",tblTraining[[#This Row],[NextDueDate]]-TODAY())</f>
        <v/>
      </c>
      <c r="I438" s="15" t="str" cm="1">
        <f t="array" aca="1" ref="I4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39" spans="1:9" x14ac:dyDescent="0.25">
      <c r="A439" s="15">
        <f t="shared" si="6"/>
        <v>438</v>
      </c>
      <c r="B439" s="15" t="s">
        <v>100</v>
      </c>
      <c r="C439" s="15" t="str" cm="1">
        <f t="array" ref="C439">IFERROR(_xlfn.XLOOKUP(B439, tblPeople[PersonID], tblPeople[PersonName], ""), "")</f>
        <v>John Muriithi</v>
      </c>
      <c r="D439" s="15" t="s">
        <v>202</v>
      </c>
      <c r="E439" s="16" t="str">
        <f>IFERROR(_xlfn.XLOOKUP(D439, tblCourses[CourseID], tblCourses[CourseName], ""), "")</f>
        <v>Maintenance Procedures &amp; Standard Maintenance Practices (Refresher)</v>
      </c>
      <c r="F439" s="17">
        <v>45328</v>
      </c>
      <c r="G439" s="17" t="str" cm="1">
        <f t="array" ref="G4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9" s="15" t="str">
        <f ca="1">IF(OR(tblTraining[[#This Row],[Status]]="Renewed",tblTraining[[#This Row],[NextDueDate]]=""),"",tblTraining[[#This Row],[NextDueDate]]-TODAY())</f>
        <v/>
      </c>
      <c r="I439" s="15" t="str" cm="1">
        <f t="array" aca="1" ref="I4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40" spans="1:9" x14ac:dyDescent="0.25">
      <c r="A440" s="15">
        <f t="shared" si="6"/>
        <v>439</v>
      </c>
      <c r="B440" s="15" t="s">
        <v>100</v>
      </c>
      <c r="C440" s="15" t="str" cm="1">
        <f t="array" ref="C440">IFERROR(_xlfn.XLOOKUP(B440, tblPeople[PersonID], tblPeople[PersonName], ""), "")</f>
        <v>John Muriithi</v>
      </c>
      <c r="D440" s="15" t="s">
        <v>124</v>
      </c>
      <c r="E440" s="16" t="str">
        <f>IFERROR(_xlfn.XLOOKUP(D440, tblCourses[CourseID], tblCourses[CourseName], ""), "")</f>
        <v>Aviation Security (Initial)</v>
      </c>
      <c r="F440" s="17">
        <v>45730</v>
      </c>
      <c r="G440" s="17" t="str" cm="1">
        <f t="array" ref="G4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0" s="15" t="str">
        <f ca="1">IF(OR(tblTraining[[#This Row],[Status]]="Renewed",tblTraining[[#This Row],[NextDueDate]]=""),"",tblTraining[[#This Row],[NextDueDate]]-TODAY())</f>
        <v/>
      </c>
      <c r="I440" s="15" t="str" cm="1">
        <f t="array" aca="1" ref="I4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1" spans="1:9" x14ac:dyDescent="0.25">
      <c r="A441" s="15">
        <f t="shared" si="6"/>
        <v>440</v>
      </c>
      <c r="B441" s="15" t="s">
        <v>100</v>
      </c>
      <c r="C441" s="15" t="str" cm="1">
        <f t="array" ref="C441">IFERROR(_xlfn.XLOOKUP(B441, tblPeople[PersonID], tblPeople[PersonName], ""), "")</f>
        <v>John Muriithi</v>
      </c>
      <c r="D441" s="15" t="s">
        <v>125</v>
      </c>
      <c r="E441" s="16" t="str">
        <f>IFERROR(_xlfn.XLOOKUP(D441, tblCourses[CourseID], tblCourses[CourseName], ""), "")</f>
        <v>Aviation Security (Refresher)</v>
      </c>
      <c r="F441" s="17">
        <v>45730</v>
      </c>
      <c r="G441" s="17" cm="1">
        <f t="array" ref="G4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441" s="15">
        <f ca="1">IF(OR(tblTraining[[#This Row],[Status]]="Renewed",tblTraining[[#This Row],[NextDueDate]]=""),"",tblTraining[[#This Row],[NextDueDate]]-TODAY())</f>
        <v>174</v>
      </c>
      <c r="I441" s="15" t="str" cm="1">
        <f t="array" aca="1" ref="I4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2" spans="1:9" x14ac:dyDescent="0.25">
      <c r="A442" s="15">
        <f t="shared" si="6"/>
        <v>441</v>
      </c>
      <c r="B442" s="15" t="s">
        <v>100</v>
      </c>
      <c r="C442" s="15" t="str" cm="1">
        <f t="array" ref="C442">IFERROR(_xlfn.XLOOKUP(B442, tblPeople[PersonID], tblPeople[PersonName], ""), "")</f>
        <v>John Muriithi</v>
      </c>
      <c r="D442" s="15" t="s">
        <v>110</v>
      </c>
      <c r="E442" s="16" t="str">
        <f>IFERROR(_xlfn.XLOOKUP(D442, tblCourses[CourseID], tblCourses[CourseName], ""), "")</f>
        <v>Electrical Wiring Interconnection System Target Groups 1 &amp; 2 (Initial)</v>
      </c>
      <c r="F442" s="17">
        <v>45811</v>
      </c>
      <c r="G442" s="17" t="str" cm="1">
        <f t="array" ref="G4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2" s="15" t="str">
        <f ca="1">IF(OR(tblTraining[[#This Row],[Status]]="Renewed",tblTraining[[#This Row],[NextDueDate]]=""),"",tblTraining[[#This Row],[NextDueDate]]-TODAY())</f>
        <v/>
      </c>
      <c r="I442" s="15" t="str" cm="1">
        <f t="array" aca="1" ref="I4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3" spans="1:9" x14ac:dyDescent="0.25">
      <c r="A443" s="15">
        <f t="shared" si="6"/>
        <v>442</v>
      </c>
      <c r="B443" s="15" t="s">
        <v>100</v>
      </c>
      <c r="C443" s="15" t="str" cm="1">
        <f t="array" ref="C443">IFERROR(_xlfn.XLOOKUP(B443, tblPeople[PersonID], tblPeople[PersonName], ""), "")</f>
        <v>John Muriithi</v>
      </c>
      <c r="D443" s="15" t="s">
        <v>109</v>
      </c>
      <c r="E443" s="16" t="str">
        <f>IFERROR(_xlfn.XLOOKUP(D443, tblCourses[CourseID], tblCourses[CourseName], ""), "")</f>
        <v>Electrical Wiring Interconnection System Target Groups 1 &amp; 2 (Refresher)</v>
      </c>
      <c r="F443" s="17">
        <v>45811</v>
      </c>
      <c r="G443" s="17" cm="1">
        <f t="array" ref="G4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46541</v>
      </c>
      <c r="H443" s="15">
        <f ca="1">IF(OR(tblTraining[[#This Row],[Status]]="Renewed",tblTraining[[#This Row],[NextDueDate]]=""),"",tblTraining[[#This Row],[NextDueDate]]-TODAY())</f>
        <v>255</v>
      </c>
      <c r="I443" s="15" t="str" cm="1">
        <f t="array" aca="1" ref="I4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4" spans="1:9" x14ac:dyDescent="0.25">
      <c r="A444" s="15">
        <f t="shared" si="6"/>
        <v>443</v>
      </c>
      <c r="B444" s="15" t="s">
        <v>100</v>
      </c>
      <c r="C444" s="15" t="str" cm="1">
        <f t="array" ref="C444">IFERROR(_xlfn.XLOOKUP(B444, tblPeople[PersonID], tblPeople[PersonName], ""), "")</f>
        <v>John Muriithi</v>
      </c>
      <c r="D444" s="15" t="s">
        <v>77</v>
      </c>
      <c r="E444" s="16" t="str">
        <f>IFERROR(_xlfn.XLOOKUP(D444, tblCourses[CourseID], tblCourses[CourseName], ""), "")</f>
        <v>DHC8 -100/-200/-300 Collins Wheels &amp; Brakes Familiarization Training (Refresher)</v>
      </c>
      <c r="F444" s="17">
        <v>45637</v>
      </c>
      <c r="G444" s="17" cm="1">
        <f t="array" ref="G4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444" s="15">
        <f ca="1">IF(OR(tblTraining[[#This Row],[Status]]="Renewed",tblTraining[[#This Row],[NextDueDate]]=""),"",tblTraining[[#This Row],[NextDueDate]]-TODAY())</f>
        <v>81</v>
      </c>
      <c r="I444" s="15" t="str" cm="1">
        <f t="array" aca="1" ref="I4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5" spans="1:9" x14ac:dyDescent="0.25">
      <c r="A445" s="15">
        <f t="shared" si="6"/>
        <v>444</v>
      </c>
      <c r="B445" s="15" t="s">
        <v>100</v>
      </c>
      <c r="C445" s="15" t="str" cm="1">
        <f t="array" ref="C445">IFERROR(_xlfn.XLOOKUP(B445, tblPeople[PersonID], tblPeople[PersonName], ""), "")</f>
        <v>John Muriithi</v>
      </c>
      <c r="D445" s="15" t="s">
        <v>132</v>
      </c>
      <c r="E445" s="16" t="str">
        <f>IFERROR(_xlfn.XLOOKUP(D445, tblCourses[CourseID], tblCourses[CourseName], ""), "")</f>
        <v>Marshalling Techniques Course</v>
      </c>
      <c r="F445" s="17">
        <v>45475</v>
      </c>
      <c r="G445" s="17" t="str" cm="1">
        <f t="array" ref="G4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5" s="15" t="str">
        <f ca="1">IF(OR(tblTraining[[#This Row],[Status]]="Renewed",tblTraining[[#This Row],[NextDueDate]]=""),"",tblTraining[[#This Row],[NextDueDate]]-TODAY())</f>
        <v/>
      </c>
      <c r="I445" s="15" t="str" cm="1">
        <f t="array" aca="1" ref="I4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6" spans="1:9" x14ac:dyDescent="0.25">
      <c r="A446" s="15">
        <f t="shared" si="6"/>
        <v>445</v>
      </c>
      <c r="B446" s="15" t="s">
        <v>100</v>
      </c>
      <c r="C446" s="15" t="str" cm="1">
        <f t="array" ref="C446">IFERROR(_xlfn.XLOOKUP(B446, tblPeople[PersonID], tblPeople[PersonName], ""), "")</f>
        <v>John Muriithi</v>
      </c>
      <c r="D446" s="15" t="s">
        <v>22</v>
      </c>
      <c r="E446" s="16" t="str">
        <f>IFERROR(_xlfn.XLOOKUP(D446, tblCourses[CourseID], tblCourses[CourseName], ""), "")</f>
        <v>Human Factors in Aviation (Refresher)</v>
      </c>
      <c r="F446" s="17">
        <v>45854</v>
      </c>
      <c r="G446" s="17" cm="1">
        <f t="array" ref="G4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46584</v>
      </c>
      <c r="H446" s="15">
        <f ca="1">IF(OR(tblTraining[[#This Row],[Status]]="Renewed",tblTraining[[#This Row],[NextDueDate]]=""),"",tblTraining[[#This Row],[NextDueDate]]-TODAY())</f>
        <v>298</v>
      </c>
      <c r="I446" s="15" t="str" cm="1">
        <f t="array" aca="1" ref="I4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7" spans="1:9" x14ac:dyDescent="0.25">
      <c r="A447" s="15">
        <f t="shared" si="6"/>
        <v>446</v>
      </c>
      <c r="B447" s="15" t="s">
        <v>100</v>
      </c>
      <c r="C447" s="15" t="str" cm="1">
        <f t="array" ref="C447">IFERROR(_xlfn.XLOOKUP(B447, tblPeople[PersonID], tblPeople[PersonName], ""), "")</f>
        <v>John Muriithi</v>
      </c>
      <c r="D447" s="15" t="s">
        <v>181</v>
      </c>
      <c r="E447" s="16" t="str">
        <f>IFERROR(_xlfn.XLOOKUP(D447, tblCourses[CourseID], tblCourses[CourseName], ""), "")</f>
        <v>Cessna 208 Series (Caravan) With P&amp;WC PT6A-114/ -114A/ -140 Engines (Initial)</v>
      </c>
      <c r="F447" s="17">
        <v>45212</v>
      </c>
      <c r="G447" s="17" t="str" cm="1">
        <f t="array" ref="G4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7" s="15" t="str">
        <f ca="1">IF(OR(tblTraining[[#This Row],[Status]]="Renewed",tblTraining[[#This Row],[NextDueDate]]=""),"",tblTraining[[#This Row],[NextDueDate]]-TODAY())</f>
        <v/>
      </c>
      <c r="I447" s="15" t="str" cm="1">
        <f t="array" aca="1" ref="I4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8" spans="1:9" x14ac:dyDescent="0.25">
      <c r="A448" s="15">
        <f t="shared" si="6"/>
        <v>447</v>
      </c>
      <c r="B448" s="15" t="s">
        <v>100</v>
      </c>
      <c r="C448" s="15" t="str" cm="1">
        <f t="array" ref="C448">IFERROR(_xlfn.XLOOKUP(B448, tblPeople[PersonID], tblPeople[PersonName], ""), "")</f>
        <v>John Muriithi</v>
      </c>
      <c r="D448" s="15" t="s">
        <v>182</v>
      </c>
      <c r="E448" s="16" t="str">
        <f>IFERROR(_xlfn.XLOOKUP(D448, tblCourses[CourseID], tblCourses[CourseName], ""), "")</f>
        <v>Cessna 208 Series (Caravan) With P&amp;WC PT6A-114/ -114A/ -140 Engines (Refresher)</v>
      </c>
      <c r="F448" s="17">
        <v>45212</v>
      </c>
      <c r="G448" s="17" t="str" cm="1">
        <f t="array" ref="G4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8" s="15" t="str">
        <f ca="1">IF(OR(tblTraining[[#This Row],[Status]]="Renewed",tblTraining[[#This Row],[NextDueDate]]=""),"",tblTraining[[#This Row],[NextDueDate]]-TODAY())</f>
        <v/>
      </c>
      <c r="I448" s="15" t="str" cm="1">
        <f t="array" aca="1" ref="I4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49" spans="1:9" x14ac:dyDescent="0.25">
      <c r="A449" s="15">
        <f t="shared" si="6"/>
        <v>448</v>
      </c>
      <c r="B449" s="15" t="s">
        <v>100</v>
      </c>
      <c r="C449" s="15" t="str" cm="1">
        <f t="array" ref="C449">IFERROR(_xlfn.XLOOKUP(B449, tblPeople[PersonID], tblPeople[PersonName], ""), "")</f>
        <v>John Muriithi</v>
      </c>
      <c r="D449" s="15" t="s">
        <v>76</v>
      </c>
      <c r="E449" s="16" t="str">
        <f>IFERROR(_xlfn.XLOOKUP(D449, tblCourses[CourseID], tblCourses[CourseName], ""), "")</f>
        <v>Fuel Tank Safety Phase 1 &amp; 2 Course (Initial)</v>
      </c>
      <c r="F449" s="17">
        <v>45405</v>
      </c>
      <c r="G449" s="17" t="str" cm="1">
        <f t="array" ref="G4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9" s="15" t="str">
        <f ca="1">IF(OR(tblTraining[[#This Row],[Status]]="Renewed",tblTraining[[#This Row],[NextDueDate]]=""),"",tblTraining[[#This Row],[NextDueDate]]-TODAY())</f>
        <v/>
      </c>
      <c r="I449" s="15" t="str" cm="1">
        <f t="array" aca="1" ref="I4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0" spans="1:9" x14ac:dyDescent="0.25">
      <c r="A450" s="15">
        <f t="shared" si="6"/>
        <v>449</v>
      </c>
      <c r="B450" s="15" t="s">
        <v>100</v>
      </c>
      <c r="C450" s="15" t="str" cm="1">
        <f t="array" ref="C450">IFERROR(_xlfn.XLOOKUP(B450, tblPeople[PersonID], tblPeople[PersonName], ""), "")</f>
        <v>John Muriithi</v>
      </c>
      <c r="D450" s="15" t="s">
        <v>75</v>
      </c>
      <c r="E450" s="16" t="str">
        <f>IFERROR(_xlfn.XLOOKUP(D450, tblCourses[CourseID], tblCourses[CourseName], ""), "")</f>
        <v>Fuel Tank Safety Phase 1 &amp; 2 Course (Refresher)</v>
      </c>
      <c r="F450" s="17">
        <v>45405</v>
      </c>
      <c r="G450" s="17" t="str" cm="1">
        <f t="array" ref="G4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0" s="15" t="str">
        <f ca="1">IF(OR(tblTraining[[#This Row],[Status]]="Renewed",tblTraining[[#This Row],[NextDueDate]]=""),"",tblTraining[[#This Row],[NextDueDate]]-TODAY())</f>
        <v/>
      </c>
      <c r="I450" s="15" t="str" cm="1">
        <f t="array" aca="1" ref="I4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51" spans="1:9" x14ac:dyDescent="0.25">
      <c r="A451" s="15">
        <f t="shared" si="6"/>
        <v>450</v>
      </c>
      <c r="B451" s="15" t="s">
        <v>100</v>
      </c>
      <c r="C451" s="15" t="str" cm="1">
        <f t="array" ref="C451">IFERROR(_xlfn.XLOOKUP(B451, tblPeople[PersonID], tblPeople[PersonName], ""), "")</f>
        <v>John Muriithi</v>
      </c>
      <c r="D451" s="15" t="s">
        <v>30</v>
      </c>
      <c r="E451" s="16" t="str">
        <f>IFERROR(_xlfn.XLOOKUP(D451, tblCourses[CourseID], tblCourses[CourseName], ""), "")</f>
        <v>Dangerous Goods Regulations (CBTA 7.3) (Refresher)</v>
      </c>
      <c r="F451" s="17">
        <v>45726</v>
      </c>
      <c r="G451" s="17" cm="1">
        <f t="array" ref="G4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46456</v>
      </c>
      <c r="H451" s="15">
        <f ca="1">IF(OR(tblTraining[[#This Row],[Status]]="Renewed",tblTraining[[#This Row],[NextDueDate]]=""),"",tblTraining[[#This Row],[NextDueDate]]-TODAY())</f>
        <v>170</v>
      </c>
      <c r="I451" s="15" t="str" cm="1">
        <f t="array" aca="1" ref="I4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2" spans="1:9" x14ac:dyDescent="0.25">
      <c r="A452" s="15">
        <f t="shared" ref="A452:A515" si="7">A451+1</f>
        <v>451</v>
      </c>
      <c r="B452" s="15" t="s">
        <v>100</v>
      </c>
      <c r="C452" s="15" t="str" cm="1">
        <f t="array" ref="C452">IFERROR(_xlfn.XLOOKUP(B452, tblPeople[PersonID], tblPeople[PersonName], ""), "")</f>
        <v>John Muriithi</v>
      </c>
      <c r="D452" s="15" t="s">
        <v>17</v>
      </c>
      <c r="E452" s="16" t="str">
        <f>IFERROR(_xlfn.XLOOKUP(D452, tblCourses[CourseID], tblCourses[CourseName], ""), "")</f>
        <v>Safety Management Systems (Refresher)</v>
      </c>
      <c r="F452" s="17">
        <v>44990</v>
      </c>
      <c r="G452" s="17" t="str" cm="1">
        <f t="array" ref="G4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2" s="15" t="str">
        <f ca="1">IF(OR(tblTraining[[#This Row],[Status]]="Renewed",tblTraining[[#This Row],[NextDueDate]]=""),"",tblTraining[[#This Row],[NextDueDate]]-TODAY())</f>
        <v/>
      </c>
      <c r="I452" s="15" t="str" cm="1">
        <f t="array" aca="1" ref="I4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53" spans="1:9" x14ac:dyDescent="0.25">
      <c r="A453" s="15">
        <f t="shared" si="7"/>
        <v>452</v>
      </c>
      <c r="B453" s="15" t="s">
        <v>100</v>
      </c>
      <c r="C453" s="15" t="str" cm="1">
        <f t="array" ref="C453">IFERROR(_xlfn.XLOOKUP(B453, tblPeople[PersonID], tblPeople[PersonName], ""), "")</f>
        <v>John Muriithi</v>
      </c>
      <c r="D453" s="15" t="s">
        <v>137</v>
      </c>
      <c r="E453" s="16" t="str">
        <f>IFERROR(_xlfn.XLOOKUP(D453, tblCourses[CourseID], tblCourses[CourseName], ""), "")</f>
        <v>GARMIN 1000 Avionics</v>
      </c>
      <c r="F453" s="17">
        <v>41529</v>
      </c>
      <c r="G453" s="17" t="str" cm="1">
        <f t="array" ref="G4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3" s="15" t="str">
        <f ca="1">IF(OR(tblTraining[[#This Row],[Status]]="Renewed",tblTraining[[#This Row],[NextDueDate]]=""),"",tblTraining[[#This Row],[NextDueDate]]-TODAY())</f>
        <v/>
      </c>
      <c r="I453" s="15" t="str" cm="1">
        <f t="array" aca="1" ref="I4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4" spans="1:9" x14ac:dyDescent="0.25">
      <c r="A454" s="15">
        <f t="shared" si="7"/>
        <v>453</v>
      </c>
      <c r="B454" s="15" t="s">
        <v>100</v>
      </c>
      <c r="C454" s="15" t="str" cm="1">
        <f t="array" ref="C454">IFERROR(_xlfn.XLOOKUP(B454, tblPeople[PersonID], tblPeople[PersonName], ""), "")</f>
        <v>John Muriithi</v>
      </c>
      <c r="D454" s="15" t="s">
        <v>17</v>
      </c>
      <c r="E454" s="16" t="str">
        <f>IFERROR(_xlfn.XLOOKUP(D454, tblCourses[CourseID], tblCourses[CourseName], ""), "")</f>
        <v>Safety Management Systems (Refresher)</v>
      </c>
      <c r="F454" s="17">
        <v>45723</v>
      </c>
      <c r="G454" s="17" cm="1">
        <f t="array" ref="G4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454" s="15">
        <f ca="1">IF(OR(tblTraining[[#This Row],[Status]]="Renewed",tblTraining[[#This Row],[NextDueDate]]=""),"",tblTraining[[#This Row],[NextDueDate]]-TODAY())</f>
        <v>167</v>
      </c>
      <c r="I454" s="15" t="str" cm="1">
        <f t="array" aca="1" ref="I4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5" spans="1:9" x14ac:dyDescent="0.25">
      <c r="A455" s="15">
        <f t="shared" si="7"/>
        <v>454</v>
      </c>
      <c r="B455" s="15" t="s">
        <v>94</v>
      </c>
      <c r="C455" s="15" t="str" cm="1">
        <f t="array" ref="C455">IFERROR(_xlfn.XLOOKUP(B455, tblPeople[PersonID], tblPeople[PersonName], ""), "")</f>
        <v>Moses Musyoka</v>
      </c>
      <c r="D455" s="15" t="s">
        <v>78</v>
      </c>
      <c r="E455" s="16" t="str">
        <f>IFERROR(_xlfn.XLOOKUP(D455, tblCourses[CourseID], tblCourses[CourseName], ""), "")</f>
        <v>DHC8 -100/-200/-300 Collins Wheels &amp; Brakes Familiarization Training (Initial)</v>
      </c>
      <c r="F455" s="18">
        <v>45637</v>
      </c>
      <c r="G455" s="17" t="str" cm="1">
        <f t="array" ref="G4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5" s="15" t="str">
        <f ca="1">IF(OR(tblTraining[[#This Row],[Status]]="Renewed",tblTraining[[#This Row],[NextDueDate]]=""),"",tblTraining[[#This Row],[NextDueDate]]-TODAY())</f>
        <v/>
      </c>
      <c r="I455" s="15" t="str" cm="1">
        <f t="array" aca="1" ref="I4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6" spans="1:9" x14ac:dyDescent="0.25">
      <c r="A456" s="15">
        <f t="shared" si="7"/>
        <v>455</v>
      </c>
      <c r="B456" s="15" t="s">
        <v>94</v>
      </c>
      <c r="C456" s="15" t="str" cm="1">
        <f t="array" ref="C456">IFERROR(_xlfn.XLOOKUP(B456, tblPeople[PersonID], tblPeople[PersonName], ""), "")</f>
        <v>Moses Musyoka</v>
      </c>
      <c r="D456" s="15" t="s">
        <v>109</v>
      </c>
      <c r="E456" s="16" t="str">
        <f>IFERROR(_xlfn.XLOOKUP(D456, tblCourses[CourseID], tblCourses[CourseName], ""), "")</f>
        <v>Electrical Wiring Interconnection System Target Groups 1 &amp; 2 (Refresher)</v>
      </c>
      <c r="F456" s="17">
        <v>45788</v>
      </c>
      <c r="G456" s="17" cm="1">
        <f t="array" ref="G4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46518</v>
      </c>
      <c r="H456" s="15">
        <f ca="1">IF(OR(tblTraining[[#This Row],[Status]]="Renewed",tblTraining[[#This Row],[NextDueDate]]=""),"",tblTraining[[#This Row],[NextDueDate]]-TODAY())</f>
        <v>232</v>
      </c>
      <c r="I456" s="15" t="str" cm="1">
        <f t="array" aca="1" ref="I4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7" spans="1:9" x14ac:dyDescent="0.25">
      <c r="A457" s="15">
        <f t="shared" si="7"/>
        <v>456</v>
      </c>
      <c r="B457" s="15" t="s">
        <v>94</v>
      </c>
      <c r="C457" s="15" t="str" cm="1">
        <f t="array" ref="C457">IFERROR(_xlfn.XLOOKUP(B457, tblPeople[PersonID], tblPeople[PersonName], ""), "")</f>
        <v>Moses Musyoka</v>
      </c>
      <c r="D457" s="15" t="s">
        <v>126</v>
      </c>
      <c r="E457" s="16" t="str">
        <f>IFERROR(_xlfn.XLOOKUP(D457, tblCourses[CourseID], tblCourses[CourseName], ""), "")</f>
        <v>Maintenance Indoctrination</v>
      </c>
      <c r="F457" s="17">
        <v>45211</v>
      </c>
      <c r="G457" s="17" t="str" cm="1">
        <f t="array" ref="G4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7" s="15" t="str">
        <f ca="1">IF(OR(tblTraining[[#This Row],[Status]]="Renewed",tblTraining[[#This Row],[NextDueDate]]=""),"",tblTraining[[#This Row],[NextDueDate]]-TODAY())</f>
        <v/>
      </c>
      <c r="I457" s="15" t="str" cm="1">
        <f t="array" aca="1" ref="I4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8" spans="1:9" x14ac:dyDescent="0.25">
      <c r="A458" s="15">
        <f t="shared" si="7"/>
        <v>457</v>
      </c>
      <c r="B458" s="15" t="s">
        <v>94</v>
      </c>
      <c r="C458" s="15" t="str" cm="1">
        <f t="array" ref="C458">IFERROR(_xlfn.XLOOKUP(B458, tblPeople[PersonID], tblPeople[PersonName], ""), "")</f>
        <v>Moses Musyoka</v>
      </c>
      <c r="D458" s="15" t="s">
        <v>77</v>
      </c>
      <c r="E458" s="16" t="str">
        <f>IFERROR(_xlfn.XLOOKUP(D458, tblCourses[CourseID], tblCourses[CourseName], ""), "")</f>
        <v>DHC8 -100/-200/-300 Collins Wheels &amp; Brakes Familiarization Training (Refresher)</v>
      </c>
      <c r="F458" s="17">
        <v>45637</v>
      </c>
      <c r="G458" s="17" cm="1">
        <f t="array" ref="G4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458" s="15">
        <f ca="1">IF(OR(tblTraining[[#This Row],[Status]]="Renewed",tblTraining[[#This Row],[NextDueDate]]=""),"",tblTraining[[#This Row],[NextDueDate]]-TODAY())</f>
        <v>81</v>
      </c>
      <c r="I458" s="15" t="str" cm="1">
        <f t="array" aca="1" ref="I4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9" spans="1:9" x14ac:dyDescent="0.25">
      <c r="A459" s="15">
        <f t="shared" si="7"/>
        <v>458</v>
      </c>
      <c r="B459" s="15" t="s">
        <v>94</v>
      </c>
      <c r="C459" s="15" t="str" cm="1">
        <f t="array" ref="C459">IFERROR(_xlfn.XLOOKUP(B459, tblPeople[PersonID], tblPeople[PersonName], ""), "")</f>
        <v>Moses Musyoka</v>
      </c>
      <c r="D459" s="15" t="s">
        <v>75</v>
      </c>
      <c r="E459" s="16" t="str">
        <f>IFERROR(_xlfn.XLOOKUP(D459, tblCourses[CourseID], tblCourses[CourseName], ""), "")</f>
        <v>Fuel Tank Safety Phase 1 &amp; 2 Course (Refresher)</v>
      </c>
      <c r="F459" s="17">
        <v>45402</v>
      </c>
      <c r="G459" s="17" t="str" cm="1">
        <f t="array" ref="G4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9" s="15" t="str">
        <f ca="1">IF(OR(tblTraining[[#This Row],[Status]]="Renewed",tblTraining[[#This Row],[NextDueDate]]=""),"",tblTraining[[#This Row],[NextDueDate]]-TODAY())</f>
        <v/>
      </c>
      <c r="I459" s="15" t="str" cm="1">
        <f t="array" aca="1" ref="I4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60" spans="1:9" x14ac:dyDescent="0.25">
      <c r="A460" s="15">
        <f t="shared" si="7"/>
        <v>459</v>
      </c>
      <c r="B460" s="15" t="s">
        <v>94</v>
      </c>
      <c r="C460" s="15" t="str" cm="1">
        <f t="array" ref="C460">IFERROR(_xlfn.XLOOKUP(B460, tblPeople[PersonID], tblPeople[PersonName], ""), "")</f>
        <v>Moses Musyoka</v>
      </c>
      <c r="D460" s="15" t="s">
        <v>124</v>
      </c>
      <c r="E460" s="16" t="str">
        <f>IFERROR(_xlfn.XLOOKUP(D460, tblCourses[CourseID], tblCourses[CourseName], ""), "")</f>
        <v>Aviation Security (Initial)</v>
      </c>
      <c r="F460" s="17">
        <v>45716</v>
      </c>
      <c r="G460" s="17" t="str" cm="1">
        <f t="array" ref="G4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0" s="15" t="str">
        <f ca="1">IF(OR(tblTraining[[#This Row],[Status]]="Renewed",tblTraining[[#This Row],[NextDueDate]]=""),"",tblTraining[[#This Row],[NextDueDate]]-TODAY())</f>
        <v/>
      </c>
      <c r="I460" s="15" t="str" cm="1">
        <f t="array" aca="1" ref="I4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1" spans="1:9" x14ac:dyDescent="0.25">
      <c r="A461" s="15">
        <f t="shared" si="7"/>
        <v>460</v>
      </c>
      <c r="B461" s="15" t="s">
        <v>94</v>
      </c>
      <c r="C461" s="15" t="str" cm="1">
        <f t="array" ref="C461">IFERROR(_xlfn.XLOOKUP(B461, tblPeople[PersonID], tblPeople[PersonName], ""), "")</f>
        <v>Moses Musyoka</v>
      </c>
      <c r="D461" s="15" t="s">
        <v>125</v>
      </c>
      <c r="E461" s="16" t="str">
        <f>IFERROR(_xlfn.XLOOKUP(D461, tblCourses[CourseID], tblCourses[CourseName], ""), "")</f>
        <v>Aviation Security (Refresher)</v>
      </c>
      <c r="F461" s="17">
        <v>45716</v>
      </c>
      <c r="G461" s="17" cm="1">
        <f t="array" ref="G4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461" s="15">
        <f ca="1">IF(OR(tblTraining[[#This Row],[Status]]="Renewed",tblTraining[[#This Row],[NextDueDate]]=""),"",tblTraining[[#This Row],[NextDueDate]]-TODAY())</f>
        <v>160</v>
      </c>
      <c r="I461" s="15" t="str" cm="1">
        <f t="array" aca="1" ref="I4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2" spans="1:9" x14ac:dyDescent="0.25">
      <c r="A462" s="15">
        <f t="shared" si="7"/>
        <v>461</v>
      </c>
      <c r="B462" s="15" t="s">
        <v>214</v>
      </c>
      <c r="C462" s="15" t="str" cm="1">
        <f t="array" ref="C462">IFERROR(_xlfn.XLOOKUP(B462, tblPeople[PersonID], tblPeople[PersonName], ""), "")</f>
        <v xml:space="preserve">Edwin Kemei </v>
      </c>
      <c r="D462" s="15" t="s">
        <v>22</v>
      </c>
      <c r="E462" s="16" t="str">
        <f>IFERROR(_xlfn.XLOOKUP(D462, tblCourses[CourseID], tblCourses[CourseName], ""), "")</f>
        <v>Human Factors in Aviation (Refresher)</v>
      </c>
      <c r="F462" s="17">
        <v>45349</v>
      </c>
      <c r="G462" s="17" cm="1">
        <f t="array" ref="G4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46080</v>
      </c>
      <c r="H462" s="15">
        <f ca="1">IF(OR(tblTraining[[#This Row],[Status]]="Renewed",tblTraining[[#This Row],[NextDueDate]]=""),"",tblTraining[[#This Row],[NextDueDate]]-TODAY())</f>
        <v>-206</v>
      </c>
      <c r="I462" s="15" t="str" cm="1">
        <f t="array" aca="1" ref="I4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63" spans="1:9" x14ac:dyDescent="0.25">
      <c r="A463" s="15">
        <f t="shared" si="7"/>
        <v>462</v>
      </c>
      <c r="B463" s="15" t="s">
        <v>135</v>
      </c>
      <c r="C463" s="15" t="str" cm="1">
        <f t="array" ref="C463">IFERROR(_xlfn.XLOOKUP(B463, tblPeople[PersonID], tblPeople[PersonName], ""), "")</f>
        <v>Francis Muriuki</v>
      </c>
      <c r="D463" s="15" t="s">
        <v>182</v>
      </c>
      <c r="E463" s="16" t="str">
        <f>IFERROR(_xlfn.XLOOKUP(D463, tblCourses[CourseID], tblCourses[CourseName], ""), "")</f>
        <v>Cessna 208 Series (Caravan) With P&amp;WC PT6A-114/ -114A/ -140 Engines (Refresher)</v>
      </c>
      <c r="F463" s="17">
        <v>45924</v>
      </c>
      <c r="G463" s="17" cm="1">
        <f t="array" ref="G4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46654</v>
      </c>
      <c r="H463" s="15">
        <f ca="1">IF(OR(tblTraining[[#This Row],[Status]]="Renewed",tblTraining[[#This Row],[NextDueDate]]=""),"",tblTraining[[#This Row],[NextDueDate]]-TODAY())</f>
        <v>368</v>
      </c>
      <c r="I463" s="15" t="str" cm="1">
        <f t="array" aca="1" ref="I4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4" spans="1:9" x14ac:dyDescent="0.25">
      <c r="A464" s="15">
        <f t="shared" si="7"/>
        <v>463</v>
      </c>
      <c r="B464" s="15" t="s">
        <v>135</v>
      </c>
      <c r="C464" s="15" t="str" cm="1">
        <f t="array" ref="C464">IFERROR(_xlfn.XLOOKUP(B464, tblPeople[PersonID], tblPeople[PersonName], ""), "")</f>
        <v>Francis Muriuki</v>
      </c>
      <c r="D464" s="15" t="s">
        <v>25</v>
      </c>
      <c r="E464" s="16" t="str">
        <f>IFERROR(_xlfn.XLOOKUP(D464, tblCourses[CourseID], tblCourses[CourseName], ""), "")</f>
        <v>Pratt &amp; Whitney Canada PT6A Engine With P&amp;WC PT6A
20/ 27/ 41/ 42/ 60A/ 67D/ 112/ 114A/ 140 (Refresher)</v>
      </c>
      <c r="F464" s="17">
        <v>45926</v>
      </c>
      <c r="G464" s="17" cm="1">
        <f t="array" ref="G4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46656</v>
      </c>
      <c r="H464" s="15">
        <f ca="1">IF(OR(tblTraining[[#This Row],[Status]]="Renewed",tblTraining[[#This Row],[NextDueDate]]=""),"",tblTraining[[#This Row],[NextDueDate]]-TODAY())</f>
        <v>370</v>
      </c>
      <c r="I464" s="15" t="str" cm="1">
        <f t="array" aca="1" ref="I4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5" spans="1:9" x14ac:dyDescent="0.25">
      <c r="A465" s="15">
        <f t="shared" si="7"/>
        <v>464</v>
      </c>
      <c r="B465" s="15" t="s">
        <v>135</v>
      </c>
      <c r="C465" s="15" t="str" cm="1">
        <f t="array" ref="C465">IFERROR(_xlfn.XLOOKUP(B465, tblPeople[PersonID], tblPeople[PersonName], ""), "")</f>
        <v>Francis Muriuki</v>
      </c>
      <c r="D465" s="15" t="s">
        <v>224</v>
      </c>
      <c r="E465" s="16" t="str">
        <f>IFERROR(_xlfn.XLOOKUP(D465, tblCourses[CourseID], tblCourses[CourseName], ""), "")</f>
        <v>SOCATA TBM 700 Series (Initial)</v>
      </c>
      <c r="F465" s="17">
        <v>45733</v>
      </c>
      <c r="G465" s="17" t="str" cm="1">
        <f t="array" ref="G4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5" s="15" t="str">
        <f ca="1">IF(OR(tblTraining[[#This Row],[Status]]="Renewed",tblTraining[[#This Row],[NextDueDate]]=""),"",tblTraining[[#This Row],[NextDueDate]]-TODAY())</f>
        <v/>
      </c>
      <c r="I465" s="15" t="str" cm="1">
        <f t="array" aca="1" ref="I4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6" spans="1:9" x14ac:dyDescent="0.25">
      <c r="A466" s="15">
        <f t="shared" si="7"/>
        <v>465</v>
      </c>
      <c r="B466" s="15" t="s">
        <v>135</v>
      </c>
      <c r="C466" s="15" t="str" cm="1">
        <f t="array" ref="C466">IFERROR(_xlfn.XLOOKUP(B466, tblPeople[PersonID], tblPeople[PersonName], ""), "")</f>
        <v>Francis Muriuki</v>
      </c>
      <c r="D466" s="15" t="s">
        <v>110</v>
      </c>
      <c r="E466" s="16" t="str">
        <f>IFERROR(_xlfn.XLOOKUP(D466, tblCourses[CourseID], tblCourses[CourseName], ""), "")</f>
        <v>Electrical Wiring Interconnection System Target Groups 1 &amp; 2 (Initial)</v>
      </c>
      <c r="F466" s="17">
        <v>45805</v>
      </c>
      <c r="G466" s="17" t="str" cm="1">
        <f t="array" ref="G4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6" s="15" t="str">
        <f ca="1">IF(OR(tblTraining[[#This Row],[Status]]="Renewed",tblTraining[[#This Row],[NextDueDate]]=""),"",tblTraining[[#This Row],[NextDueDate]]-TODAY())</f>
        <v/>
      </c>
      <c r="I466" s="15" t="str" cm="1">
        <f t="array" aca="1" ref="I4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7" spans="1:9" x14ac:dyDescent="0.25">
      <c r="A467" s="15">
        <f t="shared" si="7"/>
        <v>466</v>
      </c>
      <c r="B467" s="15" t="s">
        <v>100</v>
      </c>
      <c r="C467" s="15" t="str" cm="1">
        <f t="array" ref="C467">IFERROR(_xlfn.XLOOKUP(B467, tblPeople[PersonID], tblPeople[PersonName], ""), "")</f>
        <v>John Muriithi</v>
      </c>
      <c r="D467" s="15" t="s">
        <v>182</v>
      </c>
      <c r="E467" s="16" t="str">
        <f>IFERROR(_xlfn.XLOOKUP(D467, tblCourses[CourseID], tblCourses[CourseName], ""), "")</f>
        <v>Cessna 208 Series (Caravan) With P&amp;WC PT6A-114/ -114A/ -140 Engines (Refresher)</v>
      </c>
      <c r="F467" s="17">
        <v>45924</v>
      </c>
      <c r="G467" s="17" cm="1">
        <f t="array" ref="G4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46654</v>
      </c>
      <c r="H467" s="15">
        <f ca="1">IF(OR(tblTraining[[#This Row],[Status]]="Renewed",tblTraining[[#This Row],[NextDueDate]]=""),"",tblTraining[[#This Row],[NextDueDate]]-TODAY())</f>
        <v>368</v>
      </c>
      <c r="I467" s="15" t="str" cm="1">
        <f t="array" aca="1" ref="I4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8" spans="1:9" x14ac:dyDescent="0.25">
      <c r="A468" s="15">
        <f t="shared" si="7"/>
        <v>467</v>
      </c>
      <c r="B468" s="15" t="s">
        <v>88</v>
      </c>
      <c r="C468" s="15" t="str" cm="1">
        <f t="array" ref="C468">IFERROR(_xlfn.XLOOKUP(B468, tblPeople[PersonID], tblPeople[PersonName], ""), "")</f>
        <v>Michael Njihia</v>
      </c>
      <c r="D468" s="15" t="s">
        <v>17</v>
      </c>
      <c r="E468" s="16" t="str">
        <f>IFERROR(_xlfn.XLOOKUP(D468, tblCourses[CourseID], tblCourses[CourseName], ""), "")</f>
        <v>Safety Management Systems (Refresher)</v>
      </c>
      <c r="F468" s="17">
        <v>45895</v>
      </c>
      <c r="G468" s="17" cm="1">
        <f t="array" ref="G4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468" s="15">
        <f ca="1">IF(OR(tblTraining[[#This Row],[Status]]="Renewed",tblTraining[[#This Row],[NextDueDate]]=""),"",tblTraining[[#This Row],[NextDueDate]]-TODAY())</f>
        <v>339</v>
      </c>
      <c r="I468" s="15" t="str" cm="1">
        <f t="array" aca="1" ref="I4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9" spans="1:9" x14ac:dyDescent="0.25">
      <c r="A469" s="15">
        <f t="shared" si="7"/>
        <v>468</v>
      </c>
      <c r="B469" s="15" t="s">
        <v>94</v>
      </c>
      <c r="C469" s="15" t="str" cm="1">
        <f t="array" ref="C469">IFERROR(_xlfn.XLOOKUP(B469, tblPeople[PersonID], tblPeople[PersonName], ""), "")</f>
        <v>Moses Musyoka</v>
      </c>
      <c r="D469" s="15" t="s">
        <v>22</v>
      </c>
      <c r="E469" s="16" t="str">
        <f>IFERROR(_xlfn.XLOOKUP(D469, tblCourses[CourseID], tblCourses[CourseName], ""), "")</f>
        <v>Human Factors in Aviation (Refresher)</v>
      </c>
      <c r="F469" s="17">
        <v>45928</v>
      </c>
      <c r="G469" s="17" cm="1">
        <f t="array" ref="G4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46658</v>
      </c>
      <c r="H469" s="15">
        <f ca="1">IF(OR(tblTraining[[#This Row],[Status]]="Renewed",tblTraining[[#This Row],[NextDueDate]]=""),"",tblTraining[[#This Row],[NextDueDate]]-TODAY())</f>
        <v>372</v>
      </c>
      <c r="I469" s="15" t="str" cm="1">
        <f t="array" aca="1" ref="I4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0" spans="1:9" x14ac:dyDescent="0.25">
      <c r="A470" s="15">
        <f t="shared" si="7"/>
        <v>469</v>
      </c>
      <c r="B470" s="15" t="s">
        <v>94</v>
      </c>
      <c r="C470" s="15" t="str" cm="1">
        <f t="array" ref="C470">IFERROR(_xlfn.XLOOKUP(B470, tblPeople[PersonID], tblPeople[PersonName], ""), "")</f>
        <v>Moses Musyoka</v>
      </c>
      <c r="D470" s="15" t="s">
        <v>24</v>
      </c>
      <c r="E470" s="16" t="str">
        <f>IFERROR(_xlfn.XLOOKUP(D470, tblCourses[CourseID], tblCourses[CourseName], ""), "")</f>
        <v>Human Factors in Aviation (Initial)</v>
      </c>
      <c r="F470" s="17">
        <v>45212</v>
      </c>
      <c r="G470" s="17" t="str" cm="1">
        <f t="array" ref="G4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0" s="15" t="str">
        <f ca="1">IF(OR(tblTraining[[#This Row],[Status]]="Renewed",tblTraining[[#This Row],[NextDueDate]]=""),"",tblTraining[[#This Row],[NextDueDate]]-TODAY())</f>
        <v/>
      </c>
      <c r="I470" s="15" t="str" cm="1">
        <f t="array" aca="1" ref="I4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1" spans="1:9" x14ac:dyDescent="0.25">
      <c r="A471" s="15">
        <f t="shared" si="7"/>
        <v>470</v>
      </c>
      <c r="B471" s="15" t="s">
        <v>94</v>
      </c>
      <c r="C471" s="15" t="str" cm="1">
        <f t="array" ref="C471">IFERROR(_xlfn.XLOOKUP(B471, tblPeople[PersonID], tblPeople[PersonName], ""), "")</f>
        <v>Moses Musyoka</v>
      </c>
      <c r="D471" s="15" t="s">
        <v>76</v>
      </c>
      <c r="E471" s="16" t="str">
        <f>IFERROR(_xlfn.XLOOKUP(D471, tblCourses[CourseID], tblCourses[CourseName], ""), "")</f>
        <v>Fuel Tank Safety Phase 1 &amp; 2 Course (Initial)</v>
      </c>
      <c r="F471" s="17">
        <v>45402</v>
      </c>
      <c r="G471" s="17" t="str" cm="1">
        <f t="array" ref="G4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1" s="15" t="str">
        <f ca="1">IF(OR(tblTraining[[#This Row],[Status]]="Renewed",tblTraining[[#This Row],[NextDueDate]]=""),"",tblTraining[[#This Row],[NextDueDate]]-TODAY())</f>
        <v/>
      </c>
      <c r="I471" s="15" t="str" cm="1">
        <f t="array" aca="1" ref="I4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2" spans="1:9" x14ac:dyDescent="0.25">
      <c r="A472" s="15">
        <f t="shared" si="7"/>
        <v>471</v>
      </c>
      <c r="B472" s="15" t="s">
        <v>103</v>
      </c>
      <c r="C472" s="15" t="str" cm="1">
        <f t="array" ref="C472">IFERROR(_xlfn.XLOOKUP(B472, tblPeople[PersonID], tblPeople[PersonName], ""), "")</f>
        <v>Smith Harun</v>
      </c>
      <c r="D472" s="15" t="s">
        <v>25</v>
      </c>
      <c r="E472" s="16" t="str">
        <f>IFERROR(_xlfn.XLOOKUP(D472, tblCourses[CourseID], tblCourses[CourseName], ""), "")</f>
        <v>Pratt &amp; Whitney Canada PT6A Engine With P&amp;WC PT6A
20/ 27/ 41/ 42/ 60A/ 67D/ 112/ 114A/ 140 (Refresher)</v>
      </c>
      <c r="F472" s="17">
        <v>45926</v>
      </c>
      <c r="G472" s="17" t="str" cm="1">
        <f t="array" ref="G4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2" s="15" t="str">
        <f ca="1">IF(OR(tblTraining[[#This Row],[Status]]="Renewed",tblTraining[[#This Row],[NextDueDate]]=""),"",tblTraining[[#This Row],[NextDueDate]]-TODAY())</f>
        <v/>
      </c>
      <c r="I472" s="15" t="str" cm="1">
        <f t="array" aca="1" ref="I4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73" spans="1:9" x14ac:dyDescent="0.25">
      <c r="A473" s="15">
        <f t="shared" si="7"/>
        <v>472</v>
      </c>
      <c r="B473" s="15" t="s">
        <v>103</v>
      </c>
      <c r="C473" s="15" t="str" cm="1">
        <f t="array" ref="C473">IFERROR(_xlfn.XLOOKUP(B473, tblPeople[PersonID], tblPeople[PersonName], ""), "")</f>
        <v>Smith Harun</v>
      </c>
      <c r="D473" s="15" t="s">
        <v>223</v>
      </c>
      <c r="E473" s="16" t="str">
        <f>IFERROR(_xlfn.XLOOKUP(D473, tblCourses[CourseID], tblCourses[CourseName], ""), "")</f>
        <v>SOCATA TBM 700 Series (Refresher)</v>
      </c>
      <c r="F473" s="17">
        <v>45733</v>
      </c>
      <c r="G473" s="17" cm="1">
        <f t="array" ref="G4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473" s="15">
        <f ca="1">IF(OR(tblTraining[[#This Row],[Status]]="Renewed",tblTraining[[#This Row],[NextDueDate]]=""),"",tblTraining[[#This Row],[NextDueDate]]-TODAY())</f>
        <v>177</v>
      </c>
      <c r="I473" s="15" t="str" cm="1">
        <f t="array" aca="1" ref="I4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4" spans="1:9" x14ac:dyDescent="0.25">
      <c r="A474" s="15">
        <f t="shared" si="7"/>
        <v>473</v>
      </c>
      <c r="B474" s="15" t="s">
        <v>103</v>
      </c>
      <c r="C474" s="15" t="str" cm="1">
        <f t="array" ref="C474">IFERROR(_xlfn.XLOOKUP(B474, tblPeople[PersonID], tblPeople[PersonName], ""), "")</f>
        <v>Smith Harun</v>
      </c>
      <c r="D474" s="15" t="s">
        <v>78</v>
      </c>
      <c r="E474" s="16" t="str">
        <f>IFERROR(_xlfn.XLOOKUP(D474, tblCourses[CourseID], tblCourses[CourseName], ""), "")</f>
        <v>DHC8 -100/-200/-300 Collins Wheels &amp; Brakes Familiarization Training (Initial)</v>
      </c>
      <c r="F474" s="17">
        <v>44392</v>
      </c>
      <c r="G474" s="17" t="str" cm="1">
        <f t="array" ref="G4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4" s="15" t="str">
        <f ca="1">IF(OR(tblTraining[[#This Row],[Status]]="Renewed",tblTraining[[#This Row],[NextDueDate]]=""),"",tblTraining[[#This Row],[NextDueDate]]-TODAY())</f>
        <v/>
      </c>
      <c r="I474" s="15" t="str" cm="1">
        <f t="array" aca="1" ref="I4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5" spans="1:9" x14ac:dyDescent="0.25">
      <c r="A475" s="15">
        <f t="shared" si="7"/>
        <v>474</v>
      </c>
      <c r="B475" s="15" t="s">
        <v>103</v>
      </c>
      <c r="C475" s="15" t="str" cm="1">
        <f t="array" ref="C475">IFERROR(_xlfn.XLOOKUP(B475, tblPeople[PersonID], tblPeople[PersonName], ""), "")</f>
        <v>Smith Harun</v>
      </c>
      <c r="D475" s="15" t="s">
        <v>173</v>
      </c>
      <c r="E475" s="16" t="str">
        <f>IFERROR(_xlfn.XLOOKUP(D475, tblCourses[CourseID], tblCourses[CourseName], ""), "")</f>
        <v>Quality Management Systems</v>
      </c>
      <c r="F475" s="17">
        <v>45793</v>
      </c>
      <c r="G475" s="17" cm="1">
        <f t="array" ref="G4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46889</v>
      </c>
      <c r="H475" s="15">
        <f ca="1">IF(OR(tblTraining[[#This Row],[Status]]="Renewed",tblTraining[[#This Row],[NextDueDate]]=""),"",tblTraining[[#This Row],[NextDueDate]]-TODAY())</f>
        <v>603</v>
      </c>
      <c r="I475" s="15" t="str" cm="1">
        <f t="array" aca="1" ref="I4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6" spans="1:9" x14ac:dyDescent="0.25">
      <c r="A476" s="15">
        <f t="shared" si="7"/>
        <v>475</v>
      </c>
      <c r="B476" s="15" t="s">
        <v>102</v>
      </c>
      <c r="C476" s="15" t="str" cm="1">
        <f t="array" ref="C476">IFERROR(_xlfn.XLOOKUP(B476, tblPeople[PersonID], tblPeople[PersonName], ""), "")</f>
        <v>William Mlati</v>
      </c>
      <c r="D476" s="15" t="s">
        <v>25</v>
      </c>
      <c r="E476" s="16" t="str">
        <f>IFERROR(_xlfn.XLOOKUP(D476, tblCourses[CourseID], tblCourses[CourseName], ""), "")</f>
        <v>Pratt &amp; Whitney Canada PT6A Engine With P&amp;WC PT6A
20/ 27/ 41/ 42/ 60A/ 67D/ 112/ 114A/ 140 (Refresher)</v>
      </c>
      <c r="F476" s="17">
        <v>45926</v>
      </c>
      <c r="G476" s="17" t="str" cm="1">
        <f t="array" ref="G4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6" s="15" t="str">
        <f ca="1">IF(OR(tblTraining[[#This Row],[Status]]="Renewed",tblTraining[[#This Row],[NextDueDate]]=""),"",tblTraining[[#This Row],[NextDueDate]]-TODAY())</f>
        <v/>
      </c>
      <c r="I476" s="15" t="str" cm="1">
        <f t="array" aca="1" ref="I4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77" spans="1:9" x14ac:dyDescent="0.25">
      <c r="A477" s="15">
        <f t="shared" si="7"/>
        <v>476</v>
      </c>
      <c r="B477" s="15" t="s">
        <v>102</v>
      </c>
      <c r="C477" s="15" t="str" cm="1">
        <f t="array" ref="C477">IFERROR(_xlfn.XLOOKUP(B477, tblPeople[PersonID], tblPeople[PersonName], ""), "")</f>
        <v>William Mlati</v>
      </c>
      <c r="D477" s="15" t="s">
        <v>223</v>
      </c>
      <c r="E477" s="16" t="str">
        <f>IFERROR(_xlfn.XLOOKUP(D477, tblCourses[CourseID], tblCourses[CourseName], ""), "")</f>
        <v>SOCATA TBM 700 Series (Refresher)</v>
      </c>
      <c r="F477" s="17">
        <v>45733</v>
      </c>
      <c r="G477" s="17" cm="1">
        <f t="array" ref="G4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477" s="15">
        <f ca="1">IF(OR(tblTraining[[#This Row],[Status]]="Renewed",tblTraining[[#This Row],[NextDueDate]]=""),"",tblTraining[[#This Row],[NextDueDate]]-TODAY())</f>
        <v>177</v>
      </c>
      <c r="I477" s="15" t="str" cm="1">
        <f t="array" aca="1" ref="I4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8" spans="1:9" x14ac:dyDescent="0.25">
      <c r="A478" s="15">
        <f t="shared" si="7"/>
        <v>477</v>
      </c>
      <c r="B478" s="15" t="s">
        <v>102</v>
      </c>
      <c r="C478" s="15" t="str" cm="1">
        <f t="array" ref="C478">IFERROR(_xlfn.XLOOKUP(B478, tblPeople[PersonID], tblPeople[PersonName], ""), "")</f>
        <v>William Mlati</v>
      </c>
      <c r="D478" s="15" t="s">
        <v>32</v>
      </c>
      <c r="E478" s="16" t="str">
        <f>IFERROR(_xlfn.XLOOKUP(D478, tblCourses[CourseID], tblCourses[CourseName], ""), "")</f>
        <v>Dangerous Goods Regulations (CBTA 7.3) (Initial)</v>
      </c>
      <c r="F478" s="17">
        <v>44123</v>
      </c>
      <c r="G478" s="17" t="str" cm="1">
        <f t="array" ref="G4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8" s="15" t="str">
        <f ca="1">IF(OR(tblTraining[[#This Row],[Status]]="Renewed",tblTraining[[#This Row],[NextDueDate]]=""),"",tblTraining[[#This Row],[NextDueDate]]-TODAY())</f>
        <v/>
      </c>
      <c r="I478" s="15" t="str" cm="1">
        <f t="array" aca="1" ref="I4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9" spans="1:9" x14ac:dyDescent="0.25">
      <c r="A479" s="15">
        <f t="shared" si="7"/>
        <v>478</v>
      </c>
      <c r="B479" s="15" t="s">
        <v>102</v>
      </c>
      <c r="C479" s="15" t="str" cm="1">
        <f t="array" ref="C479">IFERROR(_xlfn.XLOOKUP(B479, tblPeople[PersonID], tblPeople[PersonName], ""), "")</f>
        <v>William Mlati</v>
      </c>
      <c r="D479" s="15" t="s">
        <v>30</v>
      </c>
      <c r="E479" s="16" t="str">
        <f>IFERROR(_xlfn.XLOOKUP(D479, tblCourses[CourseID], tblCourses[CourseName], ""), "")</f>
        <v>Dangerous Goods Regulations (CBTA 7.3) (Refresher)</v>
      </c>
      <c r="F479" s="17">
        <v>44123</v>
      </c>
      <c r="G479" s="17" t="str" cm="1">
        <f t="array" ref="G4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9" s="15" t="str">
        <f ca="1">IF(OR(tblTraining[[#This Row],[Status]]="Renewed",tblTraining[[#This Row],[NextDueDate]]=""),"",tblTraining[[#This Row],[NextDueDate]]-TODAY())</f>
        <v/>
      </c>
      <c r="I479" s="15" t="str" cm="1">
        <f t="array" aca="1" ref="I4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80" spans="1:9" x14ac:dyDescent="0.25">
      <c r="A480" s="15">
        <f t="shared" si="7"/>
        <v>479</v>
      </c>
      <c r="B480" s="15" t="s">
        <v>102</v>
      </c>
      <c r="C480" s="15" t="str" cm="1">
        <f t="array" ref="C480">IFERROR(_xlfn.XLOOKUP(B480, tblPeople[PersonID], tblPeople[PersonName], ""), "")</f>
        <v>William Mlati</v>
      </c>
      <c r="D480" s="15" t="s">
        <v>185</v>
      </c>
      <c r="E480" s="16" t="str">
        <f>IFERROR(_xlfn.XLOOKUP(D480, tblCourses[CourseID], tblCourses[CourseName], ""), "")</f>
        <v>Leadership &amp; Management</v>
      </c>
      <c r="F480" s="17">
        <v>42886</v>
      </c>
      <c r="G480" s="17" t="str" cm="1">
        <f t="array" ref="G4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0" s="15" t="str">
        <f ca="1">IF(OR(tblTraining[[#This Row],[Status]]="Renewed",tblTraining[[#This Row],[NextDueDate]]=""),"",tblTraining[[#This Row],[NextDueDate]]-TODAY())</f>
        <v/>
      </c>
      <c r="I480" s="15" t="str" cm="1">
        <f t="array" aca="1" ref="I4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1" spans="1:9" x14ac:dyDescent="0.25">
      <c r="A481" s="15">
        <f t="shared" si="7"/>
        <v>480</v>
      </c>
      <c r="B481" s="15" t="s">
        <v>102</v>
      </c>
      <c r="C481" s="15" t="str" cm="1">
        <f t="array" ref="C481">IFERROR(_xlfn.XLOOKUP(B481, tblPeople[PersonID], tblPeople[PersonName], ""), "")</f>
        <v>William Mlati</v>
      </c>
      <c r="D481" s="15" t="s">
        <v>227</v>
      </c>
      <c r="E481" s="16" t="str">
        <f>IFERROR(_xlfn.XLOOKUP(D481, tblCourses[CourseID], tblCourses[CourseName], ""), "")</f>
        <v>Core Instructional Technique (Initial)</v>
      </c>
      <c r="F481" s="17">
        <v>43357</v>
      </c>
      <c r="G481" s="17" t="str" cm="1">
        <f t="array" ref="G4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1" s="15" t="str">
        <f ca="1">IF(OR(tblTraining[[#This Row],[Status]]="Renewed",tblTraining[[#This Row],[NextDueDate]]=""),"",tblTraining[[#This Row],[NextDueDate]]-TODAY())</f>
        <v/>
      </c>
      <c r="I481" s="15" t="str" cm="1">
        <f t="array" aca="1" ref="I4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2" spans="1:9" x14ac:dyDescent="0.25">
      <c r="A482" s="15">
        <f t="shared" si="7"/>
        <v>481</v>
      </c>
      <c r="B482" s="15" t="s">
        <v>102</v>
      </c>
      <c r="C482" s="15" t="str" cm="1">
        <f t="array" ref="C482">IFERROR(_xlfn.XLOOKUP(B482, tblPeople[PersonID], tblPeople[PersonName], ""), "")</f>
        <v>William Mlati</v>
      </c>
      <c r="D482" s="15" t="s">
        <v>27</v>
      </c>
      <c r="E482" s="16" t="str">
        <f>IFERROR(_xlfn.XLOOKUP(D482, tblCourses[CourseID], tblCourses[CourseName], ""), "")</f>
        <v>Pratt &amp; Whitney Canada PT6A Engine With P&amp;WC PT6A
20/ 27/ 41/ 42/ 60A/ 67D/ 112/ 114A/ 140 (Initial)</v>
      </c>
      <c r="F482" s="17">
        <v>39743</v>
      </c>
      <c r="G482" s="17" t="str" cm="1">
        <f t="array" ref="G4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2" s="15" t="str">
        <f ca="1">IF(OR(tblTraining[[#This Row],[Status]]="Renewed",tblTraining[[#This Row],[NextDueDate]]=""),"",tblTraining[[#This Row],[NextDueDate]]-TODAY())</f>
        <v/>
      </c>
      <c r="I482" s="15" t="str" cm="1">
        <f t="array" aca="1" ref="I4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3" spans="1:9" x14ac:dyDescent="0.25">
      <c r="A483" s="15">
        <f t="shared" si="7"/>
        <v>482</v>
      </c>
      <c r="B483" s="15" t="s">
        <v>102</v>
      </c>
      <c r="C483" s="15" t="str" cm="1">
        <f t="array" ref="C483">IFERROR(_xlfn.XLOOKUP(B483, tblPeople[PersonID], tblPeople[PersonName], ""), "")</f>
        <v>William Mlati</v>
      </c>
      <c r="D483" s="15" t="s">
        <v>225</v>
      </c>
      <c r="E483" s="16" t="str">
        <f>IFERROR(_xlfn.XLOOKUP(D483, tblCourses[CourseID], tblCourses[CourseName], ""), "")</f>
        <v>Quality Management Systems (Initial)</v>
      </c>
      <c r="F483" s="17">
        <v>40577</v>
      </c>
      <c r="G483" s="17" t="str" cm="1">
        <f t="array" ref="G4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3" s="15" t="str">
        <f ca="1">IF(OR(tblTraining[[#This Row],[Status]]="Renewed",tblTraining[[#This Row],[NextDueDate]]=""),"",tblTraining[[#This Row],[NextDueDate]]-TODAY())</f>
        <v/>
      </c>
      <c r="I483" s="15" t="str" cm="1">
        <f t="array" aca="1" ref="I4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4" spans="1:9" x14ac:dyDescent="0.25">
      <c r="A484" s="15">
        <f t="shared" si="7"/>
        <v>483</v>
      </c>
      <c r="B484" s="15" t="s">
        <v>102</v>
      </c>
      <c r="C484" s="15" t="str" cm="1">
        <f t="array" ref="C484">IFERROR(_xlfn.XLOOKUP(B484, tblPeople[PersonID], tblPeople[PersonName], ""), "")</f>
        <v>William Mlati</v>
      </c>
      <c r="D484" s="15" t="s">
        <v>30</v>
      </c>
      <c r="E484" s="16" t="str">
        <f>IFERROR(_xlfn.XLOOKUP(D484, tblCourses[CourseID], tblCourses[CourseName], ""), "")</f>
        <v>Dangerous Goods Regulations (CBTA 7.3) (Refresher)</v>
      </c>
      <c r="F484" s="17">
        <v>45916</v>
      </c>
      <c r="G484" s="17" cm="1">
        <f t="array" ref="G4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46646</v>
      </c>
      <c r="H484" s="15">
        <f ca="1">IF(OR(tblTraining[[#This Row],[Status]]="Renewed",tblTraining[[#This Row],[NextDueDate]]=""),"",tblTraining[[#This Row],[NextDueDate]]-TODAY())</f>
        <v>360</v>
      </c>
      <c r="I484" s="15" t="str" cm="1">
        <f t="array" aca="1" ref="I4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5" spans="1:9" x14ac:dyDescent="0.25">
      <c r="A485" s="15">
        <f t="shared" si="7"/>
        <v>484</v>
      </c>
      <c r="B485" s="15" t="s">
        <v>102</v>
      </c>
      <c r="C485" s="15" t="str" cm="1">
        <f t="array" ref="C485">IFERROR(_xlfn.XLOOKUP(B485, tblPeople[PersonID], tblPeople[PersonName], ""), "")</f>
        <v>William Mlati</v>
      </c>
      <c r="D485" s="15" t="s">
        <v>78</v>
      </c>
      <c r="E485" s="16" t="str">
        <f>IFERROR(_xlfn.XLOOKUP(D485, tblCourses[CourseID], tblCourses[CourseName], ""), "")</f>
        <v>DHC8 -100/-200/-300 Collins Wheels &amp; Brakes Familiarization Training (Initial)</v>
      </c>
      <c r="F485" s="17">
        <v>44392</v>
      </c>
      <c r="G485" s="17" t="str" cm="1">
        <f t="array" ref="G4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5" s="15" t="str">
        <f ca="1">IF(OR(tblTraining[[#This Row],[Status]]="Renewed",tblTraining[[#This Row],[NextDueDate]]=""),"",tblTraining[[#This Row],[NextDueDate]]-TODAY())</f>
        <v/>
      </c>
      <c r="I485" s="15" t="str" cm="1">
        <f t="array" aca="1" ref="I4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6" spans="1:9" x14ac:dyDescent="0.25">
      <c r="A486" s="15">
        <f t="shared" si="7"/>
        <v>485</v>
      </c>
      <c r="B486" s="15" t="s">
        <v>150</v>
      </c>
      <c r="C486" s="15" t="str" cm="1">
        <f t="array" ref="C486">IFERROR(_xlfn.XLOOKUP(B486, tblPeople[PersonID], tblPeople[PersonName], ""), "")</f>
        <v>Kea Kazungu</v>
      </c>
      <c r="D486" s="15" t="s">
        <v>185</v>
      </c>
      <c r="E486" s="16" t="str">
        <f>IFERROR(_xlfn.XLOOKUP(D486, tblCourses[CourseID], tblCourses[CourseName], ""), "")</f>
        <v>Leadership &amp; Management</v>
      </c>
      <c r="F486" s="17">
        <v>43076</v>
      </c>
      <c r="G486" s="17" t="str" cm="1">
        <f t="array" ref="G4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6" s="15" t="str">
        <f ca="1">IF(OR(tblTraining[[#This Row],[Status]]="Renewed",tblTraining[[#This Row],[NextDueDate]]=""),"",tblTraining[[#This Row],[NextDueDate]]-TODAY())</f>
        <v/>
      </c>
      <c r="I486" s="15" t="str" cm="1">
        <f t="array" aca="1" ref="I4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7" spans="1:9" x14ac:dyDescent="0.25">
      <c r="A487" s="15">
        <f t="shared" si="7"/>
        <v>486</v>
      </c>
      <c r="B487" s="15" t="s">
        <v>150</v>
      </c>
      <c r="C487" s="15" t="str" cm="1">
        <f t="array" ref="C487">IFERROR(_xlfn.XLOOKUP(B487, tblPeople[PersonID], tblPeople[PersonName], ""), "")</f>
        <v>Kea Kazungu</v>
      </c>
      <c r="D487" s="15" t="s">
        <v>227</v>
      </c>
      <c r="E487" s="16" t="str">
        <f>IFERROR(_xlfn.XLOOKUP(D487, tblCourses[CourseID], tblCourses[CourseName], ""), "")</f>
        <v>Core Instructional Technique (Initial)</v>
      </c>
      <c r="F487" s="17">
        <v>43357</v>
      </c>
      <c r="G487" s="17" t="str" cm="1">
        <f t="array" ref="G4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7" s="15" t="str">
        <f ca="1">IF(OR(tblTraining[[#This Row],[Status]]="Renewed",tblTraining[[#This Row],[NextDueDate]]=""),"",tblTraining[[#This Row],[NextDueDate]]-TODAY())</f>
        <v/>
      </c>
      <c r="I487" s="15" t="str" cm="1">
        <f t="array" aca="1" ref="I4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8" spans="1:9" x14ac:dyDescent="0.25">
      <c r="A488" s="15">
        <f t="shared" si="7"/>
        <v>487</v>
      </c>
      <c r="B488" s="15" t="s">
        <v>150</v>
      </c>
      <c r="C488" s="15" t="str" cm="1">
        <f t="array" ref="C488">IFERROR(_xlfn.XLOOKUP(B488, tblPeople[PersonID], tblPeople[PersonName], ""), "")</f>
        <v>Kea Kazungu</v>
      </c>
      <c r="D488" s="15" t="s">
        <v>225</v>
      </c>
      <c r="E488" s="16" t="str">
        <f>IFERROR(_xlfn.XLOOKUP(D488, tblCourses[CourseID], tblCourses[CourseName], ""), "")</f>
        <v>Quality Management Systems (Initial)</v>
      </c>
      <c r="F488" s="17">
        <v>42132</v>
      </c>
      <c r="G488" s="17" t="str" cm="1">
        <f t="array" ref="G4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8" s="15" t="str">
        <f ca="1">IF(OR(tblTraining[[#This Row],[Status]]="Renewed",tblTraining[[#This Row],[NextDueDate]]=""),"",tblTraining[[#This Row],[NextDueDate]]-TODAY())</f>
        <v/>
      </c>
      <c r="I488" s="15" t="str" cm="1">
        <f t="array" aca="1" ref="I4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9" spans="1:9" x14ac:dyDescent="0.25">
      <c r="A489" s="15">
        <f t="shared" si="7"/>
        <v>488</v>
      </c>
      <c r="B489" s="15" t="s">
        <v>150</v>
      </c>
      <c r="C489" s="15" t="str" cm="1">
        <f t="array" ref="C489">IFERROR(_xlfn.XLOOKUP(B489, tblPeople[PersonID], tblPeople[PersonName], ""), "")</f>
        <v>Kea Kazungu</v>
      </c>
      <c r="D489" s="15" t="s">
        <v>179</v>
      </c>
      <c r="E489" s="16" t="str">
        <f>IFERROR(_xlfn.XLOOKUP(D489, tblCourses[CourseID], tblCourses[CourseName], ""), "")</f>
        <v>Aircraft Maintenance Engineers' Licence</v>
      </c>
      <c r="F489" s="17">
        <v>45833</v>
      </c>
      <c r="G489" s="17" cm="1">
        <f t="array" ref="G4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46563</v>
      </c>
      <c r="H489" s="15">
        <f ca="1">IF(OR(tblTraining[[#This Row],[Status]]="Renewed",tblTraining[[#This Row],[NextDueDate]]=""),"",tblTraining[[#This Row],[NextDueDate]]-TODAY())</f>
        <v>277</v>
      </c>
      <c r="I489" s="15" t="str" cm="1">
        <f t="array" aca="1" ref="I4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0" spans="1:9" x14ac:dyDescent="0.25">
      <c r="A490" s="15">
        <f t="shared" si="7"/>
        <v>489</v>
      </c>
      <c r="B490" s="15" t="s">
        <v>106</v>
      </c>
      <c r="C490" s="15" t="str" cm="1">
        <f t="array" ref="C490">IFERROR(_xlfn.XLOOKUP(B490, tblPeople[PersonID], tblPeople[PersonName], ""), "")</f>
        <v>James Mugo</v>
      </c>
      <c r="D490" s="15" t="s">
        <v>110</v>
      </c>
      <c r="E490" s="16" t="str">
        <f>IFERROR(_xlfn.XLOOKUP(D490, tblCourses[CourseID], tblCourses[CourseName], ""), "")</f>
        <v>Electrical Wiring Interconnection System Target Groups 1 &amp; 2 (Initial)</v>
      </c>
      <c r="F490" s="17">
        <v>45925</v>
      </c>
      <c r="G490" s="17" t="str" cm="1">
        <f t="array" ref="G4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0" s="15" t="str">
        <f ca="1">IF(OR(tblTraining[[#This Row],[Status]]="Renewed",tblTraining[[#This Row],[NextDueDate]]=""),"",tblTraining[[#This Row],[NextDueDate]]-TODAY())</f>
        <v/>
      </c>
      <c r="I490" s="15" t="str" cm="1">
        <f t="array" aca="1" ref="I4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1" spans="1:9" x14ac:dyDescent="0.25">
      <c r="A491" s="15">
        <f t="shared" si="7"/>
        <v>490</v>
      </c>
      <c r="B491" s="15" t="s">
        <v>106</v>
      </c>
      <c r="C491" s="15" t="str" cm="1">
        <f t="array" ref="C491">IFERROR(_xlfn.XLOOKUP(B491, tblPeople[PersonID], tblPeople[PersonName], ""), "")</f>
        <v>James Mugo</v>
      </c>
      <c r="D491" s="15" t="s">
        <v>109</v>
      </c>
      <c r="E491" s="16" t="str">
        <f>IFERROR(_xlfn.XLOOKUP(D491, tblCourses[CourseID], tblCourses[CourseName], ""), "")</f>
        <v>Electrical Wiring Interconnection System Target Groups 1 &amp; 2 (Refresher)</v>
      </c>
      <c r="F491" s="17">
        <v>45925</v>
      </c>
      <c r="G491" s="17" cm="1">
        <f t="array" ref="G4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46655</v>
      </c>
      <c r="H491" s="15">
        <f ca="1">IF(OR(tblTraining[[#This Row],[Status]]="Renewed",tblTraining[[#This Row],[NextDueDate]]=""),"",tblTraining[[#This Row],[NextDueDate]]-TODAY())</f>
        <v>369</v>
      </c>
      <c r="I491" s="15" t="str" cm="1">
        <f t="array" aca="1" ref="I4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2" spans="1:9" x14ac:dyDescent="0.25">
      <c r="A492" s="15">
        <f t="shared" si="7"/>
        <v>491</v>
      </c>
      <c r="B492" s="15" t="s">
        <v>106</v>
      </c>
      <c r="C492" s="15" t="str" cm="1">
        <f t="array" ref="C492">IFERROR(_xlfn.XLOOKUP(B492, tblPeople[PersonID], tblPeople[PersonName], ""), "")</f>
        <v>James Mugo</v>
      </c>
      <c r="D492" s="15" t="s">
        <v>202</v>
      </c>
      <c r="E492" s="16" t="str">
        <f>IFERROR(_xlfn.XLOOKUP(D492, tblCourses[CourseID], tblCourses[CourseName], ""), "")</f>
        <v>Maintenance Procedures &amp; Standard Maintenance Practices (Refresher)</v>
      </c>
      <c r="F492" s="17">
        <v>45328</v>
      </c>
      <c r="G492" s="17" t="str" cm="1">
        <f t="array" ref="G4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2" s="15" t="str">
        <f ca="1">IF(OR(tblTraining[[#This Row],[Status]]="Renewed",tblTraining[[#This Row],[NextDueDate]]=""),"",tblTraining[[#This Row],[NextDueDate]]-TODAY())</f>
        <v/>
      </c>
      <c r="I492" s="15" t="str" cm="1">
        <f t="array" aca="1" ref="I4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93" spans="1:9" x14ac:dyDescent="0.25">
      <c r="A493" s="15">
        <f t="shared" si="7"/>
        <v>492</v>
      </c>
      <c r="B493" s="15" t="s">
        <v>106</v>
      </c>
      <c r="C493" s="15" t="str" cm="1">
        <f t="array" ref="C493">IFERROR(_xlfn.XLOOKUP(B493, tblPeople[PersonID], tblPeople[PersonName], ""), "")</f>
        <v>James Mugo</v>
      </c>
      <c r="D493" s="15" t="s">
        <v>27</v>
      </c>
      <c r="E493" s="16" t="str">
        <f>IFERROR(_xlfn.XLOOKUP(D493, tblCourses[CourseID], tblCourses[CourseName], ""), "")</f>
        <v>Pratt &amp; Whitney Canada PT6A Engine With P&amp;WC PT6A
20/ 27/ 41/ 42/ 60A/ 67D/ 112/ 114A/ 140 (Initial)</v>
      </c>
      <c r="F493" s="17">
        <v>41733</v>
      </c>
      <c r="G493" s="17" t="str" cm="1">
        <f t="array" ref="G4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3" s="15" t="str">
        <f ca="1">IF(OR(tblTraining[[#This Row],[Status]]="Renewed",tblTraining[[#This Row],[NextDueDate]]=""),"",tblTraining[[#This Row],[NextDueDate]]-TODAY())</f>
        <v/>
      </c>
      <c r="I493" s="15" t="str" cm="1">
        <f t="array" aca="1" ref="I4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4" spans="1:9" x14ac:dyDescent="0.25">
      <c r="A494" s="15">
        <f t="shared" si="7"/>
        <v>493</v>
      </c>
      <c r="B494" s="15" t="s">
        <v>106</v>
      </c>
      <c r="C494" s="15" t="str" cm="1">
        <f t="array" ref="C494">IFERROR(_xlfn.XLOOKUP(B494, tblPeople[PersonID], tblPeople[PersonName], ""), "")</f>
        <v>James Mugo</v>
      </c>
      <c r="D494" s="15" t="s">
        <v>29</v>
      </c>
      <c r="E494" s="16" t="str">
        <f>IFERROR(_xlfn.XLOOKUP(D494, tblCourses[CourseID], tblCourses[CourseName], ""), "")</f>
        <v>DHC-8 100/200/300 with PWC 120/120A/121/123B/C/D/E Series Engines(Initial)</v>
      </c>
      <c r="F494" s="17">
        <v>38989</v>
      </c>
      <c r="G494" s="17" t="str" cm="1">
        <f t="array" ref="G4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4" s="15" t="str">
        <f ca="1">IF(OR(tblTraining[[#This Row],[Status]]="Renewed",tblTraining[[#This Row],[NextDueDate]]=""),"",tblTraining[[#This Row],[NextDueDate]]-TODAY())</f>
        <v/>
      </c>
      <c r="I494" s="15" t="str" cm="1">
        <f t="array" aca="1" ref="I4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5" spans="1:9" x14ac:dyDescent="0.25">
      <c r="A495" s="15">
        <f t="shared" si="7"/>
        <v>494</v>
      </c>
      <c r="B495" s="15" t="s">
        <v>161</v>
      </c>
      <c r="C495" s="15" t="str" cm="1">
        <f t="array" ref="C495">IFERROR(_xlfn.XLOOKUP(B495, tblPeople[PersonID], tblPeople[PersonName], ""), "")</f>
        <v>Francis Omondi</v>
      </c>
      <c r="D495" s="15" t="s">
        <v>22</v>
      </c>
      <c r="E495" s="16" t="str">
        <f>IFERROR(_xlfn.XLOOKUP(D495, tblCourses[CourseID], tblCourses[CourseName], ""), "")</f>
        <v>Human Factors in Aviation (Refresher)</v>
      </c>
      <c r="F495" s="17">
        <v>45471</v>
      </c>
      <c r="G495" s="17" cm="1">
        <f t="array" ref="G4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46201</v>
      </c>
      <c r="H495" s="15">
        <f ca="1">IF(OR(tblTraining[[#This Row],[Status]]="Renewed",tblTraining[[#This Row],[NextDueDate]]=""),"",tblTraining[[#This Row],[NextDueDate]]-TODAY())</f>
        <v>-85</v>
      </c>
      <c r="I495" s="15" t="str" cm="1">
        <f t="array" aca="1" ref="I4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96" spans="1:9" x14ac:dyDescent="0.25">
      <c r="A496" s="15">
        <f t="shared" si="7"/>
        <v>495</v>
      </c>
      <c r="B496" s="15" t="s">
        <v>161</v>
      </c>
      <c r="C496" s="15" t="str" cm="1">
        <f t="array" ref="C496">IFERROR(_xlfn.XLOOKUP(B496, tblPeople[PersonID], tblPeople[PersonName], ""), "")</f>
        <v>Francis Omondi</v>
      </c>
      <c r="D496" s="15" t="s">
        <v>24</v>
      </c>
      <c r="E496" s="16" t="str">
        <f>IFERROR(_xlfn.XLOOKUP(D496, tblCourses[CourseID], tblCourses[CourseName], ""), "")</f>
        <v>Human Factors in Aviation (Initial)</v>
      </c>
      <c r="F496" s="17">
        <v>44369</v>
      </c>
      <c r="G496" s="17" t="str" cm="1">
        <f t="array" ref="G4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6" s="15" t="str">
        <f ca="1">IF(OR(tblTraining[[#This Row],[Status]]="Renewed",tblTraining[[#This Row],[NextDueDate]]=""),"",tblTraining[[#This Row],[NextDueDate]]-TODAY())</f>
        <v/>
      </c>
      <c r="I496" s="15" t="str" cm="1">
        <f t="array" aca="1" ref="I4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7" spans="1:9" x14ac:dyDescent="0.25">
      <c r="A497" s="15">
        <f t="shared" si="7"/>
        <v>496</v>
      </c>
      <c r="B497" s="15" t="s">
        <v>121</v>
      </c>
      <c r="C497" s="15" t="str" cm="1">
        <f t="array" ref="C497">IFERROR(_xlfn.XLOOKUP(B497, tblPeople[PersonID], tblPeople[PersonName], ""), "")</f>
        <v>Chrispus King'ori</v>
      </c>
      <c r="D497" s="15" t="s">
        <v>20</v>
      </c>
      <c r="E497" s="16" t="str">
        <f>IFERROR(_xlfn.XLOOKUP(D497, tblCourses[CourseID], tblCourses[CourseName], ""), "")</f>
        <v>Safety Management Systems (Initial)</v>
      </c>
      <c r="F497" s="17">
        <v>45742</v>
      </c>
      <c r="G497" s="17" t="str" cm="1">
        <f t="array" ref="G4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7" s="15" t="str">
        <f ca="1">IF(OR(tblTraining[[#This Row],[Status]]="Renewed",tblTraining[[#This Row],[NextDueDate]]=""),"",tblTraining[[#This Row],[NextDueDate]]-TODAY())</f>
        <v/>
      </c>
      <c r="I497" s="15" t="str" cm="1">
        <f t="array" aca="1" ref="I4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8" spans="1:9" x14ac:dyDescent="0.25">
      <c r="A498" s="15">
        <f t="shared" si="7"/>
        <v>497</v>
      </c>
      <c r="B498" s="15" t="s">
        <v>121</v>
      </c>
      <c r="C498" s="15" t="str" cm="1">
        <f t="array" ref="C498">IFERROR(_xlfn.XLOOKUP(B498, tblPeople[PersonID], tblPeople[PersonName], ""), "")</f>
        <v>Chrispus King'ori</v>
      </c>
      <c r="D498" s="15" t="s">
        <v>17</v>
      </c>
      <c r="E498" s="16" t="str">
        <f>IFERROR(_xlfn.XLOOKUP(D498, tblCourses[CourseID], tblCourses[CourseName], ""), "")</f>
        <v>Safety Management Systems (Refresher)</v>
      </c>
      <c r="F498" s="17">
        <v>45742</v>
      </c>
      <c r="G498" s="17" cm="1">
        <f t="array" ref="G4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46472</v>
      </c>
      <c r="H498" s="15">
        <f ca="1">IF(OR(tblTraining[[#This Row],[Status]]="Renewed",tblTraining[[#This Row],[NextDueDate]]=""),"",tblTraining[[#This Row],[NextDueDate]]-TODAY())</f>
        <v>186</v>
      </c>
      <c r="I498" s="15" t="str" cm="1">
        <f t="array" aca="1" ref="I4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9" spans="1:9" x14ac:dyDescent="0.25">
      <c r="A499" s="15">
        <f t="shared" si="7"/>
        <v>498</v>
      </c>
      <c r="B499" s="15" t="s">
        <v>150</v>
      </c>
      <c r="C499" s="15" t="str" cm="1">
        <f t="array" ref="C499">IFERROR(_xlfn.XLOOKUP(B499, tblPeople[PersonID], tblPeople[PersonName], ""), "")</f>
        <v>Kea Kazungu</v>
      </c>
      <c r="D499" s="15" t="s">
        <v>231</v>
      </c>
      <c r="E499" s="16" t="str">
        <f>IFERROR(_xlfn.XLOOKUP(D499, tblCourses[CourseID], tblCourses[CourseName], ""), "")</f>
        <v>First Aid Training (Initial)</v>
      </c>
      <c r="F499" s="17">
        <v>41724</v>
      </c>
      <c r="G499" s="17" t="str" cm="1">
        <f t="array" ref="G4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9" s="15" t="str">
        <f ca="1">IF(OR(tblTraining[[#This Row],[Status]]="Renewed",tblTraining[[#This Row],[NextDueDate]]=""),"",tblTraining[[#This Row],[NextDueDate]]-TODAY())</f>
        <v/>
      </c>
      <c r="I499" s="15" t="str" cm="1">
        <f t="array" aca="1" ref="I4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0" spans="1:9" x14ac:dyDescent="0.25">
      <c r="A500" s="15">
        <f t="shared" si="7"/>
        <v>499</v>
      </c>
      <c r="B500" s="15" t="s">
        <v>150</v>
      </c>
      <c r="C500" s="15" t="str" cm="1">
        <f t="array" ref="C500">IFERROR(_xlfn.XLOOKUP(B500, tblPeople[PersonID], tblPeople[PersonName], ""), "")</f>
        <v>Kea Kazungu</v>
      </c>
      <c r="D500" s="15" t="s">
        <v>232</v>
      </c>
      <c r="E500" s="16" t="str">
        <f>IFERROR(_xlfn.XLOOKUP(D500, tblCourses[CourseID], tblCourses[CourseName], ""), "")</f>
        <v>First Aid Training (Refresher)</v>
      </c>
      <c r="F500" s="17">
        <v>41724</v>
      </c>
      <c r="G500" s="17" t="str" cm="1">
        <f t="array" ref="G5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0" s="15" t="str">
        <f ca="1">IF(OR(tblTraining[[#This Row],[Status]]="Renewed",tblTraining[[#This Row],[NextDueDate]]=""),"",tblTraining[[#This Row],[NextDueDate]]-TODAY())</f>
        <v/>
      </c>
      <c r="I500" s="15" t="str" cm="1">
        <f t="array" aca="1" ref="I5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01" spans="1:9" x14ac:dyDescent="0.25">
      <c r="A501" s="15">
        <f t="shared" si="7"/>
        <v>500</v>
      </c>
      <c r="B501" s="15" t="s">
        <v>150</v>
      </c>
      <c r="C501" s="15" t="str" cm="1">
        <f t="array" ref="C501">IFERROR(_xlfn.XLOOKUP(B501, tblPeople[PersonID], tblPeople[PersonName], ""), "")</f>
        <v>Kea Kazungu</v>
      </c>
      <c r="D501" s="15" t="s">
        <v>232</v>
      </c>
      <c r="E501" s="16" t="str">
        <f>IFERROR(_xlfn.XLOOKUP(D501, tblCourses[CourseID], tblCourses[CourseName], ""), "")</f>
        <v>First Aid Training (Refresher)</v>
      </c>
      <c r="F501" s="17">
        <v>44641</v>
      </c>
      <c r="G501" s="17" t="str" cm="1">
        <f t="array" ref="G5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1" s="15" t="str">
        <f ca="1">IF(OR(tblTraining[[#This Row],[Status]]="Renewed",tblTraining[[#This Row],[NextDueDate]]=""),"",tblTraining[[#This Row],[NextDueDate]]-TODAY())</f>
        <v/>
      </c>
      <c r="I501" s="15" t="str" cm="1">
        <f t="array" aca="1" ref="I5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02" spans="1:9" x14ac:dyDescent="0.25">
      <c r="A502" s="15">
        <f t="shared" si="7"/>
        <v>501</v>
      </c>
      <c r="B502" s="15" t="s">
        <v>150</v>
      </c>
      <c r="C502" s="15" t="str" cm="1">
        <f t="array" ref="C502">IFERROR(_xlfn.XLOOKUP(B502, tblPeople[PersonID], tblPeople[PersonName], ""), "")</f>
        <v>Kea Kazungu</v>
      </c>
      <c r="D502" s="15" t="s">
        <v>20</v>
      </c>
      <c r="E502" s="16" t="str">
        <f>IFERROR(_xlfn.XLOOKUP(D502, tblCourses[CourseID], tblCourses[CourseName], ""), "")</f>
        <v>Safety Management Systems (Initial)</v>
      </c>
      <c r="F502" s="17">
        <v>43684</v>
      </c>
      <c r="G502" s="17" t="str" cm="1">
        <f t="array" ref="G5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2" s="15" t="str">
        <f ca="1">IF(OR(tblTraining[[#This Row],[Status]]="Renewed",tblTraining[[#This Row],[NextDueDate]]=""),"",tblTraining[[#This Row],[NextDueDate]]-TODAY())</f>
        <v/>
      </c>
      <c r="I502" s="15" t="str" cm="1">
        <f t="array" aca="1" ref="I5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3" spans="1:9" x14ac:dyDescent="0.25">
      <c r="A503" s="15">
        <f t="shared" si="7"/>
        <v>502</v>
      </c>
      <c r="B503" s="15" t="s">
        <v>150</v>
      </c>
      <c r="C503" s="15" t="str" cm="1">
        <f t="array" ref="C503">IFERROR(_xlfn.XLOOKUP(B503, tblPeople[PersonID], tblPeople[PersonName], ""), "")</f>
        <v>Kea Kazungu</v>
      </c>
      <c r="D503" s="15" t="s">
        <v>17</v>
      </c>
      <c r="E503" s="16" t="str">
        <f>IFERROR(_xlfn.XLOOKUP(D503, tblCourses[CourseID], tblCourses[CourseName], ""), "")</f>
        <v>Safety Management Systems (Refresher)</v>
      </c>
      <c r="F503" s="17">
        <v>45910</v>
      </c>
      <c r="G503" s="17" cm="1">
        <f t="array" ref="G5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503" s="15">
        <f ca="1">IF(OR(tblTraining[[#This Row],[Status]]="Renewed",tblTraining[[#This Row],[NextDueDate]]=""),"",tblTraining[[#This Row],[NextDueDate]]-TODAY())</f>
        <v>354</v>
      </c>
      <c r="I503" s="15" t="str" cm="1">
        <f t="array" aca="1" ref="I5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4" spans="1:9" x14ac:dyDescent="0.25">
      <c r="A504" s="15">
        <f t="shared" si="7"/>
        <v>503</v>
      </c>
      <c r="B504" s="15" t="s">
        <v>150</v>
      </c>
      <c r="C504" s="15" t="str" cm="1">
        <f t="array" ref="C504">IFERROR(_xlfn.XLOOKUP(B504, tblPeople[PersonID], tblPeople[PersonName], ""), "")</f>
        <v>Kea Kazungu</v>
      </c>
      <c r="D504" s="15" t="s">
        <v>232</v>
      </c>
      <c r="E504" s="16" t="str">
        <f>IFERROR(_xlfn.XLOOKUP(D504, tblCourses[CourseID], tblCourses[CourseName], ""), "")</f>
        <v>First Aid Training (Refresher)</v>
      </c>
      <c r="F504" s="17">
        <v>45875</v>
      </c>
      <c r="G504" s="17" cm="1">
        <f t="array" ref="G5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46971</v>
      </c>
      <c r="H504" s="15">
        <f ca="1">IF(OR(tblTraining[[#This Row],[Status]]="Renewed",tblTraining[[#This Row],[NextDueDate]]=""),"",tblTraining[[#This Row],[NextDueDate]]-TODAY())</f>
        <v>685</v>
      </c>
      <c r="I504" s="15" t="str" cm="1">
        <f t="array" aca="1" ref="I5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5" spans="1:9" x14ac:dyDescent="0.25">
      <c r="A505" s="15">
        <f t="shared" si="7"/>
        <v>504</v>
      </c>
      <c r="B505" s="15" t="s">
        <v>83</v>
      </c>
      <c r="C505" s="15" t="str" cm="1">
        <f t="array" ref="C505">IFERROR(_xlfn.XLOOKUP(B505, tblPeople[PersonID], tblPeople[PersonName], ""), "")</f>
        <v>Wycliffe Kanana</v>
      </c>
      <c r="D505" s="15" t="s">
        <v>30</v>
      </c>
      <c r="E505" s="16" t="str">
        <f>IFERROR(_xlfn.XLOOKUP(D505, tblCourses[CourseID], tblCourses[CourseName], ""), "")</f>
        <v>Dangerous Goods Regulations (CBTA 7.3) (Refresher)</v>
      </c>
      <c r="F505" s="17">
        <v>45758</v>
      </c>
      <c r="G505" s="17" cm="1">
        <f t="array" ref="G5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505" s="15">
        <f ca="1">IF(OR(tblTraining[[#This Row],[Status]]="Renewed",tblTraining[[#This Row],[NextDueDate]]=""),"",tblTraining[[#This Row],[NextDueDate]]-TODAY())</f>
        <v>202</v>
      </c>
      <c r="I505" s="15" t="str" cm="1">
        <f t="array" aca="1" ref="I5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6" spans="1:9" x14ac:dyDescent="0.25">
      <c r="A506" s="15">
        <f t="shared" si="7"/>
        <v>505</v>
      </c>
      <c r="B506" s="15" t="s">
        <v>121</v>
      </c>
      <c r="C506" s="15" t="str" cm="1">
        <f t="array" ref="C506">IFERROR(_xlfn.XLOOKUP(B506, tblPeople[PersonID], tblPeople[PersonName], ""), "")</f>
        <v>Chrispus King'ori</v>
      </c>
      <c r="D506" s="15" t="s">
        <v>32</v>
      </c>
      <c r="E506" s="16" t="str">
        <f>IFERROR(_xlfn.XLOOKUP(D506, tblCourses[CourseID], tblCourses[CourseName], ""), "")</f>
        <v>Dangerous Goods Regulations (CBTA 7.3) (Initial)</v>
      </c>
      <c r="F506" s="17">
        <v>45772</v>
      </c>
      <c r="G506" s="17" t="str" cm="1">
        <f t="array" ref="G5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6" s="15" t="str">
        <f ca="1">IF(OR(tblTraining[[#This Row],[Status]]="Renewed",tblTraining[[#This Row],[NextDueDate]]=""),"",tblTraining[[#This Row],[NextDueDate]]-TODAY())</f>
        <v/>
      </c>
      <c r="I506" s="15" t="str" cm="1">
        <f t="array" aca="1" ref="I5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7" spans="1:9" x14ac:dyDescent="0.25">
      <c r="A507" s="15">
        <f t="shared" si="7"/>
        <v>506</v>
      </c>
      <c r="B507" s="15" t="s">
        <v>121</v>
      </c>
      <c r="C507" s="15" t="str" cm="1">
        <f t="array" ref="C507">IFERROR(_xlfn.XLOOKUP(B507, tblPeople[PersonID], tblPeople[PersonName], ""), "")</f>
        <v>Chrispus King'ori</v>
      </c>
      <c r="D507" s="15" t="s">
        <v>30</v>
      </c>
      <c r="E507" s="16" t="str">
        <f>IFERROR(_xlfn.XLOOKUP(D507, tblCourses[CourseID], tblCourses[CourseName], ""), "")</f>
        <v>Dangerous Goods Regulations (CBTA 7.3) (Refresher)</v>
      </c>
      <c r="F507" s="17">
        <v>45772</v>
      </c>
      <c r="G507" s="17" cm="1">
        <f t="array" ref="G5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46502</v>
      </c>
      <c r="H507" s="15">
        <f ca="1">IF(OR(tblTraining[[#This Row],[Status]]="Renewed",tblTraining[[#This Row],[NextDueDate]]=""),"",tblTraining[[#This Row],[NextDueDate]]-TODAY())</f>
        <v>216</v>
      </c>
      <c r="I507" s="15" t="str" cm="1">
        <f t="array" aca="1" ref="I5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8" spans="1:9" x14ac:dyDescent="0.25">
      <c r="A508" s="15">
        <f t="shared" si="7"/>
        <v>507</v>
      </c>
      <c r="B508" s="15" t="s">
        <v>121</v>
      </c>
      <c r="C508" s="15" t="str" cm="1">
        <f t="array" ref="C508">IFERROR(_xlfn.XLOOKUP(B508, tblPeople[PersonID], tblPeople[PersonName], ""), "")</f>
        <v>Chrispus King'ori</v>
      </c>
      <c r="D508" s="15" t="s">
        <v>176</v>
      </c>
      <c r="E508" s="16" t="str">
        <f>IFERROR(_xlfn.XLOOKUP(D508, tblCourses[CourseID], tblCourses[CourseName], ""), "")</f>
        <v>Aviation Technical Records &amp; Stores Management (TRS)</v>
      </c>
      <c r="F508" s="17">
        <v>45737</v>
      </c>
      <c r="G508" s="17" t="str" cm="1">
        <f t="array" ref="G5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8" s="15" t="str">
        <f ca="1">IF(OR(tblTraining[[#This Row],[Status]]="Renewed",tblTraining[[#This Row],[NextDueDate]]=""),"",tblTraining[[#This Row],[NextDueDate]]-TODAY())</f>
        <v/>
      </c>
      <c r="I508" s="15" t="str" cm="1">
        <f t="array" aca="1" ref="I5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9" spans="1:9" x14ac:dyDescent="0.25">
      <c r="A509" s="15">
        <f t="shared" si="7"/>
        <v>508</v>
      </c>
      <c r="B509" s="15" t="s">
        <v>121</v>
      </c>
      <c r="C509" s="15" t="str" cm="1">
        <f t="array" ref="C509">IFERROR(_xlfn.XLOOKUP(B509, tblPeople[PersonID], tblPeople[PersonName], ""), "")</f>
        <v>Chrispus King'ori</v>
      </c>
      <c r="D509" s="15" t="s">
        <v>110</v>
      </c>
      <c r="E509" s="16" t="str">
        <f>IFERROR(_xlfn.XLOOKUP(D509, tblCourses[CourseID], tblCourses[CourseName], ""), "")</f>
        <v>Electrical Wiring Interconnection System Target Groups 1 &amp; 2 (Initial)</v>
      </c>
      <c r="F509" s="17">
        <v>45803</v>
      </c>
      <c r="G509" s="17" t="str" cm="1">
        <f t="array" ref="G5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9" s="15" t="str">
        <f ca="1">IF(OR(tblTraining[[#This Row],[Status]]="Renewed",tblTraining[[#This Row],[NextDueDate]]=""),"",tblTraining[[#This Row],[NextDueDate]]-TODAY())</f>
        <v/>
      </c>
      <c r="I509" s="15" t="str" cm="1">
        <f t="array" aca="1" ref="I5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0" spans="1:9" x14ac:dyDescent="0.25">
      <c r="A510" s="15">
        <f t="shared" si="7"/>
        <v>509</v>
      </c>
      <c r="B510" s="15" t="s">
        <v>121</v>
      </c>
      <c r="C510" s="15" t="str" cm="1">
        <f t="array" ref="C510">IFERROR(_xlfn.XLOOKUP(B510, tblPeople[PersonID], tblPeople[PersonName], ""), "")</f>
        <v>Chrispus King'ori</v>
      </c>
      <c r="D510" s="15" t="s">
        <v>109</v>
      </c>
      <c r="E510" s="16" t="str">
        <f>IFERROR(_xlfn.XLOOKUP(D510, tblCourses[CourseID], tblCourses[CourseName], ""), "")</f>
        <v>Electrical Wiring Interconnection System Target Groups 1 &amp; 2 (Refresher)</v>
      </c>
      <c r="F510" s="17">
        <v>45803</v>
      </c>
      <c r="G510" s="17" cm="1">
        <f t="array" ref="G5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46533</v>
      </c>
      <c r="H510" s="15">
        <f ca="1">IF(OR(tblTraining[[#This Row],[Status]]="Renewed",tblTraining[[#This Row],[NextDueDate]]=""),"",tblTraining[[#This Row],[NextDueDate]]-TODAY())</f>
        <v>247</v>
      </c>
      <c r="I510" s="15" t="str" cm="1">
        <f t="array" aca="1" ref="I5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1" spans="1:9" x14ac:dyDescent="0.25">
      <c r="A511" s="15">
        <f t="shared" si="7"/>
        <v>510</v>
      </c>
      <c r="B511" s="15" t="s">
        <v>121</v>
      </c>
      <c r="C511" s="15" t="str" cm="1">
        <f t="array" ref="C511">IFERROR(_xlfn.XLOOKUP(B511, tblPeople[PersonID], tblPeople[PersonName], ""), "")</f>
        <v>Chrispus King'ori</v>
      </c>
      <c r="D511" s="15" t="s">
        <v>24</v>
      </c>
      <c r="E511" s="16" t="str">
        <f>IFERROR(_xlfn.XLOOKUP(D511, tblCourses[CourseID], tblCourses[CourseName], ""), "")</f>
        <v>Human Factors in Aviation (Initial)</v>
      </c>
      <c r="F511" s="17">
        <v>45851</v>
      </c>
      <c r="G511" s="17" t="str" cm="1">
        <f t="array" ref="G5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1" s="15" t="str">
        <f ca="1">IF(OR(tblTraining[[#This Row],[Status]]="Renewed",tblTraining[[#This Row],[NextDueDate]]=""),"",tblTraining[[#This Row],[NextDueDate]]-TODAY())</f>
        <v/>
      </c>
      <c r="I511" s="15" t="str" cm="1">
        <f t="array" aca="1" ref="I5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2" spans="1:9" x14ac:dyDescent="0.25">
      <c r="A512" s="15">
        <f t="shared" si="7"/>
        <v>511</v>
      </c>
      <c r="B512" s="15" t="s">
        <v>121</v>
      </c>
      <c r="C512" s="15" t="str" cm="1">
        <f t="array" ref="C512">IFERROR(_xlfn.XLOOKUP(B512, tblPeople[PersonID], tblPeople[PersonName], ""), "")</f>
        <v>Chrispus King'ori</v>
      </c>
      <c r="D512" s="15" t="s">
        <v>22</v>
      </c>
      <c r="E512" s="16" t="str">
        <f>IFERROR(_xlfn.XLOOKUP(D512, tblCourses[CourseID], tblCourses[CourseName], ""), "")</f>
        <v>Human Factors in Aviation (Refresher)</v>
      </c>
      <c r="F512" s="17">
        <v>45851</v>
      </c>
      <c r="G512" s="17" cm="1">
        <f t="array" ref="G5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46581</v>
      </c>
      <c r="H512" s="15">
        <f ca="1">IF(OR(tblTraining[[#This Row],[Status]]="Renewed",tblTraining[[#This Row],[NextDueDate]]=""),"",tblTraining[[#This Row],[NextDueDate]]-TODAY())</f>
        <v>295</v>
      </c>
      <c r="I512" s="15" t="str" cm="1">
        <f t="array" aca="1" ref="I5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3" spans="1:9" x14ac:dyDescent="0.25">
      <c r="A513" s="15">
        <f t="shared" si="7"/>
        <v>512</v>
      </c>
      <c r="B513" s="15" t="s">
        <v>97</v>
      </c>
      <c r="C513" s="15" t="str" cm="1">
        <f t="array" ref="C513">IFERROR(_xlfn.XLOOKUP(B513, tblPeople[PersonID], tblPeople[PersonName], ""), "")</f>
        <v>Thomas Wambunya</v>
      </c>
      <c r="D513" s="15" t="s">
        <v>22</v>
      </c>
      <c r="E513" s="16" t="str">
        <f>IFERROR(_xlfn.XLOOKUP(D513, tblCourses[CourseID], tblCourses[CourseName], ""), "")</f>
        <v>Human Factors in Aviation (Refresher)</v>
      </c>
      <c r="F513" s="17">
        <v>45348</v>
      </c>
      <c r="G513" s="17" t="str" cm="1">
        <f t="array" ref="G5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3" s="15" t="str">
        <f ca="1">IF(OR(tblTraining[[#This Row],[Status]]="Renewed",tblTraining[[#This Row],[NextDueDate]]=""),"",tblTraining[[#This Row],[NextDueDate]]-TODAY())</f>
        <v/>
      </c>
      <c r="I513" s="15" t="str" cm="1">
        <f t="array" aca="1" ref="I5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14" spans="1:9" x14ac:dyDescent="0.25">
      <c r="A514" s="15">
        <f t="shared" si="7"/>
        <v>513</v>
      </c>
      <c r="B514" s="15" t="s">
        <v>97</v>
      </c>
      <c r="C514" s="15" t="str" cm="1">
        <f t="array" ref="C514">IFERROR(_xlfn.XLOOKUP(B514, tblPeople[PersonID], tblPeople[PersonName], ""), "")</f>
        <v>Thomas Wambunya</v>
      </c>
      <c r="D514" s="15" t="s">
        <v>78</v>
      </c>
      <c r="E514" s="16" t="str">
        <f>IFERROR(_xlfn.XLOOKUP(D514, tblCourses[CourseID], tblCourses[CourseName], ""), "")</f>
        <v>DHC8 -100/-200/-300 Collins Wheels &amp; Brakes Familiarization Training (Initial)</v>
      </c>
      <c r="F514" s="17">
        <v>44392</v>
      </c>
      <c r="G514" s="17" t="str" cm="1">
        <f t="array" ref="G5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4" s="15" t="str">
        <f ca="1">IF(OR(tblTraining[[#This Row],[Status]]="Renewed",tblTraining[[#This Row],[NextDueDate]]=""),"",tblTraining[[#This Row],[NextDueDate]]-TODAY())</f>
        <v/>
      </c>
      <c r="I514" s="15" t="str" cm="1">
        <f t="array" aca="1" ref="I5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5" spans="1:9" x14ac:dyDescent="0.25">
      <c r="A515" s="15">
        <f t="shared" si="7"/>
        <v>514</v>
      </c>
      <c r="B515" s="15" t="s">
        <v>97</v>
      </c>
      <c r="C515" s="15" t="str" cm="1">
        <f t="array" ref="C515">IFERROR(_xlfn.XLOOKUP(B515, tblPeople[PersonID], tblPeople[PersonName], ""), "")</f>
        <v>Thomas Wambunya</v>
      </c>
      <c r="D515" s="15" t="s">
        <v>29</v>
      </c>
      <c r="E515" s="16" t="str">
        <f>IFERROR(_xlfn.XLOOKUP(D515, tblCourses[CourseID], tblCourses[CourseName], ""), "")</f>
        <v>DHC-8 100/200/300 with PWC 120/120A/121/123B/C/D/E Series Engines(Initial)</v>
      </c>
      <c r="F515" s="17">
        <v>43777</v>
      </c>
      <c r="G515" s="17" t="str" cm="1">
        <f t="array" ref="G5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5" s="15" t="str">
        <f ca="1">IF(OR(tblTraining[[#This Row],[Status]]="Renewed",tblTraining[[#This Row],[NextDueDate]]=""),"",tblTraining[[#This Row],[NextDueDate]]-TODAY())</f>
        <v/>
      </c>
      <c r="I515" s="15" t="str" cm="1">
        <f t="array" aca="1" ref="I5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6" spans="1:9" x14ac:dyDescent="0.25">
      <c r="A516" s="15">
        <f t="shared" ref="A516:A579" si="8">A515+1</f>
        <v>515</v>
      </c>
      <c r="B516" s="15" t="s">
        <v>97</v>
      </c>
      <c r="C516" s="15" t="str" cm="1">
        <f t="array" ref="C516">IFERROR(_xlfn.XLOOKUP(B516, tblPeople[PersonID], tblPeople[PersonName], ""), "")</f>
        <v>Thomas Wambunya</v>
      </c>
      <c r="D516" s="15" t="s">
        <v>110</v>
      </c>
      <c r="E516" s="16" t="str">
        <f>IFERROR(_xlfn.XLOOKUP(D516, tblCourses[CourseID], tblCourses[CourseName], ""), "")</f>
        <v>Electrical Wiring Interconnection System Target Groups 1 &amp; 2 (Initial)</v>
      </c>
      <c r="F516" s="17">
        <v>45791</v>
      </c>
      <c r="G516" s="17" t="str" cm="1">
        <f t="array" ref="G5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6" s="15" t="str">
        <f ca="1">IF(OR(tblTraining[[#This Row],[Status]]="Renewed",tblTraining[[#This Row],[NextDueDate]]=""),"",tblTraining[[#This Row],[NextDueDate]]-TODAY())</f>
        <v/>
      </c>
      <c r="I516" s="15" t="str" cm="1">
        <f t="array" aca="1" ref="I5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7" spans="1:9" x14ac:dyDescent="0.25">
      <c r="A517" s="15">
        <f t="shared" si="8"/>
        <v>516</v>
      </c>
      <c r="B517" s="15" t="s">
        <v>97</v>
      </c>
      <c r="C517" s="15" t="str" cm="1">
        <f t="array" ref="C517">IFERROR(_xlfn.XLOOKUP(B517, tblPeople[PersonID], tblPeople[PersonName], ""), "")</f>
        <v>Thomas Wambunya</v>
      </c>
      <c r="D517" s="15" t="s">
        <v>109</v>
      </c>
      <c r="E517" s="16" t="str">
        <f>IFERROR(_xlfn.XLOOKUP(D517, tblCourses[CourseID], tblCourses[CourseName], ""), "")</f>
        <v>Electrical Wiring Interconnection System Target Groups 1 &amp; 2 (Refresher)</v>
      </c>
      <c r="F517" s="17">
        <v>45791</v>
      </c>
      <c r="G517" s="17" cm="1">
        <f t="array" ref="G5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46521</v>
      </c>
      <c r="H517" s="15">
        <f ca="1">IF(OR(tblTraining[[#This Row],[Status]]="Renewed",tblTraining[[#This Row],[NextDueDate]]=""),"",tblTraining[[#This Row],[NextDueDate]]-TODAY())</f>
        <v>235</v>
      </c>
      <c r="I517" s="15" t="str" cm="1">
        <f t="array" aca="1" ref="I5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8" spans="1:9" x14ac:dyDescent="0.25">
      <c r="A518" s="15">
        <f t="shared" si="8"/>
        <v>517</v>
      </c>
      <c r="B518" s="15" t="s">
        <v>94</v>
      </c>
      <c r="C518" s="15" t="str" cm="1">
        <f t="array" ref="C518">IFERROR(_xlfn.XLOOKUP(B518, tblPeople[PersonID], tblPeople[PersonName], ""), "")</f>
        <v>Moses Musyoka</v>
      </c>
      <c r="D518" s="15" t="s">
        <v>110</v>
      </c>
      <c r="E518" s="16" t="str">
        <f>IFERROR(_xlfn.XLOOKUP(D518, tblCourses[CourseID], tblCourses[CourseName], ""), "")</f>
        <v>Electrical Wiring Interconnection System Target Groups 1 &amp; 2 (Initial)</v>
      </c>
      <c r="F518" s="17">
        <v>45788</v>
      </c>
      <c r="G518" s="17" t="str" cm="1">
        <f t="array" ref="G5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8" s="15" t="str">
        <f ca="1">IF(OR(tblTraining[[#This Row],[Status]]="Renewed",tblTraining[[#This Row],[NextDueDate]]=""),"",tblTraining[[#This Row],[NextDueDate]]-TODAY())</f>
        <v/>
      </c>
      <c r="I518" s="15" t="str" cm="1">
        <f t="array" aca="1" ref="I5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9" spans="1:9" x14ac:dyDescent="0.25">
      <c r="A519" s="15">
        <f t="shared" si="8"/>
        <v>518</v>
      </c>
      <c r="B519" s="15" t="s">
        <v>94</v>
      </c>
      <c r="C519" s="15" t="str" cm="1">
        <f t="array" ref="C519">IFERROR(_xlfn.XLOOKUP(B519, tblPeople[PersonID], tblPeople[PersonName], ""), "")</f>
        <v>Moses Musyoka</v>
      </c>
      <c r="D519" s="15" t="s">
        <v>20</v>
      </c>
      <c r="E519" s="16" t="str">
        <f>IFERROR(_xlfn.XLOOKUP(D519, tblCourses[CourseID], tblCourses[CourseName], ""), "")</f>
        <v>Safety Management Systems (Initial)</v>
      </c>
      <c r="F519" s="17">
        <v>45379</v>
      </c>
      <c r="G519" s="17" t="str" cm="1">
        <f t="array" ref="G5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9" s="15" t="str">
        <f ca="1">IF(OR(tblTraining[[#This Row],[Status]]="Renewed",tblTraining[[#This Row],[NextDueDate]]=""),"",tblTraining[[#This Row],[NextDueDate]]-TODAY())</f>
        <v/>
      </c>
      <c r="I519" s="15" t="str" cm="1">
        <f t="array" aca="1" ref="I5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0" spans="1:9" x14ac:dyDescent="0.25">
      <c r="A520" s="15">
        <f t="shared" si="8"/>
        <v>519</v>
      </c>
      <c r="B520" s="15" t="s">
        <v>94</v>
      </c>
      <c r="C520" s="15" t="str" cm="1">
        <f t="array" ref="C520">IFERROR(_xlfn.XLOOKUP(B520, tblPeople[PersonID], tblPeople[PersonName], ""), "")</f>
        <v>Moses Musyoka</v>
      </c>
      <c r="D520" s="15" t="s">
        <v>27</v>
      </c>
      <c r="E520" s="16" t="str">
        <f>IFERROR(_xlfn.XLOOKUP(D520, tblCourses[CourseID], tblCourses[CourseName], ""), "")</f>
        <v>Pratt &amp; Whitney Canada PT6A Engine With P&amp;WC PT6A
20/ 27/ 41/ 42/ 60A/ 67D/ 112/ 114A/ 140 (Initial)</v>
      </c>
      <c r="F520" s="17">
        <v>42496</v>
      </c>
      <c r="G520" s="17" t="str" cm="1">
        <f t="array" ref="G5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0" s="15" t="str">
        <f ca="1">IF(OR(tblTraining[[#This Row],[Status]]="Renewed",tblTraining[[#This Row],[NextDueDate]]=""),"",tblTraining[[#This Row],[NextDueDate]]-TODAY())</f>
        <v/>
      </c>
      <c r="I520" s="15" t="str" cm="1">
        <f t="array" aca="1" ref="I5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1" spans="1:9" x14ac:dyDescent="0.25">
      <c r="A521" s="15">
        <f t="shared" si="8"/>
        <v>520</v>
      </c>
      <c r="B521" s="15" t="s">
        <v>94</v>
      </c>
      <c r="C521" s="15" t="str" cm="1">
        <f t="array" ref="C521">IFERROR(_xlfn.XLOOKUP(B521, tblPeople[PersonID], tblPeople[PersonName], ""), "")</f>
        <v>Moses Musyoka</v>
      </c>
      <c r="D521" s="15" t="s">
        <v>137</v>
      </c>
      <c r="E521" s="16" t="str">
        <f>IFERROR(_xlfn.XLOOKUP(D521, tblCourses[CourseID], tblCourses[CourseName], ""), "")</f>
        <v>GARMIN 1000 Avionics</v>
      </c>
      <c r="F521" s="17">
        <v>42583</v>
      </c>
      <c r="G521" s="17" t="str" cm="1">
        <f t="array" ref="G5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1" s="15" t="str">
        <f ca="1">IF(OR(tblTraining[[#This Row],[Status]]="Renewed",tblTraining[[#This Row],[NextDueDate]]=""),"",tblTraining[[#This Row],[NextDueDate]]-TODAY())</f>
        <v/>
      </c>
      <c r="I521" s="15" t="str" cm="1">
        <f t="array" aca="1" ref="I5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2" spans="1:9" x14ac:dyDescent="0.25">
      <c r="A522" s="15">
        <f t="shared" si="8"/>
        <v>521</v>
      </c>
      <c r="B522" s="15" t="s">
        <v>120</v>
      </c>
      <c r="C522" s="15" t="str" cm="1">
        <f t="array" ref="C522">IFERROR(_xlfn.XLOOKUP(B522, tblPeople[PersonID], tblPeople[PersonName], ""), "")</f>
        <v>Churchill Bil</v>
      </c>
      <c r="D522" s="15" t="s">
        <v>124</v>
      </c>
      <c r="E522" s="16" t="str">
        <f>IFERROR(_xlfn.XLOOKUP(D522, tblCourses[CourseID], tblCourses[CourseName], ""), "")</f>
        <v>Aviation Security (Initial)</v>
      </c>
      <c r="F522" s="17">
        <v>45716</v>
      </c>
      <c r="G522" s="17" t="str" cm="1">
        <f t="array" ref="G5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2" s="15" t="str">
        <f ca="1">IF(OR(tblTraining[[#This Row],[Status]]="Renewed",tblTraining[[#This Row],[NextDueDate]]=""),"",tblTraining[[#This Row],[NextDueDate]]-TODAY())</f>
        <v/>
      </c>
      <c r="I522" s="15" t="str" cm="1">
        <f t="array" aca="1" ref="I5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3" spans="1:9" x14ac:dyDescent="0.25">
      <c r="A523" s="15">
        <f t="shared" si="8"/>
        <v>522</v>
      </c>
      <c r="B523" s="15" t="s">
        <v>120</v>
      </c>
      <c r="C523" s="15" t="str" cm="1">
        <f t="array" ref="C523">IFERROR(_xlfn.XLOOKUP(B523, tblPeople[PersonID], tblPeople[PersonName], ""), "")</f>
        <v>Churchill Bil</v>
      </c>
      <c r="D523" s="15" t="s">
        <v>125</v>
      </c>
      <c r="E523" s="16" t="str">
        <f>IFERROR(_xlfn.XLOOKUP(D523, tblCourses[CourseID], tblCourses[CourseName], ""), "")</f>
        <v>Aviation Security (Refresher)</v>
      </c>
      <c r="F523" s="17">
        <v>45716</v>
      </c>
      <c r="G523" s="17" cm="1">
        <f t="array" ref="G5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523" s="15">
        <f ca="1">IF(OR(tblTraining[[#This Row],[Status]]="Renewed",tblTraining[[#This Row],[NextDueDate]]=""),"",tblTraining[[#This Row],[NextDueDate]]-TODAY())</f>
        <v>160</v>
      </c>
      <c r="I523" s="15" t="str" cm="1">
        <f t="array" aca="1" ref="I5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4" spans="1:9" x14ac:dyDescent="0.25">
      <c r="A524" s="15">
        <f t="shared" si="8"/>
        <v>523</v>
      </c>
      <c r="B524" s="15" t="s">
        <v>120</v>
      </c>
      <c r="C524" s="15" t="str" cm="1">
        <f t="array" ref="C524">IFERROR(_xlfn.XLOOKUP(B524, tblPeople[PersonID], tblPeople[PersonName], ""), "")</f>
        <v>Churchill Bil</v>
      </c>
      <c r="D524" s="15" t="s">
        <v>110</v>
      </c>
      <c r="E524" s="16" t="str">
        <f>IFERROR(_xlfn.XLOOKUP(D524, tblCourses[CourseID], tblCourses[CourseName], ""), "")</f>
        <v>Electrical Wiring Interconnection System Target Groups 1 &amp; 2 (Initial)</v>
      </c>
      <c r="F524" s="17">
        <v>45800</v>
      </c>
      <c r="G524" s="17" t="str" cm="1">
        <f t="array" ref="G5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4" s="15" t="str">
        <f ca="1">IF(OR(tblTraining[[#This Row],[Status]]="Renewed",tblTraining[[#This Row],[NextDueDate]]=""),"",tblTraining[[#This Row],[NextDueDate]]-TODAY())</f>
        <v/>
      </c>
      <c r="I524" s="15" t="str" cm="1">
        <f t="array" aca="1" ref="I5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5" spans="1:9" x14ac:dyDescent="0.25">
      <c r="A525" s="15">
        <f t="shared" si="8"/>
        <v>524</v>
      </c>
      <c r="B525" s="15" t="s">
        <v>120</v>
      </c>
      <c r="C525" s="15" t="str" cm="1">
        <f t="array" ref="C525">IFERROR(_xlfn.XLOOKUP(B525, tblPeople[PersonID], tblPeople[PersonName], ""), "")</f>
        <v>Churchill Bil</v>
      </c>
      <c r="D525" s="15" t="s">
        <v>109</v>
      </c>
      <c r="E525" s="16" t="str">
        <f>IFERROR(_xlfn.XLOOKUP(D525, tblCourses[CourseID], tblCourses[CourseName], ""), "")</f>
        <v>Electrical Wiring Interconnection System Target Groups 1 &amp; 2 (Refresher)</v>
      </c>
      <c r="F525" s="17">
        <v>45800</v>
      </c>
      <c r="G525" s="17" cm="1">
        <f t="array" ref="G5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46530</v>
      </c>
      <c r="H525" s="15">
        <f ca="1">IF(OR(tblTraining[[#This Row],[Status]]="Renewed",tblTraining[[#This Row],[NextDueDate]]=""),"",tblTraining[[#This Row],[NextDueDate]]-TODAY())</f>
        <v>244</v>
      </c>
      <c r="I525" s="15" t="str" cm="1">
        <f t="array" aca="1" ref="I5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6" spans="1:9" x14ac:dyDescent="0.25">
      <c r="A526" s="15">
        <f t="shared" si="8"/>
        <v>525</v>
      </c>
      <c r="B526" s="15" t="s">
        <v>107</v>
      </c>
      <c r="C526" s="15" t="str" cm="1">
        <f t="array" ref="C526">IFERROR(_xlfn.XLOOKUP(B526, tblPeople[PersonID], tblPeople[PersonName], ""), "")</f>
        <v>Julius Nyawira</v>
      </c>
      <c r="D526" s="15" t="s">
        <v>77</v>
      </c>
      <c r="E526" s="16" t="str">
        <f>IFERROR(_xlfn.XLOOKUP(D526, tblCourses[CourseID], tblCourses[CourseName], ""), "")</f>
        <v>DHC8 -100/-200/-300 Collins Wheels &amp; Brakes Familiarization Training (Refresher)</v>
      </c>
      <c r="F526" s="17">
        <v>45637</v>
      </c>
      <c r="G526" s="17" cm="1">
        <f t="array" ref="G5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26" s="15">
        <f ca="1">IF(OR(tblTraining[[#This Row],[Status]]="Renewed",tblTraining[[#This Row],[NextDueDate]]=""),"",tblTraining[[#This Row],[NextDueDate]]-TODAY())</f>
        <v>81</v>
      </c>
      <c r="I526" s="15" t="str" cm="1">
        <f t="array" aca="1" ref="I5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7" spans="1:9" x14ac:dyDescent="0.25">
      <c r="A527" s="15">
        <f t="shared" si="8"/>
        <v>526</v>
      </c>
      <c r="B527" s="15" t="s">
        <v>107</v>
      </c>
      <c r="C527" s="15" t="str" cm="1">
        <f t="array" ref="C527">IFERROR(_xlfn.XLOOKUP(B527, tblPeople[PersonID], tblPeople[PersonName], ""), "")</f>
        <v>Julius Nyawira</v>
      </c>
      <c r="D527" s="15" t="s">
        <v>110</v>
      </c>
      <c r="E527" s="16" t="str">
        <f>IFERROR(_xlfn.XLOOKUP(D527, tblCourses[CourseID], tblCourses[CourseName], ""), "")</f>
        <v>Electrical Wiring Interconnection System Target Groups 1 &amp; 2 (Initial)</v>
      </c>
      <c r="F527" s="17">
        <v>45803</v>
      </c>
      <c r="G527" s="17" t="str" cm="1">
        <f t="array" ref="G5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7" s="15" t="str">
        <f ca="1">IF(OR(tblTraining[[#This Row],[Status]]="Renewed",tblTraining[[#This Row],[NextDueDate]]=""),"",tblTraining[[#This Row],[NextDueDate]]-TODAY())</f>
        <v/>
      </c>
      <c r="I527" s="15" t="str" cm="1">
        <f t="array" aca="1" ref="I5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8" spans="1:9" x14ac:dyDescent="0.25">
      <c r="A528" s="15">
        <f t="shared" si="8"/>
        <v>527</v>
      </c>
      <c r="B528" s="15" t="s">
        <v>107</v>
      </c>
      <c r="C528" s="15" t="str" cm="1">
        <f t="array" ref="C528">IFERROR(_xlfn.XLOOKUP(B528, tblPeople[PersonID], tblPeople[PersonName], ""), "")</f>
        <v>Julius Nyawira</v>
      </c>
      <c r="D528" s="15" t="s">
        <v>75</v>
      </c>
      <c r="E528" s="16" t="str">
        <f>IFERROR(_xlfn.XLOOKUP(D528, tblCourses[CourseID], tblCourses[CourseName], ""), "")</f>
        <v>Fuel Tank Safety Phase 1 &amp; 2 Course (Refresher)</v>
      </c>
      <c r="F528" s="17">
        <v>45403</v>
      </c>
      <c r="G528" s="17" t="str" cm="1">
        <f t="array" ref="G5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8" s="15" t="str">
        <f ca="1">IF(OR(tblTraining[[#This Row],[Status]]="Renewed",tblTraining[[#This Row],[NextDueDate]]=""),"",tblTraining[[#This Row],[NextDueDate]]-TODAY())</f>
        <v/>
      </c>
      <c r="I528" s="15" t="str" cm="1">
        <f t="array" aca="1" ref="I5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29" spans="1:9" x14ac:dyDescent="0.25">
      <c r="A529" s="15">
        <f t="shared" si="8"/>
        <v>528</v>
      </c>
      <c r="B529" s="15" t="s">
        <v>107</v>
      </c>
      <c r="C529" s="15" t="str" cm="1">
        <f t="array" ref="C529">IFERROR(_xlfn.XLOOKUP(B529, tblPeople[PersonID], tblPeople[PersonName], ""), "")</f>
        <v>Julius Nyawira</v>
      </c>
      <c r="D529" s="15" t="s">
        <v>27</v>
      </c>
      <c r="E529" s="16" t="str">
        <f>IFERROR(_xlfn.XLOOKUP(D529, tblCourses[CourseID], tblCourses[CourseName], ""), "")</f>
        <v>Pratt &amp; Whitney Canada PT6A Engine With P&amp;WC PT6A
20/ 27/ 41/ 42/ 60A/ 67D/ 112/ 114A/ 140 (Initial)</v>
      </c>
      <c r="F529" s="17">
        <v>43655</v>
      </c>
      <c r="G529" s="17" t="str" cm="1">
        <f t="array" ref="G5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9" s="15" t="str">
        <f ca="1">IF(OR(tblTraining[[#This Row],[Status]]="Renewed",tblTraining[[#This Row],[NextDueDate]]=""),"",tblTraining[[#This Row],[NextDueDate]]-TODAY())</f>
        <v/>
      </c>
      <c r="I529" s="15" t="str" cm="1">
        <f t="array" aca="1" ref="I5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0" spans="1:9" x14ac:dyDescent="0.25">
      <c r="A530" s="15">
        <f t="shared" si="8"/>
        <v>529</v>
      </c>
      <c r="B530" s="15" t="s">
        <v>107</v>
      </c>
      <c r="C530" s="15" t="str" cm="1">
        <f t="array" ref="C530">IFERROR(_xlfn.XLOOKUP(B530, tblPeople[PersonID], tblPeople[PersonName], ""), "")</f>
        <v>Julius Nyawira</v>
      </c>
      <c r="D530" s="15" t="s">
        <v>238</v>
      </c>
      <c r="E530" s="16" t="str">
        <f>IFERROR(_xlfn.XLOOKUP(D530, tblCourses[CourseID], tblCourses[CourseName], ""), "")</f>
        <v>Crew Resource Management (Initial)</v>
      </c>
      <c r="F530" s="17">
        <v>44148</v>
      </c>
      <c r="G530" s="17" t="str" cm="1">
        <f t="array" ref="G5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0" s="15" t="str">
        <f ca="1">IF(OR(tblTraining[[#This Row],[Status]]="Renewed",tblTraining[[#This Row],[NextDueDate]]=""),"",tblTraining[[#This Row],[NextDueDate]]-TODAY())</f>
        <v/>
      </c>
      <c r="I530" s="15" t="str" cm="1">
        <f t="array" aca="1" ref="I5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1" spans="1:9" x14ac:dyDescent="0.25">
      <c r="A531" s="15">
        <f t="shared" si="8"/>
        <v>530</v>
      </c>
      <c r="B531" s="15" t="s">
        <v>86</v>
      </c>
      <c r="C531" s="15" t="str" cm="1">
        <f t="array" ref="C531">IFERROR(_xlfn.XLOOKUP(B531, tblPeople[PersonID], tblPeople[PersonName], ""), "")</f>
        <v>Samuel Okoth</v>
      </c>
      <c r="D531" s="15" t="s">
        <v>78</v>
      </c>
      <c r="E531" s="16" t="str">
        <f>IFERROR(_xlfn.XLOOKUP(D531, tblCourses[CourseID], tblCourses[CourseName], ""), "")</f>
        <v>DHC8 -100/-200/-300 Collins Wheels &amp; Brakes Familiarization Training (Initial)</v>
      </c>
      <c r="F531" s="17">
        <v>45637</v>
      </c>
      <c r="G531" s="17" t="str" cm="1">
        <f t="array" ref="G5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1" s="15" t="str">
        <f ca="1">IF(OR(tblTraining[[#This Row],[Status]]="Renewed",tblTraining[[#This Row],[NextDueDate]]=""),"",tblTraining[[#This Row],[NextDueDate]]-TODAY())</f>
        <v/>
      </c>
      <c r="I531" s="15" t="str" cm="1">
        <f t="array" aca="1" ref="I5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2" spans="1:9" x14ac:dyDescent="0.25">
      <c r="A532" s="15">
        <f t="shared" si="8"/>
        <v>531</v>
      </c>
      <c r="B532" s="15" t="s">
        <v>86</v>
      </c>
      <c r="C532" s="15" t="str" cm="1">
        <f t="array" ref="C532">IFERROR(_xlfn.XLOOKUP(B532, tblPeople[PersonID], tblPeople[PersonName], ""), "")</f>
        <v>Samuel Okoth</v>
      </c>
      <c r="D532" s="15" t="s">
        <v>77</v>
      </c>
      <c r="E532" s="16" t="str">
        <f>IFERROR(_xlfn.XLOOKUP(D532, tblCourses[CourseID], tblCourses[CourseName], ""), "")</f>
        <v>DHC8 -100/-200/-300 Collins Wheels &amp; Brakes Familiarization Training (Refresher)</v>
      </c>
      <c r="F532" s="17">
        <v>45637</v>
      </c>
      <c r="G532" s="17" cm="1">
        <f t="array" ref="G5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32" s="15">
        <f ca="1">IF(OR(tblTraining[[#This Row],[Status]]="Renewed",tblTraining[[#This Row],[NextDueDate]]=""),"",tblTraining[[#This Row],[NextDueDate]]-TODAY())</f>
        <v>81</v>
      </c>
      <c r="I532" s="15" t="str" cm="1">
        <f t="array" aca="1" ref="I5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3" spans="1:9" x14ac:dyDescent="0.25">
      <c r="A533" s="15">
        <f t="shared" si="8"/>
        <v>532</v>
      </c>
      <c r="B533" s="15" t="s">
        <v>86</v>
      </c>
      <c r="C533" s="15" t="str" cm="1">
        <f t="array" ref="C533">IFERROR(_xlfn.XLOOKUP(B533, tblPeople[PersonID], tblPeople[PersonName], ""), "")</f>
        <v>Samuel Okoth</v>
      </c>
      <c r="D533" s="15" t="s">
        <v>75</v>
      </c>
      <c r="E533" s="16" t="str">
        <f>IFERROR(_xlfn.XLOOKUP(D533, tblCourses[CourseID], tblCourses[CourseName], ""), "")</f>
        <v>Fuel Tank Safety Phase 1 &amp; 2 Course (Refresher)</v>
      </c>
      <c r="F533" s="17">
        <v>45382</v>
      </c>
      <c r="G533" s="17" t="str" cm="1">
        <f t="array" ref="G5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3" s="15" t="str">
        <f ca="1">IF(OR(tblTraining[[#This Row],[Status]]="Renewed",tblTraining[[#This Row],[NextDueDate]]=""),"",tblTraining[[#This Row],[NextDueDate]]-TODAY())</f>
        <v/>
      </c>
      <c r="I533" s="15" t="str" cm="1">
        <f t="array" aca="1" ref="I5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34" spans="1:9" x14ac:dyDescent="0.25">
      <c r="A534" s="15">
        <f t="shared" si="8"/>
        <v>533</v>
      </c>
      <c r="B534" s="15" t="s">
        <v>86</v>
      </c>
      <c r="C534" s="15" t="str" cm="1">
        <f t="array" ref="C534">IFERROR(_xlfn.XLOOKUP(B534, tblPeople[PersonID], tblPeople[PersonName], ""), "")</f>
        <v>Samuel Okoth</v>
      </c>
      <c r="D534" s="15" t="s">
        <v>24</v>
      </c>
      <c r="E534" s="16" t="str">
        <f>IFERROR(_xlfn.XLOOKUP(D534, tblCourses[CourseID], tblCourses[CourseName], ""), "")</f>
        <v>Human Factors in Aviation (Initial)</v>
      </c>
      <c r="F534" s="17">
        <v>44851</v>
      </c>
      <c r="G534" s="17" t="str" cm="1">
        <f t="array" ref="G5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4" s="15" t="str">
        <f ca="1">IF(OR(tblTraining[[#This Row],[Status]]="Renewed",tblTraining[[#This Row],[NextDueDate]]=""),"",tblTraining[[#This Row],[NextDueDate]]-TODAY())</f>
        <v/>
      </c>
      <c r="I534" s="15" t="str" cm="1">
        <f t="array" aca="1" ref="I5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5" spans="1:9" x14ac:dyDescent="0.25">
      <c r="A535" s="15">
        <f t="shared" si="8"/>
        <v>534</v>
      </c>
      <c r="B535" s="15" t="s">
        <v>86</v>
      </c>
      <c r="C535" s="15" t="str" cm="1">
        <f t="array" ref="C535">IFERROR(_xlfn.XLOOKUP(B535, tblPeople[PersonID], tblPeople[PersonName], ""), "")</f>
        <v>Samuel Okoth</v>
      </c>
      <c r="D535" s="15" t="s">
        <v>20</v>
      </c>
      <c r="E535" s="16" t="str">
        <f>IFERROR(_xlfn.XLOOKUP(D535, tblCourses[CourseID], tblCourses[CourseName], ""), "")</f>
        <v>Safety Management Systems (Initial)</v>
      </c>
      <c r="F535" s="17">
        <v>44853</v>
      </c>
      <c r="G535" s="17" t="str" cm="1">
        <f t="array" ref="G5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5" s="15" t="str">
        <f ca="1">IF(OR(tblTraining[[#This Row],[Status]]="Renewed",tblTraining[[#This Row],[NextDueDate]]=""),"",tblTraining[[#This Row],[NextDueDate]]-TODAY())</f>
        <v/>
      </c>
      <c r="I535" s="15" t="str" cm="1">
        <f t="array" aca="1" ref="I5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6" spans="1:9" x14ac:dyDescent="0.25">
      <c r="A536" s="15">
        <f t="shared" si="8"/>
        <v>535</v>
      </c>
      <c r="B536" s="15" t="s">
        <v>86</v>
      </c>
      <c r="C536" s="15" t="str" cm="1">
        <f t="array" ref="C536">IFERROR(_xlfn.XLOOKUP(B536, tblPeople[PersonID], tblPeople[PersonName], ""), "")</f>
        <v>Samuel Okoth</v>
      </c>
      <c r="D536" s="15" t="s">
        <v>110</v>
      </c>
      <c r="E536" s="16" t="str">
        <f>IFERROR(_xlfn.XLOOKUP(D536, tblCourses[CourseID], tblCourses[CourseName], ""), "")</f>
        <v>Electrical Wiring Interconnection System Target Groups 1 &amp; 2 (Initial)</v>
      </c>
      <c r="F536" s="17">
        <v>45805</v>
      </c>
      <c r="G536" s="17" t="str" cm="1">
        <f t="array" ref="G5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6" s="15" t="str">
        <f ca="1">IF(OR(tblTraining[[#This Row],[Status]]="Renewed",tblTraining[[#This Row],[NextDueDate]]=""),"",tblTraining[[#This Row],[NextDueDate]]-TODAY())</f>
        <v/>
      </c>
      <c r="I536" s="15" t="str" cm="1">
        <f t="array" aca="1" ref="I5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7" spans="1:9" x14ac:dyDescent="0.25">
      <c r="A537" s="15">
        <f t="shared" si="8"/>
        <v>536</v>
      </c>
      <c r="B537" s="15" t="s">
        <v>86</v>
      </c>
      <c r="C537" s="15" t="str" cm="1">
        <f t="array" ref="C537">IFERROR(_xlfn.XLOOKUP(B537, tblPeople[PersonID], tblPeople[PersonName], ""), "")</f>
        <v>Samuel Okoth</v>
      </c>
      <c r="D537" s="15" t="s">
        <v>109</v>
      </c>
      <c r="E537" s="16" t="str">
        <f>IFERROR(_xlfn.XLOOKUP(D537, tblCourses[CourseID], tblCourses[CourseName], ""), "")</f>
        <v>Electrical Wiring Interconnection System Target Groups 1 &amp; 2 (Refresher)</v>
      </c>
      <c r="F537" s="17">
        <v>45805</v>
      </c>
      <c r="G537" s="17" cm="1">
        <f t="array" ref="G5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537" s="15">
        <f ca="1">IF(OR(tblTraining[[#This Row],[Status]]="Renewed",tblTraining[[#This Row],[NextDueDate]]=""),"",tblTraining[[#This Row],[NextDueDate]]-TODAY())</f>
        <v>249</v>
      </c>
      <c r="I537" s="15" t="str" cm="1">
        <f t="array" aca="1" ref="I5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8" spans="1:9" x14ac:dyDescent="0.25">
      <c r="A538" s="15">
        <f t="shared" si="8"/>
        <v>537</v>
      </c>
      <c r="B538" s="15" t="s">
        <v>118</v>
      </c>
      <c r="C538" s="15" t="str" cm="1">
        <f t="array" ref="C538">IFERROR(_xlfn.XLOOKUP(B538, tblPeople[PersonID], tblPeople[PersonName], ""), "")</f>
        <v>Michael Olunga</v>
      </c>
      <c r="D538" s="15" t="s">
        <v>126</v>
      </c>
      <c r="E538" s="16" t="str">
        <f>IFERROR(_xlfn.XLOOKUP(D538, tblCourses[CourseID], tblCourses[CourseName], ""), "")</f>
        <v>Maintenance Indoctrination</v>
      </c>
      <c r="F538" s="17">
        <v>43600</v>
      </c>
      <c r="G538" s="17" t="str" cm="1">
        <f t="array" ref="G5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8" s="15" t="str">
        <f ca="1">IF(OR(tblTraining[[#This Row],[Status]]="Renewed",tblTraining[[#This Row],[NextDueDate]]=""),"",tblTraining[[#This Row],[NextDueDate]]-TODAY())</f>
        <v/>
      </c>
      <c r="I538" s="15" t="str" cm="1">
        <f t="array" aca="1" ref="I5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9" spans="1:9" x14ac:dyDescent="0.25">
      <c r="A539" s="15">
        <f t="shared" si="8"/>
        <v>538</v>
      </c>
      <c r="B539" s="15" t="s">
        <v>118</v>
      </c>
      <c r="C539" s="15" t="str" cm="1">
        <f t="array" ref="C539">IFERROR(_xlfn.XLOOKUP(B539, tblPeople[PersonID], tblPeople[PersonName], ""), "")</f>
        <v>Michael Olunga</v>
      </c>
      <c r="D539" s="15" t="s">
        <v>22</v>
      </c>
      <c r="E539" s="16" t="str">
        <f>IFERROR(_xlfn.XLOOKUP(D539, tblCourses[CourseID], tblCourses[CourseName], ""), "")</f>
        <v>Human Factors in Aviation (Refresher)</v>
      </c>
      <c r="F539" s="17">
        <v>45870</v>
      </c>
      <c r="G539" s="17" cm="1">
        <f t="array" ref="G5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46600</v>
      </c>
      <c r="H539" s="15">
        <f ca="1">IF(OR(tblTraining[[#This Row],[Status]]="Renewed",tblTraining[[#This Row],[NextDueDate]]=""),"",tblTraining[[#This Row],[NextDueDate]]-TODAY())</f>
        <v>314</v>
      </c>
      <c r="I539" s="15" t="str" cm="1">
        <f t="array" aca="1" ref="I5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0" spans="1:9" x14ac:dyDescent="0.25">
      <c r="A540" s="15">
        <f t="shared" si="8"/>
        <v>539</v>
      </c>
      <c r="B540" s="15" t="s">
        <v>118</v>
      </c>
      <c r="C540" s="15" t="str" cm="1">
        <f t="array" ref="C540">IFERROR(_xlfn.XLOOKUP(B540, tblPeople[PersonID], tblPeople[PersonName], ""), "")</f>
        <v>Michael Olunga</v>
      </c>
      <c r="D540" s="15" t="s">
        <v>17</v>
      </c>
      <c r="E540" s="16" t="str">
        <f>IFERROR(_xlfn.XLOOKUP(D540, tblCourses[CourseID], tblCourses[CourseName], ""), "")</f>
        <v>Safety Management Systems (Refresher)</v>
      </c>
      <c r="F540" s="17">
        <v>45879</v>
      </c>
      <c r="G540" s="17" cm="1">
        <f t="array" ref="G5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46609</v>
      </c>
      <c r="H540" s="15">
        <f ca="1">IF(OR(tblTraining[[#This Row],[Status]]="Renewed",tblTraining[[#This Row],[NextDueDate]]=""),"",tblTraining[[#This Row],[NextDueDate]]-TODAY())</f>
        <v>323</v>
      </c>
      <c r="I540" s="15" t="str" cm="1">
        <f t="array" aca="1" ref="I5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1" spans="1:9" x14ac:dyDescent="0.25">
      <c r="A541" s="15">
        <f t="shared" si="8"/>
        <v>540</v>
      </c>
      <c r="B541" s="15" t="s">
        <v>112</v>
      </c>
      <c r="C541" s="15" t="str" cm="1">
        <f t="array" ref="C541">IFERROR(_xlfn.XLOOKUP(B541, tblPeople[PersonID], tblPeople[PersonName], ""), "")</f>
        <v>Patrick Mwangi</v>
      </c>
      <c r="D541" s="15" t="s">
        <v>126</v>
      </c>
      <c r="E541" s="16" t="str">
        <f>IFERROR(_xlfn.XLOOKUP(D541, tblCourses[CourseID], tblCourses[CourseName], ""), "")</f>
        <v>Maintenance Indoctrination</v>
      </c>
      <c r="F541" s="17">
        <v>45211</v>
      </c>
      <c r="G541" s="17" t="str" cm="1">
        <f t="array" ref="G5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1" s="15" t="str">
        <f ca="1">IF(OR(tblTraining[[#This Row],[Status]]="Renewed",tblTraining[[#This Row],[NextDueDate]]=""),"",tblTraining[[#This Row],[NextDueDate]]-TODAY())</f>
        <v/>
      </c>
      <c r="I541" s="15" t="str" cm="1">
        <f t="array" aca="1" ref="I5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2" spans="1:9" x14ac:dyDescent="0.25">
      <c r="A542" s="15">
        <f t="shared" si="8"/>
        <v>541</v>
      </c>
      <c r="B542" s="15" t="s">
        <v>112</v>
      </c>
      <c r="C542" s="15" t="str" cm="1">
        <f t="array" ref="C542">IFERROR(_xlfn.XLOOKUP(B542, tblPeople[PersonID], tblPeople[PersonName], ""), "")</f>
        <v>Patrick Mwangi</v>
      </c>
      <c r="D542" s="15" t="s">
        <v>78</v>
      </c>
      <c r="E542" s="16" t="str">
        <f>IFERROR(_xlfn.XLOOKUP(D542, tblCourses[CourseID], tblCourses[CourseName], ""), "")</f>
        <v>DHC8 -100/-200/-300 Collins Wheels &amp; Brakes Familiarization Training (Initial)</v>
      </c>
      <c r="F542" s="17">
        <v>45637</v>
      </c>
      <c r="G542" s="17" t="str" cm="1">
        <f t="array" ref="G5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2" s="15" t="str">
        <f ca="1">IF(OR(tblTraining[[#This Row],[Status]]="Renewed",tblTraining[[#This Row],[NextDueDate]]=""),"",tblTraining[[#This Row],[NextDueDate]]-TODAY())</f>
        <v/>
      </c>
      <c r="I542" s="15" t="str" cm="1">
        <f t="array" aca="1" ref="I5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3" spans="1:9" x14ac:dyDescent="0.25">
      <c r="A543" s="15">
        <f t="shared" si="8"/>
        <v>542</v>
      </c>
      <c r="B543" s="15" t="s">
        <v>112</v>
      </c>
      <c r="C543" s="15" t="str" cm="1">
        <f t="array" ref="C543">IFERROR(_xlfn.XLOOKUP(B543, tblPeople[PersonID], tblPeople[PersonName], ""), "")</f>
        <v>Patrick Mwangi</v>
      </c>
      <c r="D543" s="15" t="s">
        <v>20</v>
      </c>
      <c r="E543" s="16" t="str">
        <f>IFERROR(_xlfn.XLOOKUP(D543, tblCourses[CourseID], tblCourses[CourseName], ""), "")</f>
        <v>Safety Management Systems (Initial)</v>
      </c>
      <c r="F543" s="17">
        <v>45379</v>
      </c>
      <c r="G543" s="17" t="str" cm="1">
        <f t="array" ref="G5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3" s="15" t="str">
        <f ca="1">IF(OR(tblTraining[[#This Row],[Status]]="Renewed",tblTraining[[#This Row],[NextDueDate]]=""),"",tblTraining[[#This Row],[NextDueDate]]-TODAY())</f>
        <v/>
      </c>
      <c r="I543" s="15" t="str" cm="1">
        <f t="array" aca="1" ref="I5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4" spans="1:9" x14ac:dyDescent="0.25">
      <c r="A544" s="15">
        <f t="shared" si="8"/>
        <v>543</v>
      </c>
      <c r="B544" s="15" t="s">
        <v>112</v>
      </c>
      <c r="C544" s="15" t="str" cm="1">
        <f t="array" ref="C544">IFERROR(_xlfn.XLOOKUP(B544, tblPeople[PersonID], tblPeople[PersonName], ""), "")</f>
        <v>Patrick Mwangi</v>
      </c>
      <c r="D544" s="15" t="s">
        <v>17</v>
      </c>
      <c r="E544" s="16" t="str">
        <f>IFERROR(_xlfn.XLOOKUP(D544, tblCourses[CourseID], tblCourses[CourseName], ""), "")</f>
        <v>Safety Management Systems (Refresher)</v>
      </c>
      <c r="F544" s="17">
        <v>45379</v>
      </c>
      <c r="G544" s="17" t="str" cm="1">
        <f t="array" ref="G5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4" s="15" t="str">
        <f ca="1">IF(OR(tblTraining[[#This Row],[Status]]="Renewed",tblTraining[[#This Row],[NextDueDate]]=""),"",tblTraining[[#This Row],[NextDueDate]]-TODAY())</f>
        <v/>
      </c>
      <c r="I544" s="15" t="str" cm="1">
        <f t="array" aca="1" ref="I5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45" spans="1:9" x14ac:dyDescent="0.25">
      <c r="A545" s="15">
        <f t="shared" si="8"/>
        <v>544</v>
      </c>
      <c r="B545" s="15" t="s">
        <v>112</v>
      </c>
      <c r="C545" s="15" t="str" cm="1">
        <f t="array" ref="C545">IFERROR(_xlfn.XLOOKUP(B545, tblPeople[PersonID], tblPeople[PersonName], ""), "")</f>
        <v>Patrick Mwangi</v>
      </c>
      <c r="D545" s="15" t="s">
        <v>27</v>
      </c>
      <c r="E545" s="16" t="str">
        <f>IFERROR(_xlfn.XLOOKUP(D545, tblCourses[CourseID], tblCourses[CourseName], ""), "")</f>
        <v>Pratt &amp; Whitney Canada PT6A Engine With P&amp;WC PT6A
20/ 27/ 41/ 42/ 60A/ 67D/ 112/ 114A/ 140 (Initial)</v>
      </c>
      <c r="F545" s="17">
        <v>42323</v>
      </c>
      <c r="G545" s="17" t="str" cm="1">
        <f t="array" ref="G5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5" s="15" t="str">
        <f ca="1">IF(OR(tblTraining[[#This Row],[Status]]="Renewed",tblTraining[[#This Row],[NextDueDate]]=""),"",tblTraining[[#This Row],[NextDueDate]]-TODAY())</f>
        <v/>
      </c>
      <c r="I545" s="15" t="str" cm="1">
        <f t="array" aca="1" ref="I5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6" spans="1:9" x14ac:dyDescent="0.25">
      <c r="A546" s="15">
        <f t="shared" si="8"/>
        <v>545</v>
      </c>
      <c r="B546" s="15" t="s">
        <v>112</v>
      </c>
      <c r="C546" s="15" t="str" cm="1">
        <f t="array" ref="C546">IFERROR(_xlfn.XLOOKUP(B546, tblPeople[PersonID], tblPeople[PersonName], ""), "")</f>
        <v>Patrick Mwangi</v>
      </c>
      <c r="D546" s="15" t="s">
        <v>137</v>
      </c>
      <c r="E546" s="16" t="str">
        <f>IFERROR(_xlfn.XLOOKUP(D546, tblCourses[CourseID], tblCourses[CourseName], ""), "")</f>
        <v>GARMIN 1000 Avionics</v>
      </c>
      <c r="F546" s="17">
        <v>42583</v>
      </c>
      <c r="G546" s="17" t="str" cm="1">
        <f t="array" ref="G5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6" s="15" t="str">
        <f ca="1">IF(OR(tblTraining[[#This Row],[Status]]="Renewed",tblTraining[[#This Row],[NextDueDate]]=""),"",tblTraining[[#This Row],[NextDueDate]]-TODAY())</f>
        <v/>
      </c>
      <c r="I546" s="15" t="str" cm="1">
        <f t="array" aca="1" ref="I5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7" spans="1:9" x14ac:dyDescent="0.25">
      <c r="A547" s="15">
        <f t="shared" si="8"/>
        <v>546</v>
      </c>
      <c r="B547" s="15" t="s">
        <v>112</v>
      </c>
      <c r="C547" s="15" t="str" cm="1">
        <f t="array" ref="C547">IFERROR(_xlfn.XLOOKUP(B547, tblPeople[PersonID], tblPeople[PersonName], ""), "")</f>
        <v>Patrick Mwangi</v>
      </c>
      <c r="D547" s="15" t="s">
        <v>181</v>
      </c>
      <c r="E547" s="16" t="str">
        <f>IFERROR(_xlfn.XLOOKUP(D547, tblCourses[CourseID], tblCourses[CourseName], ""), "")</f>
        <v>Cessna 208 Series (Caravan) With P&amp;WC PT6A-114/ -114A/ -140 Engines (Initial)</v>
      </c>
      <c r="F547" s="17">
        <v>42342</v>
      </c>
      <c r="G547" s="17" t="str" cm="1">
        <f t="array" ref="G5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7" s="15" t="str">
        <f ca="1">IF(OR(tblTraining[[#This Row],[Status]]="Renewed",tblTraining[[#This Row],[NextDueDate]]=""),"",tblTraining[[#This Row],[NextDueDate]]-TODAY())</f>
        <v/>
      </c>
      <c r="I547" s="15" t="str" cm="1">
        <f t="array" aca="1" ref="I5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8" spans="1:9" x14ac:dyDescent="0.25">
      <c r="A548" s="15">
        <f t="shared" si="8"/>
        <v>547</v>
      </c>
      <c r="B548" s="15" t="s">
        <v>112</v>
      </c>
      <c r="C548" s="15" t="str" cm="1">
        <f t="array" ref="C548">IFERROR(_xlfn.XLOOKUP(B548, tblPeople[PersonID], tblPeople[PersonName], ""), "")</f>
        <v>Patrick Mwangi</v>
      </c>
      <c r="D548" s="15" t="s">
        <v>240</v>
      </c>
      <c r="E548" s="16" t="str">
        <f>IFERROR(_xlfn.XLOOKUP(D548, tblCourses[CourseID], tblCourses[CourseName], ""), "")</f>
        <v>Beechcraft 1900C&amp;D Type Course with PT6-65B/67D Engines</v>
      </c>
      <c r="F548" s="17">
        <v>42454</v>
      </c>
      <c r="G548" s="17" t="str" cm="1">
        <f t="array" ref="G5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8" s="15" t="str">
        <f ca="1">IF(OR(tblTraining[[#This Row],[Status]]="Renewed",tblTraining[[#This Row],[NextDueDate]]=""),"",tblTraining[[#This Row],[NextDueDate]]-TODAY())</f>
        <v/>
      </c>
      <c r="I548" s="15" t="str" cm="1">
        <f t="array" aca="1" ref="I5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9" spans="1:9" x14ac:dyDescent="0.25">
      <c r="A549" s="15">
        <f t="shared" si="8"/>
        <v>548</v>
      </c>
      <c r="B549" s="15" t="s">
        <v>112</v>
      </c>
      <c r="C549" s="15" t="str" cm="1">
        <f t="array" ref="C549">IFERROR(_xlfn.XLOOKUP(B549, tblPeople[PersonID], tblPeople[PersonName], ""), "")</f>
        <v>Patrick Mwangi</v>
      </c>
      <c r="D549" s="15" t="s">
        <v>110</v>
      </c>
      <c r="E549" s="16" t="str">
        <f>IFERROR(_xlfn.XLOOKUP(D549, tblCourses[CourseID], tblCourses[CourseName], ""), "")</f>
        <v>Electrical Wiring Interconnection System Target Groups 1 &amp; 2 (Initial)</v>
      </c>
      <c r="F549" s="17">
        <v>45797</v>
      </c>
      <c r="G549" s="17" t="str" cm="1">
        <f t="array" ref="G5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9" s="15" t="str">
        <f ca="1">IF(OR(tblTraining[[#This Row],[Status]]="Renewed",tblTraining[[#This Row],[NextDueDate]]=""),"",tblTraining[[#This Row],[NextDueDate]]-TODAY())</f>
        <v/>
      </c>
      <c r="I549" s="15" t="str" cm="1">
        <f t="array" aca="1" ref="I5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50" spans="1:9" x14ac:dyDescent="0.25">
      <c r="A550" s="15">
        <f t="shared" si="8"/>
        <v>549</v>
      </c>
      <c r="B550" s="15" t="s">
        <v>112</v>
      </c>
      <c r="C550" s="15" t="str" cm="1">
        <f t="array" ref="C550">IFERROR(_xlfn.XLOOKUP(B550, tblPeople[PersonID], tblPeople[PersonName], ""), "")</f>
        <v>Patrick Mwangi</v>
      </c>
      <c r="D550" s="15" t="s">
        <v>109</v>
      </c>
      <c r="E550" s="16" t="str">
        <f>IFERROR(_xlfn.XLOOKUP(D550, tblCourses[CourseID], tblCourses[CourseName], ""), "")</f>
        <v>Electrical Wiring Interconnection System Target Groups 1 &amp; 2 (Refresher)</v>
      </c>
      <c r="F550" s="17">
        <v>45797</v>
      </c>
      <c r="G550" s="17" cm="1">
        <f t="array" ref="G5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46527</v>
      </c>
      <c r="H550" s="15">
        <f ca="1">IF(OR(tblTraining[[#This Row],[Status]]="Renewed",tblTraining[[#This Row],[NextDueDate]]=""),"",tblTraining[[#This Row],[NextDueDate]]-TODAY())</f>
        <v>241</v>
      </c>
      <c r="I550" s="15" t="str" cm="1">
        <f t="array" aca="1" ref="I5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1" spans="1:9" x14ac:dyDescent="0.25">
      <c r="A551" s="15">
        <f t="shared" si="8"/>
        <v>550</v>
      </c>
      <c r="B551" s="15" t="s">
        <v>112</v>
      </c>
      <c r="C551" s="15" t="str" cm="1">
        <f t="array" ref="C551">IFERROR(_xlfn.XLOOKUP(B551, tblPeople[PersonID], tblPeople[PersonName], ""), "")</f>
        <v>Patrick Mwangi</v>
      </c>
      <c r="D551" s="15" t="s">
        <v>76</v>
      </c>
      <c r="E551" s="16" t="str">
        <f>IFERROR(_xlfn.XLOOKUP(D551, tblCourses[CourseID], tblCourses[CourseName], ""), "")</f>
        <v>Fuel Tank Safety Phase 1 &amp; 2 Course (Initial)</v>
      </c>
      <c r="F551" s="17">
        <v>45388</v>
      </c>
      <c r="G551" s="17" t="str" cm="1">
        <f t="array" ref="G5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1" s="15" t="str">
        <f ca="1">IF(OR(tblTraining[[#This Row],[Status]]="Renewed",tblTraining[[#This Row],[NextDueDate]]=""),"",tblTraining[[#This Row],[NextDueDate]]-TODAY())</f>
        <v/>
      </c>
      <c r="I551" s="15" t="str" cm="1">
        <f t="array" aca="1" ref="I5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2" spans="1:9" x14ac:dyDescent="0.25">
      <c r="A552" s="15">
        <f t="shared" si="8"/>
        <v>551</v>
      </c>
      <c r="B552" s="15" t="s">
        <v>112</v>
      </c>
      <c r="C552" s="15" t="str" cm="1">
        <f t="array" ref="C552">IFERROR(_xlfn.XLOOKUP(B552, tblPeople[PersonID], tblPeople[PersonName], ""), "")</f>
        <v>Patrick Mwangi</v>
      </c>
      <c r="D552" s="15" t="s">
        <v>75</v>
      </c>
      <c r="E552" s="16" t="str">
        <f>IFERROR(_xlfn.XLOOKUP(D552, tblCourses[CourseID], tblCourses[CourseName], ""), "")</f>
        <v>Fuel Tank Safety Phase 1 &amp; 2 Course (Refresher)</v>
      </c>
      <c r="F552" s="17">
        <v>45388</v>
      </c>
      <c r="G552" s="17" t="str" cm="1">
        <f t="array" ref="G5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2" s="15" t="str">
        <f ca="1">IF(OR(tblTraining[[#This Row],[Status]]="Renewed",tblTraining[[#This Row],[NextDueDate]]=""),"",tblTraining[[#This Row],[NextDueDate]]-TODAY())</f>
        <v/>
      </c>
      <c r="I552" s="15" t="str" cm="1">
        <f t="array" aca="1" ref="I5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53" spans="1:9" x14ac:dyDescent="0.25">
      <c r="A553" s="15">
        <f t="shared" si="8"/>
        <v>552</v>
      </c>
      <c r="B553" s="15" t="s">
        <v>112</v>
      </c>
      <c r="C553" s="15" t="str" cm="1">
        <f t="array" ref="C553">IFERROR(_xlfn.XLOOKUP(B553, tblPeople[PersonID], tblPeople[PersonName], ""), "")</f>
        <v>Patrick Mwangi</v>
      </c>
      <c r="D553" s="15" t="s">
        <v>24</v>
      </c>
      <c r="E553" s="16" t="str">
        <f>IFERROR(_xlfn.XLOOKUP(D553, tblCourses[CourseID], tblCourses[CourseName], ""), "")</f>
        <v>Human Factors in Aviation (Initial)</v>
      </c>
      <c r="F553" s="17">
        <v>45212</v>
      </c>
      <c r="G553" s="17" t="str" cm="1">
        <f t="array" ref="G5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3" s="15" t="str">
        <f ca="1">IF(OR(tblTraining[[#This Row],[Status]]="Renewed",tblTraining[[#This Row],[NextDueDate]]=""),"",tblTraining[[#This Row],[NextDueDate]]-TODAY())</f>
        <v/>
      </c>
      <c r="I553" s="15" t="str" cm="1">
        <f t="array" aca="1" ref="I5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4" spans="1:9" x14ac:dyDescent="0.25">
      <c r="A554" s="15">
        <f t="shared" si="8"/>
        <v>553</v>
      </c>
      <c r="B554" s="15" t="s">
        <v>112</v>
      </c>
      <c r="C554" s="15" t="str" cm="1">
        <f t="array" ref="C554">IFERROR(_xlfn.XLOOKUP(B554, tblPeople[PersonID], tblPeople[PersonName], ""), "")</f>
        <v>Patrick Mwangi</v>
      </c>
      <c r="D554" s="15" t="s">
        <v>22</v>
      </c>
      <c r="E554" s="16" t="str">
        <f>IFERROR(_xlfn.XLOOKUP(D554, tblCourses[CourseID], tblCourses[CourseName], ""), "")</f>
        <v>Human Factors in Aviation (Refresher)</v>
      </c>
      <c r="F554" s="17">
        <v>45212</v>
      </c>
      <c r="G554" s="17" t="str" cm="1">
        <f t="array" ref="G5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4" s="15" t="str">
        <f ca="1">IF(OR(tblTraining[[#This Row],[Status]]="Renewed",tblTraining[[#This Row],[NextDueDate]]=""),"",tblTraining[[#This Row],[NextDueDate]]-TODAY())</f>
        <v/>
      </c>
      <c r="I554" s="15" t="str" cm="1">
        <f t="array" aca="1" ref="I5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55" spans="1:9" x14ac:dyDescent="0.25">
      <c r="A555" s="15">
        <f t="shared" si="8"/>
        <v>554</v>
      </c>
      <c r="B555" s="15" t="s">
        <v>112</v>
      </c>
      <c r="C555" s="15" t="str" cm="1">
        <f t="array" ref="C555">IFERROR(_xlfn.XLOOKUP(B555, tblPeople[PersonID], tblPeople[PersonName], ""), "")</f>
        <v>Patrick Mwangi</v>
      </c>
      <c r="D555" s="15" t="s">
        <v>110</v>
      </c>
      <c r="E555" s="16" t="str">
        <f>IFERROR(_xlfn.XLOOKUP(D555, tblCourses[CourseID], tblCourses[CourseName], ""), "")</f>
        <v>Electrical Wiring Interconnection System Target Groups 1 &amp; 2 (Initial)</v>
      </c>
      <c r="F555" s="17">
        <v>45802</v>
      </c>
      <c r="G555" s="17" t="str" cm="1">
        <f t="array" ref="G5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5" s="15" t="str">
        <f ca="1">IF(OR(tblTraining[[#This Row],[Status]]="Renewed",tblTraining[[#This Row],[NextDueDate]]=""),"",tblTraining[[#This Row],[NextDueDate]]-TODAY())</f>
        <v/>
      </c>
      <c r="I555" s="15" t="str" cm="1">
        <f t="array" aca="1" ref="I5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6" spans="1:9" x14ac:dyDescent="0.25">
      <c r="A556" s="15">
        <f t="shared" si="8"/>
        <v>555</v>
      </c>
      <c r="B556" s="15" t="s">
        <v>87</v>
      </c>
      <c r="C556" s="15" t="str" cm="1">
        <f t="array" ref="C556">IFERROR(_xlfn.XLOOKUP(B556, tblPeople[PersonID], tblPeople[PersonName], ""), "")</f>
        <v>Sydney Sawe</v>
      </c>
      <c r="D556" s="15" t="s">
        <v>110</v>
      </c>
      <c r="E556" s="16" t="str">
        <f>IFERROR(_xlfn.XLOOKUP(D556, tblCourses[CourseID], tblCourses[CourseName], ""), "")</f>
        <v>Electrical Wiring Interconnection System Target Groups 1 &amp; 2 (Initial)</v>
      </c>
      <c r="F556" s="17">
        <v>45802</v>
      </c>
      <c r="G556" s="17" t="str" cm="1">
        <f t="array" ref="G5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6" s="15" t="str">
        <f ca="1">IF(OR(tblTraining[[#This Row],[Status]]="Renewed",tblTraining[[#This Row],[NextDueDate]]=""),"",tblTraining[[#This Row],[NextDueDate]]-TODAY())</f>
        <v/>
      </c>
      <c r="I556" s="15" t="str" cm="1">
        <f t="array" aca="1" ref="I5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7" spans="1:9" x14ac:dyDescent="0.25">
      <c r="A557" s="15">
        <f t="shared" si="8"/>
        <v>556</v>
      </c>
      <c r="B557" s="15" t="s">
        <v>87</v>
      </c>
      <c r="C557" s="15" t="str" cm="1">
        <f t="array" ref="C557">IFERROR(_xlfn.XLOOKUP(B557, tblPeople[PersonID], tblPeople[PersonName], ""), "")</f>
        <v>Sydney Sawe</v>
      </c>
      <c r="D557" s="15" t="s">
        <v>109</v>
      </c>
      <c r="E557" s="16" t="str">
        <f>IFERROR(_xlfn.XLOOKUP(D557, tblCourses[CourseID], tblCourses[CourseName], ""), "")</f>
        <v>Electrical Wiring Interconnection System Target Groups 1 &amp; 2 (Refresher)</v>
      </c>
      <c r="F557" s="17">
        <v>45802</v>
      </c>
      <c r="G557" s="17" cm="1">
        <f t="array" ref="G5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46532</v>
      </c>
      <c r="H557" s="15">
        <f ca="1">IF(OR(tblTraining[[#This Row],[Status]]="Renewed",tblTraining[[#This Row],[NextDueDate]]=""),"",tblTraining[[#This Row],[NextDueDate]]-TODAY())</f>
        <v>246</v>
      </c>
      <c r="I557" s="15" t="str" cm="1">
        <f t="array" aca="1" ref="I5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8" spans="1:9" x14ac:dyDescent="0.25">
      <c r="A558" s="15">
        <f t="shared" si="8"/>
        <v>557</v>
      </c>
      <c r="B558" s="15" t="s">
        <v>87</v>
      </c>
      <c r="C558" s="15" t="str" cm="1">
        <f t="array" ref="C558">IFERROR(_xlfn.XLOOKUP(B558, tblPeople[PersonID], tblPeople[PersonName], ""), "")</f>
        <v>Sydney Sawe</v>
      </c>
      <c r="D558" s="15" t="s">
        <v>17</v>
      </c>
      <c r="E558" s="16" t="str">
        <f>IFERROR(_xlfn.XLOOKUP(D558, tblCourses[CourseID], tblCourses[CourseName], ""), "")</f>
        <v>Safety Management Systems (Refresher)</v>
      </c>
      <c r="F558" s="17">
        <v>45695</v>
      </c>
      <c r="G558" s="17" cm="1">
        <f t="array" ref="G5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46425</v>
      </c>
      <c r="H558" s="15">
        <f ca="1">IF(OR(tblTraining[[#This Row],[Status]]="Renewed",tblTraining[[#This Row],[NextDueDate]]=""),"",tblTraining[[#This Row],[NextDueDate]]-TODAY())</f>
        <v>139</v>
      </c>
      <c r="I558" s="15" t="str" cm="1">
        <f t="array" aca="1" ref="I5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9" spans="1:9" x14ac:dyDescent="0.25">
      <c r="A559" s="15">
        <f t="shared" si="8"/>
        <v>558</v>
      </c>
      <c r="B559" s="15" t="s">
        <v>87</v>
      </c>
      <c r="C559" s="15" t="str" cm="1">
        <f t="array" ref="C559">IFERROR(_xlfn.XLOOKUP(B559, tblPeople[PersonID], tblPeople[PersonName], ""), "")</f>
        <v>Sydney Sawe</v>
      </c>
      <c r="D559" s="15" t="s">
        <v>22</v>
      </c>
      <c r="E559" s="16" t="str">
        <f>IFERROR(_xlfn.XLOOKUP(D559, tblCourses[CourseID], tblCourses[CourseName], ""), "")</f>
        <v>Human Factors in Aviation (Refresher)</v>
      </c>
      <c r="F559" s="17">
        <v>45628</v>
      </c>
      <c r="G559" s="17" cm="1">
        <f t="array" ref="G5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46358</v>
      </c>
      <c r="H559" s="15">
        <f ca="1">IF(OR(tblTraining[[#This Row],[Status]]="Renewed",tblTraining[[#This Row],[NextDueDate]]=""),"",tblTraining[[#This Row],[NextDueDate]]-TODAY())</f>
        <v>72</v>
      </c>
      <c r="I559" s="15" t="str" cm="1">
        <f t="array" aca="1" ref="I5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0" spans="1:9" x14ac:dyDescent="0.25">
      <c r="A560" s="15">
        <f t="shared" si="8"/>
        <v>559</v>
      </c>
      <c r="B560" s="15" t="s">
        <v>87</v>
      </c>
      <c r="C560" s="15" t="str" cm="1">
        <f t="array" ref="C560">IFERROR(_xlfn.XLOOKUP(B560, tblPeople[PersonID], tblPeople[PersonName], ""), "")</f>
        <v>Sydney Sawe</v>
      </c>
      <c r="D560" s="15" t="s">
        <v>75</v>
      </c>
      <c r="E560" s="16" t="str">
        <f>IFERROR(_xlfn.XLOOKUP(D560, tblCourses[CourseID], tblCourses[CourseName], ""), "")</f>
        <v>Fuel Tank Safety Phase 1 &amp; 2 Course (Refresher)</v>
      </c>
      <c r="F560" s="17">
        <v>45415</v>
      </c>
      <c r="G560" s="17" t="str" cm="1">
        <f t="array" ref="G5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0" s="15" t="str">
        <f ca="1">IF(OR(tblTraining[[#This Row],[Status]]="Renewed",tblTraining[[#This Row],[NextDueDate]]=""),"",tblTraining[[#This Row],[NextDueDate]]-TODAY())</f>
        <v/>
      </c>
      <c r="I560" s="15" t="str" cm="1">
        <f t="array" aca="1" ref="I5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61" spans="1:9" x14ac:dyDescent="0.25">
      <c r="A561" s="15">
        <f t="shared" si="8"/>
        <v>560</v>
      </c>
      <c r="B561" s="15" t="s">
        <v>87</v>
      </c>
      <c r="C561" s="15" t="str" cm="1">
        <f t="array" ref="C561">IFERROR(_xlfn.XLOOKUP(B561, tblPeople[PersonID], tblPeople[PersonName], ""), "")</f>
        <v>Sydney Sawe</v>
      </c>
      <c r="D561" s="15" t="s">
        <v>20</v>
      </c>
      <c r="E561" s="16" t="str">
        <f>IFERROR(_xlfn.XLOOKUP(D561, tblCourses[CourseID], tblCourses[CourseName], ""), "")</f>
        <v>Safety Management Systems (Initial)</v>
      </c>
      <c r="F561" s="17">
        <v>44853</v>
      </c>
      <c r="G561" s="17" t="str" cm="1">
        <f t="array" ref="G5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1" s="15" t="str">
        <f ca="1">IF(OR(tblTraining[[#This Row],[Status]]="Renewed",tblTraining[[#This Row],[NextDueDate]]=""),"",tblTraining[[#This Row],[NextDueDate]]-TODAY())</f>
        <v/>
      </c>
      <c r="I561" s="15" t="str" cm="1">
        <f t="array" aca="1" ref="I5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2" spans="1:9" x14ac:dyDescent="0.25">
      <c r="A562" s="15">
        <f t="shared" si="8"/>
        <v>561</v>
      </c>
      <c r="B562" s="15" t="s">
        <v>98</v>
      </c>
      <c r="C562" s="15" t="str" cm="1">
        <f t="array" ref="C562">IFERROR(_xlfn.XLOOKUP(B562, tblPeople[PersonID], tblPeople[PersonName], ""), "")</f>
        <v>Thadeus Mong’are</v>
      </c>
      <c r="D562" s="15" t="s">
        <v>110</v>
      </c>
      <c r="E562" s="16" t="str">
        <f>IFERROR(_xlfn.XLOOKUP(D562, tblCourses[CourseID], tblCourses[CourseName], ""), "")</f>
        <v>Electrical Wiring Interconnection System Target Groups 1 &amp; 2 (Initial)</v>
      </c>
      <c r="F562" s="17">
        <v>45796</v>
      </c>
      <c r="G562" s="17" t="str" cm="1">
        <f t="array" ref="G5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2" s="15" t="str">
        <f ca="1">IF(OR(tblTraining[[#This Row],[Status]]="Renewed",tblTraining[[#This Row],[NextDueDate]]=""),"",tblTraining[[#This Row],[NextDueDate]]-TODAY())</f>
        <v/>
      </c>
      <c r="I562" s="15" t="str" cm="1">
        <f t="array" aca="1" ref="I5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3" spans="1:9" x14ac:dyDescent="0.25">
      <c r="A563" s="15">
        <f t="shared" si="8"/>
        <v>562</v>
      </c>
      <c r="B563" s="15" t="s">
        <v>98</v>
      </c>
      <c r="C563" s="15" t="str" cm="1">
        <f t="array" ref="C563">IFERROR(_xlfn.XLOOKUP(B563, tblPeople[PersonID], tblPeople[PersonName], ""), "")</f>
        <v>Thadeus Mong’are</v>
      </c>
      <c r="D563" s="15" t="s">
        <v>24</v>
      </c>
      <c r="E563" s="16" t="str">
        <f>IFERROR(_xlfn.XLOOKUP(D563, tblCourses[CourseID], tblCourses[CourseName], ""), "")</f>
        <v>Human Factors in Aviation (Initial)</v>
      </c>
      <c r="F563" s="17">
        <v>44610</v>
      </c>
      <c r="G563" s="17" t="str" cm="1">
        <f t="array" ref="G5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3" s="15" t="str">
        <f ca="1">IF(OR(tblTraining[[#This Row],[Status]]="Renewed",tblTraining[[#This Row],[NextDueDate]]=""),"",tblTraining[[#This Row],[NextDueDate]]-TODAY())</f>
        <v/>
      </c>
      <c r="I563" s="15" t="str" cm="1">
        <f t="array" aca="1" ref="I5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4" spans="1:9" x14ac:dyDescent="0.25">
      <c r="A564" s="15">
        <f t="shared" si="8"/>
        <v>563</v>
      </c>
      <c r="B564" s="15" t="s">
        <v>98</v>
      </c>
      <c r="C564" s="15" t="str" cm="1">
        <f t="array" ref="C564">IFERROR(_xlfn.XLOOKUP(B564, tblPeople[PersonID], tblPeople[PersonName], ""), "")</f>
        <v>Thadeus Mong’are</v>
      </c>
      <c r="D564" s="15" t="s">
        <v>32</v>
      </c>
      <c r="E564" s="16" t="str">
        <f>IFERROR(_xlfn.XLOOKUP(D564, tblCourses[CourseID], tblCourses[CourseName], ""), "")</f>
        <v>Dangerous Goods Regulations (CBTA 7.3) (Initial)</v>
      </c>
      <c r="F564" s="17">
        <v>44518</v>
      </c>
      <c r="G564" s="17" t="str" cm="1">
        <f t="array" ref="G5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4" s="15" t="str">
        <f ca="1">IF(OR(tblTraining[[#This Row],[Status]]="Renewed",tblTraining[[#This Row],[NextDueDate]]=""),"",tblTraining[[#This Row],[NextDueDate]]-TODAY())</f>
        <v/>
      </c>
      <c r="I564" s="15" t="str" cm="1">
        <f t="array" aca="1" ref="I5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5" spans="1:9" x14ac:dyDescent="0.25">
      <c r="A565" s="15">
        <f t="shared" si="8"/>
        <v>564</v>
      </c>
      <c r="B565" s="15" t="s">
        <v>81</v>
      </c>
      <c r="C565" s="15" t="str" cm="1">
        <f t="array" ref="C565">IFERROR(_xlfn.XLOOKUP(B565, tblPeople[PersonID], tblPeople[PersonName], ""), "")</f>
        <v>Gideon Mwasio</v>
      </c>
      <c r="D565" s="15" t="s">
        <v>110</v>
      </c>
      <c r="E565" s="16" t="str">
        <f>IFERROR(_xlfn.XLOOKUP(D565, tblCourses[CourseID], tblCourses[CourseName], ""), "")</f>
        <v>Electrical Wiring Interconnection System Target Groups 1 &amp; 2 (Initial)</v>
      </c>
      <c r="F565" s="17">
        <v>45804</v>
      </c>
      <c r="G565" s="17" t="str" cm="1">
        <f t="array" ref="G5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5" s="15" t="str">
        <f ca="1">IF(OR(tblTraining[[#This Row],[Status]]="Renewed",tblTraining[[#This Row],[NextDueDate]]=""),"",tblTraining[[#This Row],[NextDueDate]]-TODAY())</f>
        <v/>
      </c>
      <c r="I565" s="15" t="str" cm="1">
        <f t="array" aca="1" ref="I5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6" spans="1:9" x14ac:dyDescent="0.25">
      <c r="A566" s="15">
        <f t="shared" si="8"/>
        <v>565</v>
      </c>
      <c r="B566" s="15" t="s">
        <v>81</v>
      </c>
      <c r="C566" s="15" t="str" cm="1">
        <f t="array" ref="C566">IFERROR(_xlfn.XLOOKUP(B566, tblPeople[PersonID], tblPeople[PersonName], ""), "")</f>
        <v>Gideon Mwasio</v>
      </c>
      <c r="D566" s="15" t="s">
        <v>109</v>
      </c>
      <c r="E566" s="16" t="str">
        <f>IFERROR(_xlfn.XLOOKUP(D566, tblCourses[CourseID], tblCourses[CourseName], ""), "")</f>
        <v>Electrical Wiring Interconnection System Target Groups 1 &amp; 2 (Refresher)</v>
      </c>
      <c r="F566" s="17">
        <v>45804</v>
      </c>
      <c r="G566" s="17" cm="1">
        <f t="array" ref="G5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46534</v>
      </c>
      <c r="H566" s="15">
        <f ca="1">IF(OR(tblTraining[[#This Row],[Status]]="Renewed",tblTraining[[#This Row],[NextDueDate]]=""),"",tblTraining[[#This Row],[NextDueDate]]-TODAY())</f>
        <v>248</v>
      </c>
      <c r="I566" s="15" t="str" cm="1">
        <f t="array" aca="1" ref="I5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7" spans="1:9" x14ac:dyDescent="0.25">
      <c r="A567" s="15">
        <f t="shared" si="8"/>
        <v>566</v>
      </c>
      <c r="B567" s="15" t="s">
        <v>91</v>
      </c>
      <c r="C567" s="15" t="str" cm="1">
        <f t="array" ref="C567">IFERROR(_xlfn.XLOOKUP(B567, tblPeople[PersonID], tblPeople[PersonName], ""), "")</f>
        <v>Dunstan Kwalanda</v>
      </c>
      <c r="D567" s="15" t="s">
        <v>110</v>
      </c>
      <c r="E567" s="16" t="str">
        <f>IFERROR(_xlfn.XLOOKUP(D567, tblCourses[CourseID], tblCourses[CourseName], ""), "")</f>
        <v>Electrical Wiring Interconnection System Target Groups 1 &amp; 2 (Initial)</v>
      </c>
      <c r="F567" s="17">
        <v>45789</v>
      </c>
      <c r="G567" s="17" t="str" cm="1">
        <f t="array" ref="G5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7" s="15" t="str">
        <f ca="1">IF(OR(tblTraining[[#This Row],[Status]]="Renewed",tblTraining[[#This Row],[NextDueDate]]=""),"",tblTraining[[#This Row],[NextDueDate]]-TODAY())</f>
        <v/>
      </c>
      <c r="I567" s="15" t="str" cm="1">
        <f t="array" aca="1" ref="I5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8" spans="1:9" x14ac:dyDescent="0.25">
      <c r="A568" s="15">
        <f t="shared" si="8"/>
        <v>567</v>
      </c>
      <c r="B568" s="15" t="s">
        <v>91</v>
      </c>
      <c r="C568" s="15" t="str" cm="1">
        <f t="array" ref="C568">IFERROR(_xlfn.XLOOKUP(B568, tblPeople[PersonID], tblPeople[PersonName], ""), "")</f>
        <v>Dunstan Kwalanda</v>
      </c>
      <c r="D568" s="15" t="s">
        <v>109</v>
      </c>
      <c r="E568" s="16" t="str">
        <f>IFERROR(_xlfn.XLOOKUP(D568, tblCourses[CourseID], tblCourses[CourseName], ""), "")</f>
        <v>Electrical Wiring Interconnection System Target Groups 1 &amp; 2 (Refresher)</v>
      </c>
      <c r="F568" s="17">
        <v>45789</v>
      </c>
      <c r="G568" s="17" cm="1">
        <f t="array" ref="G5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46519</v>
      </c>
      <c r="H568" s="15">
        <f ca="1">IF(OR(tblTraining[[#This Row],[Status]]="Renewed",tblTraining[[#This Row],[NextDueDate]]=""),"",tblTraining[[#This Row],[NextDueDate]]-TODAY())</f>
        <v>233</v>
      </c>
      <c r="I568" s="15" t="str" cm="1">
        <f t="array" aca="1" ref="I5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9" spans="1:9" x14ac:dyDescent="0.25">
      <c r="A569" s="15">
        <f t="shared" si="8"/>
        <v>568</v>
      </c>
      <c r="B569" s="15" t="s">
        <v>91</v>
      </c>
      <c r="C569" s="15" t="str" cm="1">
        <f t="array" ref="C569">IFERROR(_xlfn.XLOOKUP(B569, tblPeople[PersonID], tblPeople[PersonName], ""), "")</f>
        <v>Dunstan Kwalanda</v>
      </c>
      <c r="D569" s="15" t="s">
        <v>75</v>
      </c>
      <c r="E569" s="16" t="str">
        <f>IFERROR(_xlfn.XLOOKUP(D569, tblCourses[CourseID], tblCourses[CourseName], ""), "")</f>
        <v>Fuel Tank Safety Phase 1 &amp; 2 Course (Refresher)</v>
      </c>
      <c r="F569" s="17">
        <v>45409</v>
      </c>
      <c r="G569" s="17" t="str" cm="1">
        <f t="array" ref="G5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9" s="15" t="str">
        <f ca="1">IF(OR(tblTraining[[#This Row],[Status]]="Renewed",tblTraining[[#This Row],[NextDueDate]]=""),"",tblTraining[[#This Row],[NextDueDate]]-TODAY())</f>
        <v/>
      </c>
      <c r="I569" s="15" t="str" cm="1">
        <f t="array" aca="1" ref="I5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70" spans="1:9" x14ac:dyDescent="0.25">
      <c r="A570" s="15">
        <f t="shared" si="8"/>
        <v>569</v>
      </c>
      <c r="B570" s="15" t="s">
        <v>92</v>
      </c>
      <c r="C570" s="15" t="str" cm="1">
        <f t="array" ref="C570">IFERROR(_xlfn.XLOOKUP(B570, tblPeople[PersonID], tblPeople[PersonName], ""), "")</f>
        <v>Reuben Otieno</v>
      </c>
      <c r="D570" s="15" t="s">
        <v>110</v>
      </c>
      <c r="E570" s="16" t="str">
        <f>IFERROR(_xlfn.XLOOKUP(D570, tblCourses[CourseID], tblCourses[CourseName], ""), "")</f>
        <v>Electrical Wiring Interconnection System Target Groups 1 &amp; 2 (Initial)</v>
      </c>
      <c r="F570" s="17">
        <v>45777</v>
      </c>
      <c r="G570" s="17" t="str" cm="1">
        <f t="array" ref="G5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0" s="15" t="str">
        <f ca="1">IF(OR(tblTraining[[#This Row],[Status]]="Renewed",tblTraining[[#This Row],[NextDueDate]]=""),"",tblTraining[[#This Row],[NextDueDate]]-TODAY())</f>
        <v/>
      </c>
      <c r="I570" s="15" t="str" cm="1">
        <f t="array" aca="1" ref="I5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1" spans="1:9" x14ac:dyDescent="0.25">
      <c r="A571" s="15">
        <f t="shared" si="8"/>
        <v>570</v>
      </c>
      <c r="B571" s="15" t="s">
        <v>92</v>
      </c>
      <c r="C571" s="15" t="str" cm="1">
        <f t="array" ref="C571">IFERROR(_xlfn.XLOOKUP(B571, tblPeople[PersonID], tblPeople[PersonName], ""), "")</f>
        <v>Reuben Otieno</v>
      </c>
      <c r="D571" s="15" t="s">
        <v>24</v>
      </c>
      <c r="E571" s="16" t="str">
        <f>IFERROR(_xlfn.XLOOKUP(D571, tblCourses[CourseID], tblCourses[CourseName], ""), "")</f>
        <v>Human Factors in Aviation (Initial)</v>
      </c>
      <c r="F571" s="17">
        <v>45212</v>
      </c>
      <c r="G571" s="17" t="str" cm="1">
        <f t="array" ref="G5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1" s="15" t="str">
        <f ca="1">IF(OR(tblTraining[[#This Row],[Status]]="Renewed",tblTraining[[#This Row],[NextDueDate]]=""),"",tblTraining[[#This Row],[NextDueDate]]-TODAY())</f>
        <v/>
      </c>
      <c r="I571" s="15" t="str" cm="1">
        <f t="array" aca="1" ref="I5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2" spans="1:9" x14ac:dyDescent="0.25">
      <c r="A572" s="15">
        <f t="shared" si="8"/>
        <v>571</v>
      </c>
      <c r="B572" s="15" t="s">
        <v>157</v>
      </c>
      <c r="C572" s="15" t="str" cm="1">
        <f t="array" ref="C572">IFERROR(_xlfn.XLOOKUP(B572, tblPeople[PersonID], tblPeople[PersonName], ""), "")</f>
        <v>Stephen Mutambu</v>
      </c>
      <c r="D572" s="15" t="s">
        <v>242</v>
      </c>
      <c r="E572" s="16" t="str">
        <f>IFERROR(_xlfn.XLOOKUP(D572, tblCourses[CourseID], tblCourses[CourseName], ""), "")</f>
        <v>Flight Data Monitoring</v>
      </c>
      <c r="F572" s="17">
        <v>45722</v>
      </c>
      <c r="G572" s="17" t="str" cm="1">
        <f t="array" ref="G5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2" s="15" t="str">
        <f ca="1">IF(OR(tblTraining[[#This Row],[Status]]="Renewed",tblTraining[[#This Row],[NextDueDate]]=""),"",tblTraining[[#This Row],[NextDueDate]]-TODAY())</f>
        <v/>
      </c>
      <c r="I572" s="15" t="str" cm="1">
        <f t="array" aca="1" ref="I5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3" spans="1:9" x14ac:dyDescent="0.25">
      <c r="A573" s="15">
        <f t="shared" si="8"/>
        <v>572</v>
      </c>
      <c r="B573" s="15" t="s">
        <v>157</v>
      </c>
      <c r="C573" s="15" t="str" cm="1">
        <f t="array" ref="C573">IFERROR(_xlfn.XLOOKUP(B573, tblPeople[PersonID], tblPeople[PersonName], ""), "")</f>
        <v>Stephen Mutambu</v>
      </c>
      <c r="D573" s="15" t="s">
        <v>78</v>
      </c>
      <c r="E573" s="16" t="str">
        <f>IFERROR(_xlfn.XLOOKUP(D573, tblCourses[CourseID], tblCourses[CourseName], ""), "")</f>
        <v>DHC8 -100/-200/-300 Collins Wheels &amp; Brakes Familiarization Training (Initial)</v>
      </c>
      <c r="F573" s="17">
        <v>45637</v>
      </c>
      <c r="G573" s="17" t="str" cm="1">
        <f t="array" ref="G5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3" s="15" t="str">
        <f ca="1">IF(OR(tblTraining[[#This Row],[Status]]="Renewed",tblTraining[[#This Row],[NextDueDate]]=""),"",tblTraining[[#This Row],[NextDueDate]]-TODAY())</f>
        <v/>
      </c>
      <c r="I573" s="15" t="str" cm="1">
        <f t="array" aca="1" ref="I5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4" spans="1:9" x14ac:dyDescent="0.25">
      <c r="A574" s="15">
        <f t="shared" si="8"/>
        <v>573</v>
      </c>
      <c r="B574" s="15" t="s">
        <v>157</v>
      </c>
      <c r="C574" s="15" t="str" cm="1">
        <f t="array" ref="C574">IFERROR(_xlfn.XLOOKUP(B574, tblPeople[PersonID], tblPeople[PersonName], ""), "")</f>
        <v>Stephen Mutambu</v>
      </c>
      <c r="D574" s="15" t="s">
        <v>227</v>
      </c>
      <c r="E574" s="16" t="str">
        <f>IFERROR(_xlfn.XLOOKUP(D574, tblCourses[CourseID], tblCourses[CourseName], ""), "")</f>
        <v>Core Instructional Technique (Initial)</v>
      </c>
      <c r="F574" s="17">
        <v>45597</v>
      </c>
      <c r="G574" s="17" t="str" cm="1">
        <f t="array" ref="G5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4" s="15" t="str">
        <f ca="1">IF(OR(tblTraining[[#This Row],[Status]]="Renewed",tblTraining[[#This Row],[NextDueDate]]=""),"",tblTraining[[#This Row],[NextDueDate]]-TODAY())</f>
        <v/>
      </c>
      <c r="I574" s="15" t="str" cm="1">
        <f t="array" aca="1" ref="I5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5" spans="1:9" x14ac:dyDescent="0.25">
      <c r="A575" s="15">
        <f t="shared" si="8"/>
        <v>574</v>
      </c>
      <c r="B575" s="15" t="s">
        <v>157</v>
      </c>
      <c r="C575" s="15" t="str" cm="1">
        <f t="array" ref="C575">IFERROR(_xlfn.XLOOKUP(B575, tblPeople[PersonID], tblPeople[PersonName], ""), "")</f>
        <v>Stephen Mutambu</v>
      </c>
      <c r="D575" s="15" t="s">
        <v>229</v>
      </c>
      <c r="E575" s="16" t="str">
        <f>IFERROR(_xlfn.XLOOKUP(D575, tblCourses[CourseID], tblCourses[CourseName], ""), "")</f>
        <v>Core Instructional Technique (Refresher)</v>
      </c>
      <c r="F575" s="17">
        <v>45597</v>
      </c>
      <c r="G575" s="17" cm="1">
        <f t="array" ref="G5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46327</v>
      </c>
      <c r="H575" s="15">
        <f ca="1">IF(OR(tblTraining[[#This Row],[Status]]="Renewed",tblTraining[[#This Row],[NextDueDate]]=""),"",tblTraining[[#This Row],[NextDueDate]]-TODAY())</f>
        <v>41</v>
      </c>
      <c r="I575" s="15" t="str" cm="1">
        <f t="array" aca="1" ref="I5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576" spans="1:9" x14ac:dyDescent="0.25">
      <c r="A576" s="15">
        <f t="shared" si="8"/>
        <v>575</v>
      </c>
      <c r="B576" s="15" t="s">
        <v>157</v>
      </c>
      <c r="C576" s="15" t="str" cm="1">
        <f t="array" ref="C576">IFERROR(_xlfn.XLOOKUP(B576, tblPeople[PersonID], tblPeople[PersonName], ""), "")</f>
        <v>Stephen Mutambu</v>
      </c>
      <c r="D576" s="15" t="s">
        <v>76</v>
      </c>
      <c r="E576" s="16" t="str">
        <f>IFERROR(_xlfn.XLOOKUP(D576, tblCourses[CourseID], tblCourses[CourseName], ""), "")</f>
        <v>Fuel Tank Safety Phase 1 &amp; 2 Course (Initial)</v>
      </c>
      <c r="F576" s="17">
        <v>45395</v>
      </c>
      <c r="G576" s="17" t="str" cm="1">
        <f t="array" ref="G5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6" s="15" t="str">
        <f ca="1">IF(OR(tblTraining[[#This Row],[Status]]="Renewed",tblTraining[[#This Row],[NextDueDate]]=""),"",tblTraining[[#This Row],[NextDueDate]]-TODAY())</f>
        <v/>
      </c>
      <c r="I576" s="15" t="str" cm="1">
        <f t="array" aca="1" ref="I5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7" spans="1:9" x14ac:dyDescent="0.25">
      <c r="A577" s="15">
        <f t="shared" si="8"/>
        <v>576</v>
      </c>
      <c r="B577" s="15" t="s">
        <v>157</v>
      </c>
      <c r="C577" s="15" t="str" cm="1">
        <f t="array" ref="C577">IFERROR(_xlfn.XLOOKUP(B577, tblPeople[PersonID], tblPeople[PersonName], ""), "")</f>
        <v>Stephen Mutambu</v>
      </c>
      <c r="D577" s="15" t="s">
        <v>176</v>
      </c>
      <c r="E577" s="16" t="str">
        <f>IFERROR(_xlfn.XLOOKUP(D577, tblCourses[CourseID], tblCourses[CourseName], ""), "")</f>
        <v>Aviation Technical Records &amp; Stores Management (TRS)</v>
      </c>
      <c r="F577" s="17">
        <v>45002</v>
      </c>
      <c r="G577" s="17" t="str" cm="1">
        <f t="array" ref="G5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7" s="15" t="str">
        <f ca="1">IF(OR(tblTraining[[#This Row],[Status]]="Renewed",tblTraining[[#This Row],[NextDueDate]]=""),"",tblTraining[[#This Row],[NextDueDate]]-TODAY())</f>
        <v/>
      </c>
      <c r="I577" s="15" t="str" cm="1">
        <f t="array" aca="1" ref="I5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8" spans="1:9" x14ac:dyDescent="0.25">
      <c r="A578" s="15">
        <f t="shared" si="8"/>
        <v>577</v>
      </c>
      <c r="B578" s="15" t="s">
        <v>157</v>
      </c>
      <c r="C578" s="15" t="str" cm="1">
        <f t="array" ref="C578">IFERROR(_xlfn.XLOOKUP(B578, tblPeople[PersonID], tblPeople[PersonName], ""), "")</f>
        <v>Stephen Mutambu</v>
      </c>
      <c r="D578" s="15" t="s">
        <v>245</v>
      </c>
      <c r="E578" s="16" t="str">
        <f>IFERROR(_xlfn.XLOOKUP(D578, tblCourses[CourseID], tblCourses[CourseName], ""), "")</f>
        <v>PT6A Small &amp; Medium Series - General Familiarization ATA104 Level 1</v>
      </c>
      <c r="F578" s="17">
        <v>44634</v>
      </c>
      <c r="G578" s="17" t="str" cm="1">
        <f t="array" ref="G5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8" s="15" t="str">
        <f ca="1">IF(OR(tblTraining[[#This Row],[Status]]="Renewed",tblTraining[[#This Row],[NextDueDate]]=""),"",tblTraining[[#This Row],[NextDueDate]]-TODAY())</f>
        <v/>
      </c>
      <c r="I578" s="15" t="str" cm="1">
        <f t="array" aca="1" ref="I5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9" spans="1:9" x14ac:dyDescent="0.25">
      <c r="A579" s="15">
        <f t="shared" si="8"/>
        <v>578</v>
      </c>
      <c r="B579" s="15" t="s">
        <v>157</v>
      </c>
      <c r="C579" s="15" t="str" cm="1">
        <f t="array" ref="C579">IFERROR(_xlfn.XLOOKUP(B579, tblPeople[PersonID], tblPeople[PersonName], ""), "")</f>
        <v>Stephen Mutambu</v>
      </c>
      <c r="D579" s="15" t="s">
        <v>246</v>
      </c>
      <c r="E579" s="16" t="str">
        <f>IFERROR(_xlfn.XLOOKUP(D579, tblCourses[CourseID], tblCourses[CourseName], ""), "")</f>
        <v>PW100 Series - General Familiarization ATA104 Level 1</v>
      </c>
      <c r="F579" s="17">
        <v>44672</v>
      </c>
      <c r="G579" s="17" t="str" cm="1">
        <f t="array" ref="G5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9" s="15" t="str">
        <f ca="1">IF(OR(tblTraining[[#This Row],[Status]]="Renewed",tblTraining[[#This Row],[NextDueDate]]=""),"",tblTraining[[#This Row],[NextDueDate]]-TODAY())</f>
        <v/>
      </c>
      <c r="I579" s="15" t="str" cm="1">
        <f t="array" aca="1" ref="I5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0" spans="1:9" x14ac:dyDescent="0.25">
      <c r="A580" s="15">
        <f t="shared" ref="A580:A643" si="9">A579+1</f>
        <v>579</v>
      </c>
      <c r="B580" s="15" t="s">
        <v>113</v>
      </c>
      <c r="C580" s="15" t="str" cm="1">
        <f t="array" ref="C580">IFERROR(_xlfn.XLOOKUP(B580, tblPeople[PersonID], tblPeople[PersonName], ""), "")</f>
        <v>Ann Mwangi</v>
      </c>
      <c r="D580" s="15" t="s">
        <v>229</v>
      </c>
      <c r="E580" s="16" t="str">
        <f>IFERROR(_xlfn.XLOOKUP(D580, tblCourses[CourseID], tblCourses[CourseName], ""), "")</f>
        <v>Core Instructional Technique (Refresher)</v>
      </c>
      <c r="F580" s="17">
        <v>45637</v>
      </c>
      <c r="G580" s="17" cm="1">
        <f t="array" ref="G5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80" s="15">
        <f ca="1">IF(OR(tblTraining[[#This Row],[Status]]="Renewed",tblTraining[[#This Row],[NextDueDate]]=""),"",tblTraining[[#This Row],[NextDueDate]]-TODAY())</f>
        <v>81</v>
      </c>
      <c r="I580" s="15" t="str" cm="1">
        <f t="array" aca="1" ref="I5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1" spans="1:9" x14ac:dyDescent="0.25">
      <c r="A581" s="15">
        <f t="shared" si="9"/>
        <v>580</v>
      </c>
      <c r="B581" s="15" t="s">
        <v>113</v>
      </c>
      <c r="C581" s="15" t="str" cm="1">
        <f t="array" ref="C581">IFERROR(_xlfn.XLOOKUP(B581, tblPeople[PersonID], tblPeople[PersonName], ""), "")</f>
        <v>Ann Mwangi</v>
      </c>
      <c r="D581" s="15" t="s">
        <v>245</v>
      </c>
      <c r="E581" s="16" t="str">
        <f>IFERROR(_xlfn.XLOOKUP(D581, tblCourses[CourseID], tblCourses[CourseName], ""), "")</f>
        <v>PT6A Small &amp; Medium Series - General Familiarization ATA104 Level 1</v>
      </c>
      <c r="F581" s="17">
        <v>44643</v>
      </c>
      <c r="G581" s="17" t="str" cm="1">
        <f t="array" ref="G5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1" s="15" t="str">
        <f ca="1">IF(OR(tblTraining[[#This Row],[Status]]="Renewed",tblTraining[[#This Row],[NextDueDate]]=""),"",tblTraining[[#This Row],[NextDueDate]]-TODAY())</f>
        <v/>
      </c>
      <c r="I581" s="15" t="str" cm="1">
        <f t="array" aca="1" ref="I5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2" spans="1:9" x14ac:dyDescent="0.25">
      <c r="A582" s="15">
        <f t="shared" si="9"/>
        <v>581</v>
      </c>
      <c r="B582" s="15" t="s">
        <v>113</v>
      </c>
      <c r="C582" s="15" t="str" cm="1">
        <f t="array" ref="C582">IFERROR(_xlfn.XLOOKUP(B582, tblPeople[PersonID], tblPeople[PersonName], ""), "")</f>
        <v>Ann Mwangi</v>
      </c>
      <c r="D582" s="15" t="s">
        <v>246</v>
      </c>
      <c r="E582" s="16" t="str">
        <f>IFERROR(_xlfn.XLOOKUP(D582, tblCourses[CourseID], tblCourses[CourseName], ""), "")</f>
        <v>PW100 Series - General Familiarization ATA104 Level 1</v>
      </c>
      <c r="F582" s="17">
        <v>44686</v>
      </c>
      <c r="G582" s="17" t="str" cm="1">
        <f t="array" ref="G5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2" s="15" t="str">
        <f ca="1">IF(OR(tblTraining[[#This Row],[Status]]="Renewed",tblTraining[[#This Row],[NextDueDate]]=""),"",tblTraining[[#This Row],[NextDueDate]]-TODAY())</f>
        <v/>
      </c>
      <c r="I582" s="15" t="str" cm="1">
        <f t="array" aca="1" ref="I5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3" spans="1:9" x14ac:dyDescent="0.25">
      <c r="A583" s="15">
        <f t="shared" si="9"/>
        <v>582</v>
      </c>
      <c r="B583" s="15" t="s">
        <v>113</v>
      </c>
      <c r="C583" s="15" t="str" cm="1">
        <f t="array" ref="C583">IFERROR(_xlfn.XLOOKUP(B583, tblPeople[PersonID], tblPeople[PersonName], ""), "")</f>
        <v>Ann Mwangi</v>
      </c>
      <c r="D583" s="15" t="s">
        <v>225</v>
      </c>
      <c r="E583" s="16" t="str">
        <f>IFERROR(_xlfn.XLOOKUP(D583, tblCourses[CourseID], tblCourses[CourseName], ""), "")</f>
        <v>Quality Management Systems (Initial)</v>
      </c>
      <c r="F583" s="17">
        <v>44498</v>
      </c>
      <c r="G583" s="17" t="str" cm="1">
        <f t="array" ref="G5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3" s="15" t="str">
        <f ca="1">IF(OR(tblTraining[[#This Row],[Status]]="Renewed",tblTraining[[#This Row],[NextDueDate]]=""),"",tblTraining[[#This Row],[NextDueDate]]-TODAY())</f>
        <v/>
      </c>
      <c r="I583" s="15" t="str" cm="1">
        <f t="array" aca="1" ref="I5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4" spans="1:9" x14ac:dyDescent="0.25">
      <c r="A584" s="15">
        <f t="shared" si="9"/>
        <v>583</v>
      </c>
      <c r="B584" s="15" t="s">
        <v>113</v>
      </c>
      <c r="C584" s="15" t="str" cm="1">
        <f t="array" ref="C584">IFERROR(_xlfn.XLOOKUP(B584, tblPeople[PersonID], tblPeople[PersonName], ""), "")</f>
        <v>Ann Mwangi</v>
      </c>
      <c r="D584" s="15" t="s">
        <v>248</v>
      </c>
      <c r="E584" s="16" t="str">
        <f>IFERROR(_xlfn.XLOOKUP(D584, tblCourses[CourseID], tblCourses[CourseName], ""), "")</f>
        <v xml:space="preserve">Aircraft Accident Investigation </v>
      </c>
      <c r="F584" s="17">
        <v>42533</v>
      </c>
      <c r="G584" s="17" t="str" cm="1">
        <f t="array" ref="G5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4" s="15" t="str">
        <f ca="1">IF(OR(tblTraining[[#This Row],[Status]]="Renewed",tblTraining[[#This Row],[NextDueDate]]=""),"",tblTraining[[#This Row],[NextDueDate]]-TODAY())</f>
        <v/>
      </c>
      <c r="I584" s="15" t="str" cm="1">
        <f t="array" aca="1" ref="I5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5" spans="1:9" x14ac:dyDescent="0.25">
      <c r="A585" s="15">
        <f t="shared" si="9"/>
        <v>584</v>
      </c>
      <c r="B585" s="15" t="s">
        <v>113</v>
      </c>
      <c r="C585" s="15" t="str" cm="1">
        <f t="array" ref="C585">IFERROR(_xlfn.XLOOKUP(B585, tblPeople[PersonID], tblPeople[PersonName], ""), "")</f>
        <v>Ann Mwangi</v>
      </c>
      <c r="D585" s="15" t="s">
        <v>249</v>
      </c>
      <c r="E585" s="16" t="str">
        <f>IFERROR(_xlfn.XLOOKUP(D585, tblCourses[CourseID], tblCourses[CourseName], ""), "")</f>
        <v xml:space="preserve">AHM Real Time and Custom Alerting Analysis </v>
      </c>
      <c r="F585" s="17">
        <v>42303</v>
      </c>
      <c r="G585" s="17" t="str" cm="1">
        <f t="array" ref="G5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5" s="15" t="str">
        <f ca="1">IF(OR(tblTraining[[#This Row],[Status]]="Renewed",tblTraining[[#This Row],[NextDueDate]]=""),"",tblTraining[[#This Row],[NextDueDate]]-TODAY())</f>
        <v/>
      </c>
      <c r="I585" s="15" t="str" cm="1">
        <f t="array" aca="1" ref="I5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6" spans="1:9" x14ac:dyDescent="0.25">
      <c r="A586" s="15">
        <f t="shared" si="9"/>
        <v>585</v>
      </c>
      <c r="B586" s="15" t="s">
        <v>89</v>
      </c>
      <c r="C586" s="15" t="str" cm="1">
        <f t="array" ref="C586">IFERROR(_xlfn.XLOOKUP(B586, tblPeople[PersonID], tblPeople[PersonName], ""), "")</f>
        <v>Elina Guda</v>
      </c>
      <c r="D586" s="15" t="s">
        <v>225</v>
      </c>
      <c r="E586" s="16" t="str">
        <f>IFERROR(_xlfn.XLOOKUP(D586, tblCourses[CourseID], tblCourses[CourseName], ""), "")</f>
        <v>Quality Management Systems (Initial)</v>
      </c>
      <c r="F586" s="17">
        <v>45541</v>
      </c>
      <c r="G586" s="17" t="str" cm="1">
        <f t="array" ref="G5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6" s="15" t="str">
        <f ca="1">IF(OR(tblTraining[[#This Row],[Status]]="Renewed",tblTraining[[#This Row],[NextDueDate]]=""),"",tblTraining[[#This Row],[NextDueDate]]-TODAY())</f>
        <v/>
      </c>
      <c r="I586" s="15" t="str" cm="1">
        <f t="array" aca="1" ref="I5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7" spans="1:9" x14ac:dyDescent="0.25">
      <c r="A587" s="15">
        <f t="shared" si="9"/>
        <v>586</v>
      </c>
      <c r="B587" s="15" t="s">
        <v>89</v>
      </c>
      <c r="C587" s="15" t="str" cm="1">
        <f t="array" ref="C587">IFERROR(_xlfn.XLOOKUP(B587, tblPeople[PersonID], tblPeople[PersonName], ""), "")</f>
        <v>Elina Guda</v>
      </c>
      <c r="D587" s="15" t="s">
        <v>252</v>
      </c>
      <c r="E587" s="16" t="str">
        <f>IFERROR(_xlfn.XLOOKUP(D587, tblCourses[CourseID], tblCourses[CourseName], ""), "")</f>
        <v>Occupational Safety and Health Training</v>
      </c>
      <c r="F587" s="17">
        <v>45190</v>
      </c>
      <c r="G587" s="17" t="str" cm="1">
        <f t="array" ref="G5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7" s="15" t="str">
        <f ca="1">IF(OR(tblTraining[[#This Row],[Status]]="Renewed",tblTraining[[#This Row],[NextDueDate]]=""),"",tblTraining[[#This Row],[NextDueDate]]-TODAY())</f>
        <v/>
      </c>
      <c r="I587" s="15" t="str" cm="1">
        <f t="array" aca="1" ref="I5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8" spans="1:9" x14ac:dyDescent="0.25">
      <c r="A588" s="15">
        <f t="shared" si="9"/>
        <v>587</v>
      </c>
      <c r="B588" s="15" t="s">
        <v>153</v>
      </c>
      <c r="C588" s="15" t="str" cm="1">
        <f t="array" ref="C588">IFERROR(_xlfn.XLOOKUP(B588, tblPeople[PersonID], tblPeople[PersonName], ""), "")</f>
        <v>Majid Mohamed</v>
      </c>
      <c r="D588" s="15" t="s">
        <v>76</v>
      </c>
      <c r="E588" s="16" t="str">
        <f>IFERROR(_xlfn.XLOOKUP(D588, tblCourses[CourseID], tblCourses[CourseName], ""), "")</f>
        <v>Fuel Tank Safety Phase 1 &amp; 2 Course (Initial)</v>
      </c>
      <c r="F588" s="17">
        <v>45410</v>
      </c>
      <c r="G588" s="17" t="str" cm="1">
        <f t="array" ref="G5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8" s="15" t="str">
        <f ca="1">IF(OR(tblTraining[[#This Row],[Status]]="Renewed",tblTraining[[#This Row],[NextDueDate]]=""),"",tblTraining[[#This Row],[NextDueDate]]-TODAY())</f>
        <v/>
      </c>
      <c r="I588" s="15" t="str" cm="1">
        <f t="array" aca="1" ref="I5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9" spans="1:9" x14ac:dyDescent="0.25">
      <c r="A589" s="15">
        <f t="shared" si="9"/>
        <v>588</v>
      </c>
      <c r="B589" s="15" t="s">
        <v>153</v>
      </c>
      <c r="C589" s="15" t="str" cm="1">
        <f t="array" ref="C589">IFERROR(_xlfn.XLOOKUP(B589, tblPeople[PersonID], tblPeople[PersonName], ""), "")</f>
        <v>Majid Mohamed</v>
      </c>
      <c r="D589" s="15" t="s">
        <v>202</v>
      </c>
      <c r="E589" s="16" t="str">
        <f>IFERROR(_xlfn.XLOOKUP(D589, tblCourses[CourseID], tblCourses[CourseName], ""), "")</f>
        <v>Maintenance Procedures &amp; Standard Maintenance Practices (Refresher)</v>
      </c>
      <c r="F589" s="17">
        <v>45645</v>
      </c>
      <c r="G589" s="17" t="str" cm="1">
        <f t="array" ref="G5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9" s="15" t="str">
        <f ca="1">IF(OR(tblTraining[[#This Row],[Status]]="Renewed",tblTraining[[#This Row],[NextDueDate]]=""),"",tblTraining[[#This Row],[NextDueDate]]-TODAY())</f>
        <v/>
      </c>
      <c r="I589" s="15" t="str" cm="1">
        <f t="array" aca="1" ref="I5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90" spans="1:9" x14ac:dyDescent="0.25">
      <c r="A590" s="15">
        <f t="shared" si="9"/>
        <v>589</v>
      </c>
      <c r="B590" s="15" t="s">
        <v>153</v>
      </c>
      <c r="C590" s="15" t="str" cm="1">
        <f t="array" ref="C590">IFERROR(_xlfn.XLOOKUP(B590, tblPeople[PersonID], tblPeople[PersonName], ""), "")</f>
        <v>Majid Mohamed</v>
      </c>
      <c r="D590" s="15" t="s">
        <v>29</v>
      </c>
      <c r="E590" s="16" t="str">
        <f>IFERROR(_xlfn.XLOOKUP(D590, tblCourses[CourseID], tblCourses[CourseName], ""), "")</f>
        <v>DHC-8 100/200/300 with PWC 120/120A/121/123B/C/D/E Series Engines(Initial)</v>
      </c>
      <c r="F590" s="17">
        <v>42867</v>
      </c>
      <c r="G590" s="17" t="str" cm="1">
        <f t="array" ref="G5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0" s="15" t="str">
        <f ca="1">IF(OR(tblTraining[[#This Row],[Status]]="Renewed",tblTraining[[#This Row],[NextDueDate]]=""),"",tblTraining[[#This Row],[NextDueDate]]-TODAY())</f>
        <v/>
      </c>
      <c r="I590" s="15" t="str" cm="1">
        <f t="array" aca="1" ref="I5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1" spans="1:9" x14ac:dyDescent="0.25">
      <c r="A591" s="15">
        <f t="shared" si="9"/>
        <v>590</v>
      </c>
      <c r="B591" s="15" t="s">
        <v>82</v>
      </c>
      <c r="C591" s="15" t="str" cm="1">
        <f t="array" ref="C591">IFERROR(_xlfn.XLOOKUP(B591, tblPeople[PersonID], tblPeople[PersonName], ""), "")</f>
        <v>Philip Mwania</v>
      </c>
      <c r="D591" s="15" t="s">
        <v>229</v>
      </c>
      <c r="E591" s="16" t="str">
        <f>IFERROR(_xlfn.XLOOKUP(D591, tblCourses[CourseID], tblCourses[CourseName], ""), "")</f>
        <v>Core Instructional Technique (Refresher)</v>
      </c>
      <c r="F591" s="17">
        <v>45816</v>
      </c>
      <c r="G591" s="17" cm="1">
        <f t="array" ref="G5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46546</v>
      </c>
      <c r="H591" s="15">
        <f ca="1">IF(OR(tblTraining[[#This Row],[Status]]="Renewed",tblTraining[[#This Row],[NextDueDate]]=""),"",tblTraining[[#This Row],[NextDueDate]]-TODAY())</f>
        <v>260</v>
      </c>
      <c r="I591" s="15" t="str" cm="1">
        <f t="array" aca="1" ref="I5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2" spans="1:9" x14ac:dyDescent="0.25">
      <c r="A592" s="15">
        <f t="shared" si="9"/>
        <v>591</v>
      </c>
      <c r="B592" s="15" t="s">
        <v>82</v>
      </c>
      <c r="C592" s="15" t="str" cm="1">
        <f t="array" ref="C592">IFERROR(_xlfn.XLOOKUP(B592, tblPeople[PersonID], tblPeople[PersonName], ""), "")</f>
        <v>Philip Mwania</v>
      </c>
      <c r="D592" s="15" t="s">
        <v>224</v>
      </c>
      <c r="E592" s="16" t="str">
        <f>IFERROR(_xlfn.XLOOKUP(D592, tblCourses[CourseID], tblCourses[CourseName], ""), "")</f>
        <v>SOCATA TBM 700 Series (Initial)</v>
      </c>
      <c r="F592" s="17">
        <v>45733</v>
      </c>
      <c r="G592" s="17" t="str" cm="1">
        <f t="array" ref="G5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2" s="15" t="str">
        <f ca="1">IF(OR(tblTraining[[#This Row],[Status]]="Renewed",tblTraining[[#This Row],[NextDueDate]]=""),"",tblTraining[[#This Row],[NextDueDate]]-TODAY())</f>
        <v/>
      </c>
      <c r="I592" s="15" t="str" cm="1">
        <f t="array" aca="1" ref="I5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3" spans="1:9" x14ac:dyDescent="0.25">
      <c r="A593" s="15">
        <f t="shared" si="9"/>
        <v>592</v>
      </c>
      <c r="B593" s="15" t="s">
        <v>82</v>
      </c>
      <c r="C593" s="15" t="str" cm="1">
        <f t="array" ref="C593">IFERROR(_xlfn.XLOOKUP(B593, tblPeople[PersonID], tblPeople[PersonName], ""), "")</f>
        <v>Philip Mwania</v>
      </c>
      <c r="D593" s="15" t="s">
        <v>223</v>
      </c>
      <c r="E593" s="16" t="str">
        <f>IFERROR(_xlfn.XLOOKUP(D593, tblCourses[CourseID], tblCourses[CourseName], ""), "")</f>
        <v>SOCATA TBM 700 Series (Refresher)</v>
      </c>
      <c r="F593" s="17">
        <v>45733</v>
      </c>
      <c r="G593" s="17" cm="1">
        <f t="array" ref="G5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593" s="15">
        <f ca="1">IF(OR(tblTraining[[#This Row],[Status]]="Renewed",tblTraining[[#This Row],[NextDueDate]]=""),"",tblTraining[[#This Row],[NextDueDate]]-TODAY())</f>
        <v>177</v>
      </c>
      <c r="I593" s="15" t="str" cm="1">
        <f t="array" aca="1" ref="I5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4" spans="1:9" x14ac:dyDescent="0.25">
      <c r="A594" s="15">
        <f t="shared" si="9"/>
        <v>593</v>
      </c>
      <c r="B594" s="15" t="s">
        <v>82</v>
      </c>
      <c r="C594" s="15" t="str" cm="1">
        <f t="array" ref="C594">IFERROR(_xlfn.XLOOKUP(B594, tblPeople[PersonID], tblPeople[PersonName], ""), "")</f>
        <v>Philip Mwania</v>
      </c>
      <c r="D594" s="15" t="s">
        <v>78</v>
      </c>
      <c r="E594" s="16" t="str">
        <f>IFERROR(_xlfn.XLOOKUP(D594, tblCourses[CourseID], tblCourses[CourseName], ""), "")</f>
        <v>DHC8 -100/-200/-300 Collins Wheels &amp; Brakes Familiarization Training (Initial)</v>
      </c>
      <c r="F594" s="17">
        <v>45637</v>
      </c>
      <c r="G594" s="17" t="str" cm="1">
        <f t="array" ref="G5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4" s="15" t="str">
        <f ca="1">IF(OR(tblTraining[[#This Row],[Status]]="Renewed",tblTraining[[#This Row],[NextDueDate]]=""),"",tblTraining[[#This Row],[NextDueDate]]-TODAY())</f>
        <v/>
      </c>
      <c r="I594" s="15" t="str" cm="1">
        <f t="array" aca="1" ref="I5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5" spans="1:9" x14ac:dyDescent="0.25">
      <c r="A595" s="15">
        <f t="shared" si="9"/>
        <v>594</v>
      </c>
      <c r="B595" s="15" t="s">
        <v>82</v>
      </c>
      <c r="C595" s="15" t="str" cm="1">
        <f t="array" ref="C595">IFERROR(_xlfn.XLOOKUP(B595, tblPeople[PersonID], tblPeople[PersonName], ""), "")</f>
        <v>Philip Mwania</v>
      </c>
      <c r="D595" s="15" t="s">
        <v>27</v>
      </c>
      <c r="E595" s="16" t="str">
        <f>IFERROR(_xlfn.XLOOKUP(D595, tblCourses[CourseID], tblCourses[CourseName], ""), "")</f>
        <v>Pratt &amp; Whitney Canada PT6A Engine With P&amp;WC PT6A
20/ 27/ 41/ 42/ 60A/ 67D/ 112/ 114A/ 140 (Initial)</v>
      </c>
      <c r="F595" s="17">
        <v>40596</v>
      </c>
      <c r="G595" s="17" t="str" cm="1">
        <f t="array" ref="G5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5" s="15" t="str">
        <f ca="1">IF(OR(tblTraining[[#This Row],[Status]]="Renewed",tblTraining[[#This Row],[NextDueDate]]=""),"",tblTraining[[#This Row],[NextDueDate]]-TODAY())</f>
        <v/>
      </c>
      <c r="I595" s="15" t="str" cm="1">
        <f t="array" aca="1" ref="I5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6" spans="1:9" x14ac:dyDescent="0.25">
      <c r="A596" s="15">
        <f t="shared" si="9"/>
        <v>595</v>
      </c>
      <c r="B596" s="15" t="s">
        <v>82</v>
      </c>
      <c r="C596" s="15" t="str" cm="1">
        <f t="array" ref="C596">IFERROR(_xlfn.XLOOKUP(B596, tblPeople[PersonID], tblPeople[PersonName], ""), "")</f>
        <v>Philip Mwania</v>
      </c>
      <c r="D596" s="15" t="s">
        <v>254</v>
      </c>
      <c r="E596" s="16" t="str">
        <f>IFERROR(_xlfn.XLOOKUP(D596, tblCourses[CourseID], tblCourses[CourseName], ""), "")</f>
        <v>Bell 412 (PWC PT6T) B1.3</v>
      </c>
      <c r="F596" s="17">
        <v>42174</v>
      </c>
      <c r="G596" s="17" t="str" cm="1">
        <f t="array" ref="G5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6" s="15" t="str">
        <f ca="1">IF(OR(tblTraining[[#This Row],[Status]]="Renewed",tblTraining[[#This Row],[NextDueDate]]=""),"",tblTraining[[#This Row],[NextDueDate]]-TODAY())</f>
        <v/>
      </c>
      <c r="I596" s="15" t="str" cm="1">
        <f t="array" aca="1" ref="I5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7" spans="1:9" x14ac:dyDescent="0.25">
      <c r="A597" s="15">
        <f t="shared" si="9"/>
        <v>596</v>
      </c>
      <c r="B597" s="15" t="s">
        <v>82</v>
      </c>
      <c r="C597" s="15" t="str" cm="1">
        <f t="array" ref="C597">IFERROR(_xlfn.XLOOKUP(B597, tblPeople[PersonID], tblPeople[PersonName], ""), "")</f>
        <v>Philip Mwania</v>
      </c>
      <c r="D597" s="15" t="s">
        <v>256</v>
      </c>
      <c r="E597" s="16" t="str">
        <f>IFERROR(_xlfn.XLOOKUP(D597, tblCourses[CourseID], tblCourses[CourseName], ""), "")</f>
        <v>King Air 200 Series 
King Air 350 Differences</v>
      </c>
      <c r="F597" s="17">
        <v>41929</v>
      </c>
      <c r="G597" s="17" t="str" cm="1">
        <f t="array" ref="G5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7" s="15" t="str">
        <f ca="1">IF(OR(tblTraining[[#This Row],[Status]]="Renewed",tblTraining[[#This Row],[NextDueDate]]=""),"",tblTraining[[#This Row],[NextDueDate]]-TODAY())</f>
        <v/>
      </c>
      <c r="I597" s="15" t="str" cm="1">
        <f t="array" aca="1" ref="I5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8" spans="1:9" x14ac:dyDescent="0.25">
      <c r="A598" s="15">
        <f t="shared" si="9"/>
        <v>597</v>
      </c>
      <c r="B598" s="15" t="s">
        <v>82</v>
      </c>
      <c r="C598" s="15" t="str" cm="1">
        <f t="array" ref="C598">IFERROR(_xlfn.XLOOKUP(B598, tblPeople[PersonID], tblPeople[PersonName], ""), "")</f>
        <v>Philip Mwania</v>
      </c>
      <c r="D598" s="15" t="s">
        <v>258</v>
      </c>
      <c r="E598" s="16" t="str">
        <f>IFERROR(_xlfn.XLOOKUP(D598, tblCourses[CourseID], tblCourses[CourseName], ""), "")</f>
        <v xml:space="preserve">DC9-80 (MD80) Airframe Systems (Upto &amp; including -87 Series) &amp; JT8D-200 Series Engine (including -217 &amp; -219) </v>
      </c>
      <c r="F598" s="17">
        <v>40992</v>
      </c>
      <c r="G598" s="17" t="str" cm="1">
        <f t="array" ref="G5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8" s="15" t="str">
        <f ca="1">IF(OR(tblTraining[[#This Row],[Status]]="Renewed",tblTraining[[#This Row],[NextDueDate]]=""),"",tblTraining[[#This Row],[NextDueDate]]-TODAY())</f>
        <v/>
      </c>
      <c r="I598" s="15" t="str" cm="1">
        <f t="array" aca="1" ref="I5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9" spans="1:9" x14ac:dyDescent="0.25">
      <c r="A599" s="15">
        <f t="shared" si="9"/>
        <v>598</v>
      </c>
      <c r="B599" s="15" t="s">
        <v>82</v>
      </c>
      <c r="C599" s="15" t="str" cm="1">
        <f t="array" ref="C599">IFERROR(_xlfn.XLOOKUP(B599, tblPeople[PersonID], tblPeople[PersonName], ""), "")</f>
        <v>Philip Mwania</v>
      </c>
      <c r="D599" s="15" t="s">
        <v>202</v>
      </c>
      <c r="E599" s="16" t="str">
        <f>IFERROR(_xlfn.XLOOKUP(D599, tblCourses[CourseID], tblCourses[CourseName], ""), "")</f>
        <v>Maintenance Procedures &amp; Standard Maintenance Practices (Refresher)</v>
      </c>
      <c r="F599" s="17">
        <v>45322</v>
      </c>
      <c r="G599" s="17" t="str" cm="1">
        <f t="array" ref="G5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9" s="15" t="str">
        <f ca="1">IF(OR(tblTraining[[#This Row],[Status]]="Renewed",tblTraining[[#This Row],[NextDueDate]]=""),"",tblTraining[[#This Row],[NextDueDate]]-TODAY())</f>
        <v/>
      </c>
      <c r="I599" s="15" t="str" cm="1">
        <f t="array" aca="1" ref="I5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00" spans="1:9" x14ac:dyDescent="0.25">
      <c r="A600" s="15">
        <f t="shared" si="9"/>
        <v>599</v>
      </c>
      <c r="B600" s="15" t="s">
        <v>82</v>
      </c>
      <c r="C600" s="15" t="str" cm="1">
        <f t="array" ref="C600">IFERROR(_xlfn.XLOOKUP(B600, tblPeople[PersonID], tblPeople[PersonName], ""), "")</f>
        <v>Philip Mwania</v>
      </c>
      <c r="D600" s="15" t="s">
        <v>260</v>
      </c>
      <c r="E600" s="16" t="str">
        <f>IFERROR(_xlfn.XLOOKUP(D600, tblCourses[CourseID], tblCourses[CourseName], ""), "")</f>
        <v>RVSM Pitot Static Tester</v>
      </c>
      <c r="F600" s="17">
        <v>40962</v>
      </c>
      <c r="G600" s="17" t="str" cm="1">
        <f t="array" ref="G6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0" s="15" t="str">
        <f ca="1">IF(OR(tblTraining[[#This Row],[Status]]="Renewed",tblTraining[[#This Row],[NextDueDate]]=""),"",tblTraining[[#This Row],[NextDueDate]]-TODAY())</f>
        <v/>
      </c>
      <c r="I600" s="15" t="str" cm="1">
        <f t="array" aca="1" ref="I6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1" spans="1:9" x14ac:dyDescent="0.25">
      <c r="A601" s="15">
        <f t="shared" si="9"/>
        <v>600</v>
      </c>
      <c r="B601" s="15" t="s">
        <v>82</v>
      </c>
      <c r="C601" s="15" t="str" cm="1">
        <f t="array" ref="C601">IFERROR(_xlfn.XLOOKUP(B601, tblPeople[PersonID], tblPeople[PersonName], ""), "")</f>
        <v>Philip Mwania</v>
      </c>
      <c r="D601" s="15" t="s">
        <v>261</v>
      </c>
      <c r="E601" s="16" t="str">
        <f>IFERROR(_xlfn.XLOOKUP(D601, tblCourses[CourseID], tblCourses[CourseName], ""), "")</f>
        <v>G3ABR32430 002 Precision Measurement Equipment Specialist</v>
      </c>
      <c r="F601" s="17">
        <v>30855</v>
      </c>
      <c r="G601" s="17" t="str" cm="1">
        <f t="array" ref="G6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1" s="15" t="str">
        <f ca="1">IF(OR(tblTraining[[#This Row],[Status]]="Renewed",tblTraining[[#This Row],[NextDueDate]]=""),"",tblTraining[[#This Row],[NextDueDate]]-TODAY())</f>
        <v/>
      </c>
      <c r="I601" s="15" t="str" cm="1">
        <f t="array" aca="1" ref="I6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2" spans="1:9" x14ac:dyDescent="0.25">
      <c r="A602" s="15">
        <f t="shared" si="9"/>
        <v>601</v>
      </c>
      <c r="B602" s="15" t="s">
        <v>83</v>
      </c>
      <c r="C602" s="15" t="str" cm="1">
        <f t="array" ref="C602">IFERROR(_xlfn.XLOOKUP(B602, tblPeople[PersonID], tblPeople[PersonName], ""), "")</f>
        <v>Wycliffe Kanana</v>
      </c>
      <c r="D602" s="15" t="s">
        <v>138</v>
      </c>
      <c r="E602" s="16" t="str">
        <f>IFERROR(_xlfn.XLOOKUP(D602, tblCourses[CourseID], tblCourses[CourseName], ""), "")</f>
        <v>Fire Marshal Training (OSHA, 2007)</v>
      </c>
      <c r="F602" s="17">
        <v>45933</v>
      </c>
      <c r="G602" s="17" cm="1">
        <f t="array" ref="G6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46663</v>
      </c>
      <c r="H602" s="15">
        <f ca="1">IF(OR(tblTraining[[#This Row],[Status]]="Renewed",tblTraining[[#This Row],[NextDueDate]]=""),"",tblTraining[[#This Row],[NextDueDate]]-TODAY())</f>
        <v>377</v>
      </c>
      <c r="I602" s="15" t="str" cm="1">
        <f t="array" aca="1" ref="I6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3" spans="1:9" x14ac:dyDescent="0.25">
      <c r="A603" s="15">
        <f t="shared" si="9"/>
        <v>602</v>
      </c>
      <c r="B603" s="15" t="s">
        <v>81</v>
      </c>
      <c r="C603" s="15" t="str" cm="1">
        <f t="array" ref="C603">IFERROR(_xlfn.XLOOKUP(B603, tblPeople[PersonID], tblPeople[PersonName], ""), "")</f>
        <v>Gideon Mwasio</v>
      </c>
      <c r="D603" s="15" t="s">
        <v>138</v>
      </c>
      <c r="E603" s="16" t="str">
        <f>IFERROR(_xlfn.XLOOKUP(D603, tblCourses[CourseID], tblCourses[CourseName], ""), "")</f>
        <v>Fire Marshal Training (OSHA, 2007)</v>
      </c>
      <c r="F603" s="17">
        <v>45933</v>
      </c>
      <c r="G603" s="17" cm="1">
        <f t="array" ref="G6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46663</v>
      </c>
      <c r="H603" s="15">
        <f ca="1">IF(OR(tblTraining[[#This Row],[Status]]="Renewed",tblTraining[[#This Row],[NextDueDate]]=""),"",tblTraining[[#This Row],[NextDueDate]]-TODAY())</f>
        <v>377</v>
      </c>
      <c r="I603" s="15" t="str" cm="1">
        <f t="array" aca="1" ref="I6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4" spans="1:9" x14ac:dyDescent="0.25">
      <c r="A604" s="15">
        <f t="shared" si="9"/>
        <v>603</v>
      </c>
      <c r="B604" s="15" t="s">
        <v>93</v>
      </c>
      <c r="C604" s="15" t="str" cm="1">
        <f t="array" ref="C604">IFERROR(_xlfn.XLOOKUP(B604, tblPeople[PersonID], tblPeople[PersonName], ""), "")</f>
        <v>Stephen Tunje</v>
      </c>
      <c r="D604" s="15" t="s">
        <v>138</v>
      </c>
      <c r="E604" s="16" t="str">
        <f>IFERROR(_xlfn.XLOOKUP(D604, tblCourses[CourseID], tblCourses[CourseName], ""), "")</f>
        <v>Fire Marshal Training (OSHA, 2007)</v>
      </c>
      <c r="F604" s="17">
        <v>45933</v>
      </c>
      <c r="G604" s="17" cm="1">
        <f t="array" ref="G6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46663</v>
      </c>
      <c r="H604" s="15">
        <f ca="1">IF(OR(tblTraining[[#This Row],[Status]]="Renewed",tblTraining[[#This Row],[NextDueDate]]=""),"",tblTraining[[#This Row],[NextDueDate]]-TODAY())</f>
        <v>377</v>
      </c>
      <c r="I604" s="15" t="str" cm="1">
        <f t="array" aca="1" ref="I6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5" spans="1:9" x14ac:dyDescent="0.25">
      <c r="A605" s="15">
        <f t="shared" si="9"/>
        <v>604</v>
      </c>
      <c r="B605" s="15" t="s">
        <v>107</v>
      </c>
      <c r="C605" s="15" t="str" cm="1">
        <f t="array" ref="C605">IFERROR(_xlfn.XLOOKUP(B605, tblPeople[PersonID], tblPeople[PersonName], ""), "")</f>
        <v>Julius Nyawira</v>
      </c>
      <c r="D605" s="15" t="s">
        <v>28</v>
      </c>
      <c r="E605" s="16" t="str">
        <f>IFERROR(_xlfn.XLOOKUP(D605, tblCourses[CourseID], tblCourses[CourseName], ""), "")</f>
        <v>DHC-8 100/200/300 with PWC 120/120A/121/123B/C/D/E Series Engines(Refresher)</v>
      </c>
      <c r="F605" s="17">
        <v>43655</v>
      </c>
      <c r="G605" s="17" cm="1">
        <f t="array" ref="G6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44386</v>
      </c>
      <c r="H605" s="15">
        <f ca="1">IF(OR(tblTraining[[#This Row],[Status]]="Renewed",tblTraining[[#This Row],[NextDueDate]]=""),"",tblTraining[[#This Row],[NextDueDate]]-TODAY())</f>
        <v>-1900</v>
      </c>
      <c r="I605" s="15" t="str" cm="1">
        <f t="array" aca="1" ref="I6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606" spans="1:9" x14ac:dyDescent="0.25">
      <c r="A606" s="15">
        <f t="shared" si="9"/>
        <v>605</v>
      </c>
      <c r="B606" s="15" t="s">
        <v>107</v>
      </c>
      <c r="C606" s="15" t="str" cm="1">
        <f t="array" ref="C606">IFERROR(_xlfn.XLOOKUP(B606, tblPeople[PersonID], tblPeople[PersonName], ""), "")</f>
        <v>Julius Nyawira</v>
      </c>
      <c r="D606" s="15" t="s">
        <v>25</v>
      </c>
      <c r="E606" s="16" t="str">
        <f>IFERROR(_xlfn.XLOOKUP(D606, tblCourses[CourseID], tblCourses[CourseName], ""), "")</f>
        <v>Pratt &amp; Whitney Canada PT6A Engine With P&amp;WC PT6A
20/ 27/ 41/ 42/ 60A/ 67D/ 112/ 114A/ 140 (Refresher)</v>
      </c>
      <c r="F606" s="17">
        <v>43655</v>
      </c>
      <c r="G606" s="17" cm="1">
        <f t="array" ref="G6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44386</v>
      </c>
      <c r="H606" s="15">
        <f ca="1">IF(OR(tblTraining[[#This Row],[Status]]="Renewed",tblTraining[[#This Row],[NextDueDate]]=""),"",tblTraining[[#This Row],[NextDueDate]]-TODAY())</f>
        <v>-1900</v>
      </c>
      <c r="I606" s="15" t="str" cm="1">
        <f t="array" aca="1" ref="I6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607" spans="1:9" x14ac:dyDescent="0.25">
      <c r="A607" s="15">
        <f t="shared" si="9"/>
        <v>606</v>
      </c>
      <c r="B607" s="15" t="s">
        <v>105</v>
      </c>
      <c r="C607" s="15" t="str" cm="1">
        <f t="array" ref="C607">IFERROR(_xlfn.XLOOKUP(B607, tblPeople[PersonID], tblPeople[PersonName], ""), "")</f>
        <v>Fred Magotsi</v>
      </c>
      <c r="D607" s="15" t="s">
        <v>24</v>
      </c>
      <c r="E607" s="16" t="str">
        <f>IFERROR(_xlfn.XLOOKUP(D607, tblCourses[CourseID], tblCourses[CourseName], ""), "")</f>
        <v>Human Factors in Aviation (Initial)</v>
      </c>
      <c r="F607" s="17">
        <v>45118</v>
      </c>
      <c r="G607" s="17" t="str" cm="1">
        <f t="array" ref="G6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7" s="15" t="str">
        <f ca="1">IF(OR(tblTraining[[#This Row],[Status]]="Renewed",tblTraining[[#This Row],[NextDueDate]]=""),"",tblTraining[[#This Row],[NextDueDate]]-TODAY())</f>
        <v/>
      </c>
      <c r="I607" s="15" t="str" cm="1">
        <f t="array" aca="1" ref="I6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8" spans="1:9" x14ac:dyDescent="0.25">
      <c r="A608" s="15">
        <f t="shared" si="9"/>
        <v>607</v>
      </c>
      <c r="B608" s="15" t="s">
        <v>105</v>
      </c>
      <c r="C608" s="15" t="str" cm="1">
        <f t="array" ref="C608">IFERROR(_xlfn.XLOOKUP(B608, tblPeople[PersonID], tblPeople[PersonName], ""), "")</f>
        <v>Fred Magotsi</v>
      </c>
      <c r="D608" s="15" t="s">
        <v>17</v>
      </c>
      <c r="E608" s="16" t="str">
        <f>IFERROR(_xlfn.XLOOKUP(D608, tblCourses[CourseID], tblCourses[CourseName], ""), "")</f>
        <v>Safety Management Systems (Refresher)</v>
      </c>
      <c r="F608" s="17">
        <v>45113</v>
      </c>
      <c r="G608" s="17" t="str" cm="1">
        <f t="array" ref="G6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8" s="15" t="str">
        <f ca="1">IF(OR(tblTraining[[#This Row],[Status]]="Renewed",tblTraining[[#This Row],[NextDueDate]]=""),"",tblTraining[[#This Row],[NextDueDate]]-TODAY())</f>
        <v/>
      </c>
      <c r="I608" s="15" t="str" cm="1">
        <f t="array" aca="1" ref="I6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09" spans="1:9" x14ac:dyDescent="0.25">
      <c r="A609" s="15">
        <f t="shared" si="9"/>
        <v>608</v>
      </c>
      <c r="B609" s="15" t="s">
        <v>85</v>
      </c>
      <c r="C609" s="15" t="str" cm="1">
        <f t="array" ref="C609">IFERROR(_xlfn.XLOOKUP(B609, tblPeople[PersonID], tblPeople[PersonName], ""), "")</f>
        <v>Titus Shunza</v>
      </c>
      <c r="D609" s="15" t="s">
        <v>227</v>
      </c>
      <c r="E609" s="16" t="str">
        <f>IFERROR(_xlfn.XLOOKUP(D609, tblCourses[CourseID], tblCourses[CourseName], ""), "")</f>
        <v>Core Instructional Technique (Initial)</v>
      </c>
      <c r="F609" s="17">
        <v>45800</v>
      </c>
      <c r="G609" s="17" t="str" cm="1">
        <f t="array" ref="G6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9" s="15" t="str">
        <f ca="1">IF(OR(tblTraining[[#This Row],[Status]]="Renewed",tblTraining[[#This Row],[NextDueDate]]=""),"",tblTraining[[#This Row],[NextDueDate]]-TODAY())</f>
        <v/>
      </c>
      <c r="I609" s="15" t="str" cm="1">
        <f t="array" aca="1" ref="I6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0" spans="1:9" x14ac:dyDescent="0.25">
      <c r="A610" s="15">
        <f t="shared" si="9"/>
        <v>609</v>
      </c>
      <c r="B610" s="15" t="s">
        <v>85</v>
      </c>
      <c r="C610" s="15" t="str" cm="1">
        <f t="array" ref="C610">IFERROR(_xlfn.XLOOKUP(B610, tblPeople[PersonID], tblPeople[PersonName], ""), "")</f>
        <v>Titus Shunza</v>
      </c>
      <c r="D610" s="15" t="s">
        <v>229</v>
      </c>
      <c r="E610" s="16" t="str">
        <f>IFERROR(_xlfn.XLOOKUP(D610, tblCourses[CourseID], tblCourses[CourseName], ""), "")</f>
        <v>Core Instructional Technique (Refresher)</v>
      </c>
      <c r="F610" s="17">
        <v>45800</v>
      </c>
      <c r="G610" s="17" cm="1">
        <f t="array" ref="G6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46530</v>
      </c>
      <c r="H610" s="15">
        <f ca="1">IF(OR(tblTraining[[#This Row],[Status]]="Renewed",tblTraining[[#This Row],[NextDueDate]]=""),"",tblTraining[[#This Row],[NextDueDate]]-TODAY())</f>
        <v>244</v>
      </c>
      <c r="I610" s="15" t="str" cm="1">
        <f t="array" aca="1" ref="I6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1" spans="1:9" x14ac:dyDescent="0.25">
      <c r="A611" s="15">
        <f t="shared" si="9"/>
        <v>610</v>
      </c>
      <c r="B611" s="15" t="s">
        <v>105</v>
      </c>
      <c r="C611" s="15" t="str" cm="1">
        <f t="array" ref="C611">IFERROR(_xlfn.XLOOKUP(B611, tblPeople[PersonID], tblPeople[PersonName], ""), "")</f>
        <v>Fred Magotsi</v>
      </c>
      <c r="D611" s="15" t="s">
        <v>77</v>
      </c>
      <c r="E611" s="16" t="str">
        <f>IFERROR(_xlfn.XLOOKUP(D611, tblCourses[CourseID], tblCourses[CourseName], ""), "")</f>
        <v>DHC8 -100/-200/-300 Collins Wheels &amp; Brakes Familiarization Training (Refresher)</v>
      </c>
      <c r="F611" s="17">
        <v>44383</v>
      </c>
      <c r="G611" s="17" t="str" cm="1">
        <f t="array" ref="G6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1" s="15" t="str">
        <f ca="1">IF(OR(tblTraining[[#This Row],[Status]]="Renewed",tblTraining[[#This Row],[NextDueDate]]=""),"",tblTraining[[#This Row],[NextDueDate]]-TODAY())</f>
        <v/>
      </c>
      <c r="I611" s="15" t="str" cm="1">
        <f t="array" aca="1" ref="I6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12" spans="1:9" x14ac:dyDescent="0.25">
      <c r="A612" s="15">
        <f t="shared" si="9"/>
        <v>611</v>
      </c>
      <c r="B612" s="15" t="s">
        <v>105</v>
      </c>
      <c r="C612" s="15" t="str" cm="1">
        <f t="array" ref="C612">IFERROR(_xlfn.XLOOKUP(B612, tblPeople[PersonID], tblPeople[PersonName], ""), "")</f>
        <v>Fred Magotsi</v>
      </c>
      <c r="D612" s="15" t="s">
        <v>29</v>
      </c>
      <c r="E612" s="16" t="str">
        <f>IFERROR(_xlfn.XLOOKUP(D612, tblCourses[CourseID], tblCourses[CourseName], ""), "")</f>
        <v>DHC-8 100/200/300 with PWC 120/120A/121/123B/C/D/E Series Engines(Initial)</v>
      </c>
      <c r="F612" s="17">
        <v>41698</v>
      </c>
      <c r="G612" s="17" t="str" cm="1">
        <f t="array" ref="G6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2" s="15" t="str">
        <f ca="1">IF(OR(tblTraining[[#This Row],[Status]]="Renewed",tblTraining[[#This Row],[NextDueDate]]=""),"",tblTraining[[#This Row],[NextDueDate]]-TODAY())</f>
        <v/>
      </c>
      <c r="I612" s="15" t="str" cm="1">
        <f t="array" aca="1" ref="I6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3" spans="1:9" x14ac:dyDescent="0.25">
      <c r="A613" s="15">
        <f t="shared" si="9"/>
        <v>612</v>
      </c>
      <c r="B613" s="15" t="s">
        <v>92</v>
      </c>
      <c r="C613" s="15" t="str" cm="1">
        <f t="array" ref="C613">IFERROR(_xlfn.XLOOKUP(B613, tblPeople[PersonID], tblPeople[PersonName], ""), "")</f>
        <v>Reuben Otieno</v>
      </c>
      <c r="D613" s="15" t="s">
        <v>22</v>
      </c>
      <c r="E613" s="16" t="str">
        <f>IFERROR(_xlfn.XLOOKUP(D613, tblCourses[CourseID], tblCourses[CourseName], ""), "")</f>
        <v>Human Factors in Aviation (Refresher)</v>
      </c>
      <c r="F613" s="17">
        <v>45917</v>
      </c>
      <c r="G613" s="17" cm="1">
        <f t="array" ref="G6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46647</v>
      </c>
      <c r="H613" s="15">
        <f ca="1">IF(OR(tblTraining[[#This Row],[Status]]="Renewed",tblTraining[[#This Row],[NextDueDate]]=""),"",tblTraining[[#This Row],[NextDueDate]]-TODAY())</f>
        <v>361</v>
      </c>
      <c r="I613" s="15" t="str" cm="1">
        <f t="array" aca="1" ref="I6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4" spans="1:9" x14ac:dyDescent="0.25">
      <c r="A614" s="15">
        <f t="shared" si="9"/>
        <v>613</v>
      </c>
      <c r="B614" s="15" t="s">
        <v>84</v>
      </c>
      <c r="C614" s="15" t="str" cm="1">
        <f t="array" ref="C614">IFERROR(_xlfn.XLOOKUP(B614, tblPeople[PersonID], tblPeople[PersonName], ""), "")</f>
        <v>Patrick Musau</v>
      </c>
      <c r="D614" s="15" t="s">
        <v>238</v>
      </c>
      <c r="E614" s="16" t="str">
        <f>IFERROR(_xlfn.XLOOKUP(D614, tblCourses[CourseID], tblCourses[CourseName], ""), "")</f>
        <v>Crew Resource Management (Initial)</v>
      </c>
      <c r="F614" s="17">
        <v>44517</v>
      </c>
      <c r="G614" s="17" t="str" cm="1">
        <f t="array" ref="G6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4" s="15" t="str">
        <f ca="1">IF(OR(tblTraining[[#This Row],[Status]]="Renewed",tblTraining[[#This Row],[NextDueDate]]=""),"",tblTraining[[#This Row],[NextDueDate]]-TODAY())</f>
        <v/>
      </c>
      <c r="I614" s="15" t="str" cm="1">
        <f t="array" aca="1" ref="I6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5" spans="1:9" x14ac:dyDescent="0.25">
      <c r="A615" s="15">
        <f t="shared" si="9"/>
        <v>614</v>
      </c>
      <c r="B615" s="15" t="s">
        <v>84</v>
      </c>
      <c r="C615" s="15" t="str" cm="1">
        <f t="array" ref="C615">IFERROR(_xlfn.XLOOKUP(B615, tblPeople[PersonID], tblPeople[PersonName], ""), "")</f>
        <v>Patrick Musau</v>
      </c>
      <c r="D615" s="15" t="s">
        <v>32</v>
      </c>
      <c r="E615" s="16" t="str">
        <f>IFERROR(_xlfn.XLOOKUP(D615, tblCourses[CourseID], tblCourses[CourseName], ""), "")</f>
        <v>Dangerous Goods Regulations (CBTA 7.3) (Initial)</v>
      </c>
      <c r="F615" s="17">
        <v>44518</v>
      </c>
      <c r="G615" s="17" t="str" cm="1">
        <f t="array" ref="G6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5" s="15" t="str">
        <f ca="1">IF(OR(tblTraining[[#This Row],[Status]]="Renewed",tblTraining[[#This Row],[NextDueDate]]=""),"",tblTraining[[#This Row],[NextDueDate]]-TODAY())</f>
        <v/>
      </c>
      <c r="I615" s="15" t="str" cm="1">
        <f t="array" aca="1" ref="I6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6" spans="1:9" x14ac:dyDescent="0.25">
      <c r="A616" s="15">
        <f t="shared" si="9"/>
        <v>615</v>
      </c>
      <c r="B616" s="15" t="s">
        <v>90</v>
      </c>
      <c r="C616" s="15" t="str" cm="1">
        <f t="array" ref="C616">IFERROR(_xlfn.XLOOKUP(B616, tblPeople[PersonID], tblPeople[PersonName], ""), "")</f>
        <v>Kendra Nambisia</v>
      </c>
      <c r="D616" s="15" t="s">
        <v>202</v>
      </c>
      <c r="E616" s="16" t="str">
        <f>IFERROR(_xlfn.XLOOKUP(D616, tblCourses[CourseID], tblCourses[CourseName], ""), "")</f>
        <v>Maintenance Procedures &amp; Standard Maintenance Practices (Refresher)</v>
      </c>
      <c r="F616" s="17">
        <v>45786</v>
      </c>
      <c r="G616" s="17" cm="1">
        <f t="array" ref="G6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46516</v>
      </c>
      <c r="H616" s="15">
        <f ca="1">IF(OR(tblTraining[[#This Row],[Status]]="Renewed",tblTraining[[#This Row],[NextDueDate]]=""),"",tblTraining[[#This Row],[NextDueDate]]-TODAY())</f>
        <v>230</v>
      </c>
      <c r="I616" s="15" t="str" cm="1">
        <f t="array" aca="1" ref="I6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7" spans="1:9" x14ac:dyDescent="0.25">
      <c r="A617" s="15">
        <f t="shared" si="9"/>
        <v>616</v>
      </c>
      <c r="B617" s="15" t="s">
        <v>90</v>
      </c>
      <c r="C617" s="15" t="str" cm="1">
        <f t="array" ref="C617">IFERROR(_xlfn.XLOOKUP(B617, tblPeople[PersonID], tblPeople[PersonName], ""), "")</f>
        <v>Kendra Nambisia</v>
      </c>
      <c r="D617" s="15" t="s">
        <v>126</v>
      </c>
      <c r="E617" s="16" t="str">
        <f>IFERROR(_xlfn.XLOOKUP(D617, tblCourses[CourseID], tblCourses[CourseName], ""), "")</f>
        <v>Maintenance Indoctrination</v>
      </c>
      <c r="F617" s="17">
        <v>45146</v>
      </c>
      <c r="G617" s="17" t="str" cm="1">
        <f t="array" ref="G6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7" s="15" t="str">
        <f ca="1">IF(OR(tblTraining[[#This Row],[Status]]="Renewed",tblTraining[[#This Row],[NextDueDate]]=""),"",tblTraining[[#This Row],[NextDueDate]]-TODAY())</f>
        <v/>
      </c>
      <c r="I617" s="15" t="str" cm="1">
        <f t="array" aca="1" ref="I6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8" spans="1:9" x14ac:dyDescent="0.25">
      <c r="A618" s="15">
        <f t="shared" si="9"/>
        <v>617</v>
      </c>
      <c r="B618" s="15" t="s">
        <v>90</v>
      </c>
      <c r="C618" s="15" t="str" cm="1">
        <f t="array" ref="C618">IFERROR(_xlfn.XLOOKUP(B618, tblPeople[PersonID], tblPeople[PersonName], ""), "")</f>
        <v>Kendra Nambisia</v>
      </c>
      <c r="D618" s="15" t="s">
        <v>229</v>
      </c>
      <c r="E618" s="16" t="str">
        <f>IFERROR(_xlfn.XLOOKUP(D618, tblCourses[CourseID], tblCourses[CourseName], ""), "")</f>
        <v>Core Instructional Technique (Refresher)</v>
      </c>
      <c r="F618" s="17">
        <v>45816</v>
      </c>
      <c r="G618" s="17" cm="1">
        <f t="array" ref="G6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46546</v>
      </c>
      <c r="H618" s="15">
        <f ca="1">IF(OR(tblTraining[[#This Row],[Status]]="Renewed",tblTraining[[#This Row],[NextDueDate]]=""),"",tblTraining[[#This Row],[NextDueDate]]-TODAY())</f>
        <v>260</v>
      </c>
      <c r="I618" s="15" t="str" cm="1">
        <f t="array" aca="1" ref="I6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9" spans="1:9" x14ac:dyDescent="0.25">
      <c r="A619" s="15">
        <f t="shared" si="9"/>
        <v>618</v>
      </c>
      <c r="B619" s="15" t="s">
        <v>90</v>
      </c>
      <c r="C619" s="15" t="str" cm="1">
        <f t="array" ref="C619">IFERROR(_xlfn.XLOOKUP(B619, tblPeople[PersonID], tblPeople[PersonName], ""), "")</f>
        <v>Kendra Nambisia</v>
      </c>
      <c r="D619" s="15" t="s">
        <v>110</v>
      </c>
      <c r="E619" s="16" t="str">
        <f>IFERROR(_xlfn.XLOOKUP(D619, tblCourses[CourseID], tblCourses[CourseName], ""), "")</f>
        <v>Electrical Wiring Interconnection System Target Groups 1 &amp; 2 (Initial)</v>
      </c>
      <c r="F619" s="17">
        <v>45803</v>
      </c>
      <c r="G619" s="17" t="str" cm="1">
        <f t="array" ref="G6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9" s="15" t="str">
        <f ca="1">IF(OR(tblTraining[[#This Row],[Status]]="Renewed",tblTraining[[#This Row],[NextDueDate]]=""),"",tblTraining[[#This Row],[NextDueDate]]-TODAY())</f>
        <v/>
      </c>
      <c r="I619" s="15" t="str" cm="1">
        <f t="array" aca="1" ref="I6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0" spans="1:9" x14ac:dyDescent="0.25">
      <c r="A620" s="15">
        <f t="shared" si="9"/>
        <v>619</v>
      </c>
      <c r="B620" s="15" t="s">
        <v>90</v>
      </c>
      <c r="C620" s="15" t="str" cm="1">
        <f t="array" ref="C620">IFERROR(_xlfn.XLOOKUP(B620, tblPeople[PersonID], tblPeople[PersonName], ""), "")</f>
        <v>Kendra Nambisia</v>
      </c>
      <c r="D620" s="15" t="s">
        <v>109</v>
      </c>
      <c r="E620" s="16" t="str">
        <f>IFERROR(_xlfn.XLOOKUP(D620, tblCourses[CourseID], tblCourses[CourseName], ""), "")</f>
        <v>Electrical Wiring Interconnection System Target Groups 1 &amp; 2 (Refresher)</v>
      </c>
      <c r="F620" s="17">
        <v>45803</v>
      </c>
      <c r="G620" s="17" cm="1">
        <f t="array" ref="G6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46533</v>
      </c>
      <c r="H620" s="15">
        <f ca="1">IF(OR(tblTraining[[#This Row],[Status]]="Renewed",tblTraining[[#This Row],[NextDueDate]]=""),"",tblTraining[[#This Row],[NextDueDate]]-TODAY())</f>
        <v>247</v>
      </c>
      <c r="I620" s="15" t="str" cm="1">
        <f t="array" aca="1" ref="I6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1" spans="1:9" x14ac:dyDescent="0.25">
      <c r="A621" s="15">
        <f t="shared" si="9"/>
        <v>620</v>
      </c>
      <c r="B621" s="15" t="s">
        <v>157</v>
      </c>
      <c r="C621" s="15" t="str" cm="1">
        <f t="array" ref="C621">IFERROR(_xlfn.XLOOKUP(B621, tblPeople[PersonID], tblPeople[PersonName], ""), "")</f>
        <v>Stephen Mutambu</v>
      </c>
      <c r="D621" s="15" t="s">
        <v>110</v>
      </c>
      <c r="E621" s="16" t="str">
        <f>IFERROR(_xlfn.XLOOKUP(D621, tblCourses[CourseID], tblCourses[CourseName], ""), "")</f>
        <v>Electrical Wiring Interconnection System Target Groups 1 &amp; 2 (Initial)</v>
      </c>
      <c r="F621" s="17">
        <v>45942</v>
      </c>
      <c r="G621" s="17" t="str" cm="1">
        <f t="array" ref="G6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1" s="15" t="str">
        <f ca="1">IF(OR(tblTraining[[#This Row],[Status]]="Renewed",tblTraining[[#This Row],[NextDueDate]]=""),"",tblTraining[[#This Row],[NextDueDate]]-TODAY())</f>
        <v/>
      </c>
      <c r="I621" s="15" t="str" cm="1">
        <f t="array" aca="1" ref="I6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2" spans="1:9" x14ac:dyDescent="0.25">
      <c r="A622" s="15">
        <f t="shared" si="9"/>
        <v>621</v>
      </c>
      <c r="B622" s="15" t="s">
        <v>157</v>
      </c>
      <c r="C622" s="15" t="str" cm="1">
        <f t="array" ref="C622">IFERROR(_xlfn.XLOOKUP(B622, tblPeople[PersonID], tblPeople[PersonName], ""), "")</f>
        <v>Stephen Mutambu</v>
      </c>
      <c r="D622" s="15" t="s">
        <v>109</v>
      </c>
      <c r="E622" s="16" t="str">
        <f>IFERROR(_xlfn.XLOOKUP(D622, tblCourses[CourseID], tblCourses[CourseName], ""), "")</f>
        <v>Electrical Wiring Interconnection System Target Groups 1 &amp; 2 (Refresher)</v>
      </c>
      <c r="F622" s="17">
        <v>45942</v>
      </c>
      <c r="G622" s="17" cm="1">
        <f t="array" ref="G6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46672</v>
      </c>
      <c r="H622" s="15">
        <f ca="1">IF(OR(tblTraining[[#This Row],[Status]]="Renewed",tblTraining[[#This Row],[NextDueDate]]=""),"",tblTraining[[#This Row],[NextDueDate]]-TODAY())</f>
        <v>386</v>
      </c>
      <c r="I622" s="15" t="str" cm="1">
        <f t="array" aca="1" ref="I6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3" spans="1:9" x14ac:dyDescent="0.25">
      <c r="A623" s="15">
        <f t="shared" si="9"/>
        <v>622</v>
      </c>
      <c r="B623" s="15" t="s">
        <v>208</v>
      </c>
      <c r="C623" s="15" t="str" cm="1">
        <f t="array" ref="C623">IFERROR(_xlfn.XLOOKUP(B623, tblPeople[PersonID], tblPeople[PersonName], ""), "")</f>
        <v>Stephen Kariuki</v>
      </c>
      <c r="D623" s="15" t="s">
        <v>24</v>
      </c>
      <c r="E623" s="16" t="str">
        <f>IFERROR(_xlfn.XLOOKUP(D623, tblCourses[CourseID], tblCourses[CourseName], ""), "")</f>
        <v>Human Factors in Aviation (Initial)</v>
      </c>
      <c r="F623" s="17">
        <v>45928</v>
      </c>
      <c r="G623" s="17" t="str" cm="1">
        <f t="array" ref="G6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3" s="15" t="str">
        <f ca="1">IF(OR(tblTraining[[#This Row],[Status]]="Renewed",tblTraining[[#This Row],[NextDueDate]]=""),"",tblTraining[[#This Row],[NextDueDate]]-TODAY())</f>
        <v/>
      </c>
      <c r="I623" s="15" t="str" cm="1">
        <f t="array" aca="1" ref="I6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4" spans="1:9" x14ac:dyDescent="0.25">
      <c r="A624" s="15">
        <f t="shared" si="9"/>
        <v>623</v>
      </c>
      <c r="B624" s="15" t="s">
        <v>208</v>
      </c>
      <c r="C624" s="15" t="str" cm="1">
        <f t="array" ref="C624">IFERROR(_xlfn.XLOOKUP(B624, tblPeople[PersonID], tblPeople[PersonName], ""), "")</f>
        <v>Stephen Kariuki</v>
      </c>
      <c r="D624" s="15" t="s">
        <v>22</v>
      </c>
      <c r="E624" s="16" t="str">
        <f>IFERROR(_xlfn.XLOOKUP(D624, tblCourses[CourseID], tblCourses[CourseName], ""), "")</f>
        <v>Human Factors in Aviation (Refresher)</v>
      </c>
      <c r="F624" s="17">
        <v>45928</v>
      </c>
      <c r="G624" s="17" cm="1">
        <f t="array" ref="G6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46658</v>
      </c>
      <c r="H624" s="15">
        <f ca="1">IF(OR(tblTraining[[#This Row],[Status]]="Renewed",tblTraining[[#This Row],[NextDueDate]]=""),"",tblTraining[[#This Row],[NextDueDate]]-TODAY())</f>
        <v>372</v>
      </c>
      <c r="I624" s="15" t="str" cm="1">
        <f t="array" aca="1" ref="I6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5" spans="1:9" x14ac:dyDescent="0.25">
      <c r="A625" s="15">
        <f t="shared" si="9"/>
        <v>624</v>
      </c>
      <c r="B625" s="15" t="s">
        <v>208</v>
      </c>
      <c r="C625" s="15" t="str" cm="1">
        <f t="array" ref="C625">IFERROR(_xlfn.XLOOKUP(B625, tblPeople[PersonID], tblPeople[PersonName], ""), "")</f>
        <v>Stephen Kariuki</v>
      </c>
      <c r="D625" s="15" t="s">
        <v>238</v>
      </c>
      <c r="E625" s="16" t="str">
        <f>IFERROR(_xlfn.XLOOKUP(D625, tblCourses[CourseID], tblCourses[CourseName], ""), "")</f>
        <v>Crew Resource Management (Initial)</v>
      </c>
      <c r="F625" s="17">
        <v>45855</v>
      </c>
      <c r="G625" s="17" t="str" cm="1">
        <f t="array" ref="G6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5" s="15" t="str">
        <f ca="1">IF(OR(tblTraining[[#This Row],[Status]]="Renewed",tblTraining[[#This Row],[NextDueDate]]=""),"",tblTraining[[#This Row],[NextDueDate]]-TODAY())</f>
        <v/>
      </c>
      <c r="I625" s="15" t="str" cm="1">
        <f t="array" aca="1" ref="I6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6" spans="1:9" x14ac:dyDescent="0.25">
      <c r="A626" s="15">
        <f t="shared" si="9"/>
        <v>625</v>
      </c>
      <c r="B626" s="15" t="s">
        <v>208</v>
      </c>
      <c r="C626" s="15" t="str" cm="1">
        <f t="array" ref="C626">IFERROR(_xlfn.XLOOKUP(B626, tblPeople[PersonID], tblPeople[PersonName], ""), "")</f>
        <v>Stephen Kariuki</v>
      </c>
      <c r="D626" s="15" t="s">
        <v>237</v>
      </c>
      <c r="E626" s="16" t="str">
        <f>IFERROR(_xlfn.XLOOKUP(D626, tblCourses[CourseID], tblCourses[CourseName], ""), "")</f>
        <v>Crew Resource Management (Refresher)</v>
      </c>
      <c r="F626" s="17">
        <v>45855</v>
      </c>
      <c r="G626" s="17" cm="1">
        <f t="array" ref="G6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46585</v>
      </c>
      <c r="H626" s="15">
        <f ca="1">IF(OR(tblTraining[[#This Row],[Status]]="Renewed",tblTraining[[#This Row],[NextDueDate]]=""),"",tblTraining[[#This Row],[NextDueDate]]-TODAY())</f>
        <v>299</v>
      </c>
      <c r="I626" s="15" t="str" cm="1">
        <f t="array" aca="1" ref="I6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7" spans="1:9" x14ac:dyDescent="0.25">
      <c r="A627" s="15">
        <f t="shared" si="9"/>
        <v>626</v>
      </c>
      <c r="B627" s="15" t="s">
        <v>217</v>
      </c>
      <c r="C627" s="15" t="str" cm="1">
        <f t="array" ref="C627">IFERROR(_xlfn.XLOOKUP(B627, tblPeople[PersonID], tblPeople[PersonName], ""), "")</f>
        <v>Angeline Nthakyo</v>
      </c>
      <c r="D627" s="15" t="s">
        <v>24</v>
      </c>
      <c r="E627" s="16" t="str">
        <f>IFERROR(_xlfn.XLOOKUP(D627, tblCourses[CourseID], tblCourses[CourseName], ""), "")</f>
        <v>Human Factors in Aviation (Initial)</v>
      </c>
      <c r="F627" s="17">
        <v>45936</v>
      </c>
      <c r="G627" s="17" t="str" cm="1">
        <f t="array" ref="G6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7" s="15" t="str">
        <f ca="1">IF(OR(tblTraining[[#This Row],[Status]]="Renewed",tblTraining[[#This Row],[NextDueDate]]=""),"",tblTraining[[#This Row],[NextDueDate]]-TODAY())</f>
        <v/>
      </c>
      <c r="I627" s="15" t="str" cm="1">
        <f t="array" aca="1" ref="I6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8" spans="1:9" x14ac:dyDescent="0.25">
      <c r="A628" s="15">
        <f t="shared" si="9"/>
        <v>627</v>
      </c>
      <c r="B628" s="15" t="s">
        <v>217</v>
      </c>
      <c r="C628" s="15" t="str" cm="1">
        <f t="array" ref="C628">IFERROR(_xlfn.XLOOKUP(B628, tblPeople[PersonID], tblPeople[PersonName], ""), "")</f>
        <v>Angeline Nthakyo</v>
      </c>
      <c r="D628" s="15" t="s">
        <v>22</v>
      </c>
      <c r="E628" s="16" t="str">
        <f>IFERROR(_xlfn.XLOOKUP(D628, tblCourses[CourseID], tblCourses[CourseName], ""), "")</f>
        <v>Human Factors in Aviation (Refresher)</v>
      </c>
      <c r="F628" s="17">
        <v>45936</v>
      </c>
      <c r="G628" s="17" cm="1">
        <f t="array" ref="G6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46666</v>
      </c>
      <c r="H628" s="15">
        <f ca="1">IF(OR(tblTraining[[#This Row],[Status]]="Renewed",tblTraining[[#This Row],[NextDueDate]]=""),"",tblTraining[[#This Row],[NextDueDate]]-TODAY())</f>
        <v>380</v>
      </c>
      <c r="I628" s="15" t="str" cm="1">
        <f t="array" aca="1" ref="I6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9" spans="1:9" x14ac:dyDescent="0.25">
      <c r="A629" s="15">
        <f t="shared" si="9"/>
        <v>628</v>
      </c>
      <c r="B629" s="15" t="s">
        <v>267</v>
      </c>
      <c r="C629" s="15" t="str" cm="1">
        <f t="array" ref="C629">IFERROR(_xlfn.XLOOKUP(B629, tblPeople[PersonID], tblPeople[PersonName], ""), "")</f>
        <v>Romy Okello</v>
      </c>
      <c r="D629" s="15" t="s">
        <v>24</v>
      </c>
      <c r="E629" s="16" t="str">
        <f>IFERROR(_xlfn.XLOOKUP(D629, tblCourses[CourseID], tblCourses[CourseName], ""), "")</f>
        <v>Human Factors in Aviation (Initial)</v>
      </c>
      <c r="F629" s="17">
        <v>45941</v>
      </c>
      <c r="G629" s="17" t="str" cm="1">
        <f t="array" ref="G6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9" s="15" t="str">
        <f ca="1">IF(OR(tblTraining[[#This Row],[Status]]="Renewed",tblTraining[[#This Row],[NextDueDate]]=""),"",tblTraining[[#This Row],[NextDueDate]]-TODAY())</f>
        <v/>
      </c>
      <c r="I629" s="15" t="str" cm="1">
        <f t="array" aca="1" ref="I6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0" spans="1:9" x14ac:dyDescent="0.25">
      <c r="A630" s="15">
        <f t="shared" si="9"/>
        <v>629</v>
      </c>
      <c r="B630" s="15" t="s">
        <v>267</v>
      </c>
      <c r="C630" s="15" t="str" cm="1">
        <f t="array" ref="C630">IFERROR(_xlfn.XLOOKUP(B630, tblPeople[PersonID], tblPeople[PersonName], ""), "")</f>
        <v>Romy Okello</v>
      </c>
      <c r="D630" s="15" t="s">
        <v>22</v>
      </c>
      <c r="E630" s="16" t="str">
        <f>IFERROR(_xlfn.XLOOKUP(D630, tblCourses[CourseID], tblCourses[CourseName], ""), "")</f>
        <v>Human Factors in Aviation (Refresher)</v>
      </c>
      <c r="F630" s="17">
        <v>45941</v>
      </c>
      <c r="G630" s="17" cm="1">
        <f t="array" ref="G6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46671</v>
      </c>
      <c r="H630" s="15">
        <f ca="1">IF(OR(tblTraining[[#This Row],[Status]]="Renewed",tblTraining[[#This Row],[NextDueDate]]=""),"",tblTraining[[#This Row],[NextDueDate]]-TODAY())</f>
        <v>385</v>
      </c>
      <c r="I630" s="15" t="str" cm="1">
        <f t="array" aca="1" ref="I6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1" spans="1:9" x14ac:dyDescent="0.25">
      <c r="A631" s="15">
        <f t="shared" si="9"/>
        <v>630</v>
      </c>
      <c r="B631" s="15" t="s">
        <v>267</v>
      </c>
      <c r="C631" s="15" t="str" cm="1">
        <f t="array" ref="C631">IFERROR(_xlfn.XLOOKUP(B631, tblPeople[PersonID], tblPeople[PersonName], ""), "")</f>
        <v>Romy Okello</v>
      </c>
      <c r="D631" s="15" t="s">
        <v>238</v>
      </c>
      <c r="E631" s="16" t="str">
        <f>IFERROR(_xlfn.XLOOKUP(D631, tblCourses[CourseID], tblCourses[CourseName], ""), "")</f>
        <v>Crew Resource Management (Initial)</v>
      </c>
      <c r="F631" s="17">
        <v>45855</v>
      </c>
      <c r="G631" s="17" t="str" cm="1">
        <f t="array" ref="G6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1" s="15" t="str">
        <f ca="1">IF(OR(tblTraining[[#This Row],[Status]]="Renewed",tblTraining[[#This Row],[NextDueDate]]=""),"",tblTraining[[#This Row],[NextDueDate]]-TODAY())</f>
        <v/>
      </c>
      <c r="I631" s="15" t="str" cm="1">
        <f t="array" aca="1" ref="I6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2" spans="1:9" x14ac:dyDescent="0.25">
      <c r="A632" s="15">
        <f t="shared" si="9"/>
        <v>631</v>
      </c>
      <c r="B632" s="15" t="s">
        <v>267</v>
      </c>
      <c r="C632" s="15" t="str" cm="1">
        <f t="array" ref="C632">IFERROR(_xlfn.XLOOKUP(B632, tblPeople[PersonID], tblPeople[PersonName], ""), "")</f>
        <v>Romy Okello</v>
      </c>
      <c r="D632" s="15" t="s">
        <v>237</v>
      </c>
      <c r="E632" s="16" t="str">
        <f>IFERROR(_xlfn.XLOOKUP(D632, tblCourses[CourseID], tblCourses[CourseName], ""), "")</f>
        <v>Crew Resource Management (Refresher)</v>
      </c>
      <c r="F632" s="17">
        <v>45855</v>
      </c>
      <c r="G632" s="17" cm="1">
        <f t="array" ref="G6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46585</v>
      </c>
      <c r="H632" s="15">
        <f ca="1">IF(OR(tblTraining[[#This Row],[Status]]="Renewed",tblTraining[[#This Row],[NextDueDate]]=""),"",tblTraining[[#This Row],[NextDueDate]]-TODAY())</f>
        <v>299</v>
      </c>
      <c r="I632" s="15" t="str" cm="1">
        <f t="array" aca="1" ref="I6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3" spans="1:9" x14ac:dyDescent="0.25">
      <c r="A633" s="15">
        <f t="shared" si="9"/>
        <v>632</v>
      </c>
      <c r="B633" s="15" t="s">
        <v>216</v>
      </c>
      <c r="C633" s="15" t="str" cm="1">
        <f t="array" ref="C633">IFERROR(_xlfn.XLOOKUP(B633, tblPeople[PersonID], tblPeople[PersonName], ""), "")</f>
        <v>John Kihara</v>
      </c>
      <c r="D633" s="15" t="s">
        <v>24</v>
      </c>
      <c r="E633" s="16" t="str">
        <f>IFERROR(_xlfn.XLOOKUP(D633, tblCourses[CourseID], tblCourses[CourseName], ""), "")</f>
        <v>Human Factors in Aviation (Initial)</v>
      </c>
      <c r="F633" s="17">
        <v>45944</v>
      </c>
      <c r="G633" s="17" t="str" cm="1">
        <f t="array" ref="G6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3" s="15" t="str">
        <f ca="1">IF(OR(tblTraining[[#This Row],[Status]]="Renewed",tblTraining[[#This Row],[NextDueDate]]=""),"",tblTraining[[#This Row],[NextDueDate]]-TODAY())</f>
        <v/>
      </c>
      <c r="I633" s="15" t="str" cm="1">
        <f t="array" aca="1" ref="I6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4" spans="1:9" x14ac:dyDescent="0.25">
      <c r="A634" s="15">
        <f t="shared" si="9"/>
        <v>633</v>
      </c>
      <c r="B634" s="15" t="s">
        <v>216</v>
      </c>
      <c r="C634" s="15" t="str" cm="1">
        <f t="array" ref="C634">IFERROR(_xlfn.XLOOKUP(B634, tblPeople[PersonID], tblPeople[PersonName], ""), "")</f>
        <v>John Kihara</v>
      </c>
      <c r="D634" s="15" t="s">
        <v>22</v>
      </c>
      <c r="E634" s="16" t="str">
        <f>IFERROR(_xlfn.XLOOKUP(D634, tblCourses[CourseID], tblCourses[CourseName], ""), "")</f>
        <v>Human Factors in Aviation (Refresher)</v>
      </c>
      <c r="F634" s="17">
        <v>45944</v>
      </c>
      <c r="G634" s="17" cm="1">
        <f t="array" ref="G6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46674</v>
      </c>
      <c r="H634" s="15">
        <f ca="1">IF(OR(tblTraining[[#This Row],[Status]]="Renewed",tblTraining[[#This Row],[NextDueDate]]=""),"",tblTraining[[#This Row],[NextDueDate]]-TODAY())</f>
        <v>388</v>
      </c>
      <c r="I634" s="15" t="str" cm="1">
        <f t="array" aca="1" ref="I6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5" spans="1:9" x14ac:dyDescent="0.25">
      <c r="A635" s="15">
        <f t="shared" si="9"/>
        <v>634</v>
      </c>
      <c r="B635" s="15" t="s">
        <v>208</v>
      </c>
      <c r="C635" s="15" t="str" cm="1">
        <f t="array" ref="C635">IFERROR(_xlfn.XLOOKUP(B635, tblPeople[PersonID], tblPeople[PersonName], ""), "")</f>
        <v>Stephen Kariuki</v>
      </c>
      <c r="D635" s="15" t="s">
        <v>76</v>
      </c>
      <c r="E635" s="16" t="str">
        <f>IFERROR(_xlfn.XLOOKUP(D635, tblCourses[CourseID], tblCourses[CourseName], ""), "")</f>
        <v>Fuel Tank Safety Phase 1 &amp; 2 Course (Initial)</v>
      </c>
      <c r="F635" s="17">
        <v>45947</v>
      </c>
      <c r="G635" s="17" t="str" cm="1">
        <f t="array" ref="G6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5" s="15" t="str">
        <f ca="1">IF(OR(tblTraining[[#This Row],[Status]]="Renewed",tblTraining[[#This Row],[NextDueDate]]=""),"",tblTraining[[#This Row],[NextDueDate]]-TODAY())</f>
        <v/>
      </c>
      <c r="I635" s="15" t="str" cm="1">
        <f t="array" aca="1" ref="I6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6" spans="1:9" x14ac:dyDescent="0.25">
      <c r="A636" s="15">
        <f t="shared" si="9"/>
        <v>635</v>
      </c>
      <c r="B636" s="15" t="s">
        <v>208</v>
      </c>
      <c r="C636" s="15" t="str" cm="1">
        <f t="array" ref="C636">IFERROR(_xlfn.XLOOKUP(B636, tblPeople[PersonID], tblPeople[PersonName], ""), "")</f>
        <v>Stephen Kariuki</v>
      </c>
      <c r="D636" s="15" t="s">
        <v>75</v>
      </c>
      <c r="E636" s="16" t="str">
        <f>IFERROR(_xlfn.XLOOKUP(D636, tblCourses[CourseID], tblCourses[CourseName], ""), "")</f>
        <v>Fuel Tank Safety Phase 1 &amp; 2 Course (Refresher)</v>
      </c>
      <c r="F636" s="17">
        <v>45947</v>
      </c>
      <c r="G636" s="17" cm="1">
        <f t="array" ref="G6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46677</v>
      </c>
      <c r="H636" s="15">
        <f ca="1">IF(OR(tblTraining[[#This Row],[Status]]="Renewed",tblTraining[[#This Row],[NextDueDate]]=""),"",tblTraining[[#This Row],[NextDueDate]]-TODAY())</f>
        <v>391</v>
      </c>
      <c r="I636" s="15" t="str" cm="1">
        <f t="array" aca="1" ref="I6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7" spans="1:9" x14ac:dyDescent="0.25">
      <c r="A637" s="15">
        <f t="shared" si="9"/>
        <v>636</v>
      </c>
      <c r="B637" s="15" t="s">
        <v>112</v>
      </c>
      <c r="C637" s="15" t="str" cm="1">
        <f t="array" ref="C637">IFERROR(_xlfn.XLOOKUP(B637, tblPeople[PersonID], tblPeople[PersonName], ""), "")</f>
        <v>Patrick Mwangi</v>
      </c>
      <c r="D637" s="15" t="s">
        <v>22</v>
      </c>
      <c r="E637" s="16" t="str">
        <f>IFERROR(_xlfn.XLOOKUP(D637, tblCourses[CourseID], tblCourses[CourseName], ""), "")</f>
        <v>Human Factors in Aviation (Refresher)</v>
      </c>
      <c r="F637" s="17">
        <v>45926</v>
      </c>
      <c r="G637" s="17" cm="1">
        <f t="array" ref="G6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46656</v>
      </c>
      <c r="H637" s="15">
        <f ca="1">IF(OR(tblTraining[[#This Row],[Status]]="Renewed",tblTraining[[#This Row],[NextDueDate]]=""),"",tblTraining[[#This Row],[NextDueDate]]-TODAY())</f>
        <v>370</v>
      </c>
      <c r="I637" s="15" t="str" cm="1">
        <f t="array" aca="1" ref="I6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8" spans="1:9" x14ac:dyDescent="0.25">
      <c r="A638" s="15">
        <f t="shared" si="9"/>
        <v>637</v>
      </c>
      <c r="B638" s="15" t="s">
        <v>150</v>
      </c>
      <c r="C638" s="15" t="str" cm="1">
        <f t="array" ref="C638">IFERROR(_xlfn.XLOOKUP(B638, tblPeople[PersonID], tblPeople[PersonName], ""), "")</f>
        <v>Kea Kazungu</v>
      </c>
      <c r="D638" s="15" t="s">
        <v>110</v>
      </c>
      <c r="E638" s="16" t="str">
        <f>IFERROR(_xlfn.XLOOKUP(D638, tblCourses[CourseID], tblCourses[CourseName], ""), "")</f>
        <v>Electrical Wiring Interconnection System Target Groups 1 &amp; 2 (Initial)</v>
      </c>
      <c r="F638" s="17">
        <v>45950</v>
      </c>
      <c r="G638" s="17" t="str" cm="1">
        <f t="array" ref="G6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8" s="15" t="str">
        <f ca="1">IF(OR(tblTraining[[#This Row],[Status]]="Renewed",tblTraining[[#This Row],[NextDueDate]]=""),"",tblTraining[[#This Row],[NextDueDate]]-TODAY())</f>
        <v/>
      </c>
      <c r="I638" s="15" t="str" cm="1">
        <f t="array" aca="1" ref="I6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9" spans="1:9" x14ac:dyDescent="0.25">
      <c r="A639" s="15">
        <f t="shared" si="9"/>
        <v>638</v>
      </c>
      <c r="B639" s="15" t="s">
        <v>150</v>
      </c>
      <c r="C639" s="15" t="str" cm="1">
        <f t="array" ref="C639">IFERROR(_xlfn.XLOOKUP(B639, tblPeople[PersonID], tblPeople[PersonName], ""), "")</f>
        <v>Kea Kazungu</v>
      </c>
      <c r="D639" s="15" t="s">
        <v>109</v>
      </c>
      <c r="E639" s="16" t="str">
        <f>IFERROR(_xlfn.XLOOKUP(D639, tblCourses[CourseID], tblCourses[CourseName], ""), "")</f>
        <v>Electrical Wiring Interconnection System Target Groups 1 &amp; 2 (Refresher)</v>
      </c>
      <c r="F639" s="17">
        <v>45950</v>
      </c>
      <c r="G639" s="17" cm="1">
        <f t="array" ref="G6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46680</v>
      </c>
      <c r="H639" s="15">
        <f ca="1">IF(OR(tblTraining[[#This Row],[Status]]="Renewed",tblTraining[[#This Row],[NextDueDate]]=""),"",tblTraining[[#This Row],[NextDueDate]]-TODAY())</f>
        <v>394</v>
      </c>
      <c r="I639" s="15" t="str" cm="1">
        <f t="array" aca="1" ref="I6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0" spans="1:9" x14ac:dyDescent="0.25">
      <c r="A640" s="15">
        <f t="shared" si="9"/>
        <v>639</v>
      </c>
      <c r="B640" s="15" t="s">
        <v>215</v>
      </c>
      <c r="C640" s="15" t="str" cm="1">
        <f t="array" ref="C640">IFERROR(_xlfn.XLOOKUP(B640, tblPeople[PersonID], tblPeople[PersonName], ""), "")</f>
        <v>Samuel Wacho</v>
      </c>
      <c r="D640" s="15" t="s">
        <v>22</v>
      </c>
      <c r="E640" s="16" t="str">
        <f>IFERROR(_xlfn.XLOOKUP(D640, tblCourses[CourseID], tblCourses[CourseName], ""), "")</f>
        <v>Human Factors in Aviation (Refresher)</v>
      </c>
      <c r="F640" s="17">
        <v>45941</v>
      </c>
      <c r="G640" s="17" cm="1">
        <f t="array" ref="G6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46671</v>
      </c>
      <c r="H640" s="15">
        <f ca="1">IF(OR(tblTraining[[#This Row],[Status]]="Renewed",tblTraining[[#This Row],[NextDueDate]]=""),"",tblTraining[[#This Row],[NextDueDate]]-TODAY())</f>
        <v>385</v>
      </c>
      <c r="I640" s="15" t="str" cm="1">
        <f t="array" aca="1" ref="I6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1" spans="1:9" x14ac:dyDescent="0.25">
      <c r="A641" s="15">
        <f t="shared" si="9"/>
        <v>640</v>
      </c>
      <c r="B641" s="15" t="s">
        <v>93</v>
      </c>
      <c r="C641" s="15" t="str" cm="1">
        <f t="array" ref="C641">IFERROR(_xlfn.XLOOKUP(B641, tblPeople[PersonID], tblPeople[PersonName], ""), "")</f>
        <v>Stephen Tunje</v>
      </c>
      <c r="D641" s="15" t="s">
        <v>22</v>
      </c>
      <c r="E641" s="16" t="str">
        <f>IFERROR(_xlfn.XLOOKUP(D641, tblCourses[CourseID], tblCourses[CourseName], ""), "")</f>
        <v>Human Factors in Aviation (Refresher)</v>
      </c>
      <c r="F641" s="17">
        <v>45952</v>
      </c>
      <c r="G641" s="17" cm="1">
        <f t="array" ref="G6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46682</v>
      </c>
      <c r="H641" s="15">
        <f ca="1">IF(OR(tblTraining[[#This Row],[Status]]="Renewed",tblTraining[[#This Row],[NextDueDate]]=""),"",tblTraining[[#This Row],[NextDueDate]]-TODAY())</f>
        <v>396</v>
      </c>
      <c r="I641" s="15" t="str" cm="1">
        <f t="array" aca="1" ref="I6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2" spans="1:9" x14ac:dyDescent="0.25">
      <c r="A642" s="15">
        <f t="shared" si="9"/>
        <v>641</v>
      </c>
      <c r="B642" s="15" t="s">
        <v>90</v>
      </c>
      <c r="C642" s="15" t="str" cm="1">
        <f t="array" ref="C642">IFERROR(_xlfn.XLOOKUP(B642, tblPeople[PersonID], tblPeople[PersonName], ""), "")</f>
        <v>Kendra Nambisia</v>
      </c>
      <c r="D642" s="15" t="s">
        <v>29</v>
      </c>
      <c r="E642" s="16" t="str">
        <f>IFERROR(_xlfn.XLOOKUP(D642, tblCourses[CourseID], tblCourses[CourseName], ""), "")</f>
        <v>DHC-8 100/200/300 with PWC 120/120A/121/123B/C/D/E Series Engines(Initial)</v>
      </c>
      <c r="F642" s="17">
        <v>45618</v>
      </c>
      <c r="G642" s="17" t="str" cm="1">
        <f t="array" ref="G6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2" s="15" t="str">
        <f ca="1">IF(OR(tblTraining[[#This Row],[Status]]="Renewed",tblTraining[[#This Row],[NextDueDate]]=""),"",tblTraining[[#This Row],[NextDueDate]]-TODAY())</f>
        <v/>
      </c>
      <c r="I642" s="15" t="str" cm="1">
        <f t="array" aca="1" ref="I6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3" spans="1:9" x14ac:dyDescent="0.25">
      <c r="A643" s="15">
        <f t="shared" si="9"/>
        <v>642</v>
      </c>
      <c r="B643" s="15" t="s">
        <v>90</v>
      </c>
      <c r="C643" s="15" t="str" cm="1">
        <f t="array" ref="C643">IFERROR(_xlfn.XLOOKUP(B643, tblPeople[PersonID], tblPeople[PersonName], ""), "")</f>
        <v>Kendra Nambisia</v>
      </c>
      <c r="D643" s="15" t="s">
        <v>27</v>
      </c>
      <c r="E643" s="16" t="str">
        <f>IFERROR(_xlfn.XLOOKUP(D643, tblCourses[CourseID], tblCourses[CourseName], ""), "")</f>
        <v>Pratt &amp; Whitney Canada PT6A Engine With P&amp;WC PT6A
20/ 27/ 41/ 42/ 60A/ 67D/ 112/ 114A/ 140 (Initial)</v>
      </c>
      <c r="F643" s="17">
        <v>45632</v>
      </c>
      <c r="G643" s="17" t="str" cm="1">
        <f t="array" ref="G6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3" s="15" t="str">
        <f ca="1">IF(OR(tblTraining[[#This Row],[Status]]="Renewed",tblTraining[[#This Row],[NextDueDate]]=""),"",tblTraining[[#This Row],[NextDueDate]]-TODAY())</f>
        <v/>
      </c>
      <c r="I643" s="15" t="str" cm="1">
        <f t="array" aca="1" ref="I6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4" spans="1:9" x14ac:dyDescent="0.25">
      <c r="A644" s="15">
        <f t="shared" ref="A644:A707" si="10">A643+1</f>
        <v>643</v>
      </c>
      <c r="B644" s="15" t="s">
        <v>90</v>
      </c>
      <c r="C644" s="15" t="str" cm="1">
        <f t="array" ref="C644">IFERROR(_xlfn.XLOOKUP(B644, tblPeople[PersonID], tblPeople[PersonName], ""), "")</f>
        <v>Kendra Nambisia</v>
      </c>
      <c r="D644" s="15" t="s">
        <v>78</v>
      </c>
      <c r="E644" s="16" t="str">
        <f>IFERROR(_xlfn.XLOOKUP(D644, tblCourses[CourseID], tblCourses[CourseName], ""), "")</f>
        <v>DHC8 -100/-200/-300 Collins Wheels &amp; Brakes Familiarization Training (Initial)</v>
      </c>
      <c r="F644" s="17">
        <v>45637</v>
      </c>
      <c r="G644" s="17" t="str" cm="1">
        <f t="array" ref="G6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4" s="15" t="str">
        <f ca="1">IF(OR(tblTraining[[#This Row],[Status]]="Renewed",tblTraining[[#This Row],[NextDueDate]]=""),"",tblTraining[[#This Row],[NextDueDate]]-TODAY())</f>
        <v/>
      </c>
      <c r="I644" s="15" t="str" cm="1">
        <f t="array" aca="1" ref="I6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5" spans="1:9" x14ac:dyDescent="0.25">
      <c r="A645" s="15">
        <f t="shared" si="10"/>
        <v>644</v>
      </c>
      <c r="B645" s="15" t="s">
        <v>267</v>
      </c>
      <c r="C645" s="15" t="str" cm="1">
        <f t="array" ref="C645">IFERROR(_xlfn.XLOOKUP(B645, tblPeople[PersonID], tblPeople[PersonName], ""), "")</f>
        <v>Romy Okello</v>
      </c>
      <c r="D645" s="15" t="s">
        <v>76</v>
      </c>
      <c r="E645" s="16" t="str">
        <f>IFERROR(_xlfn.XLOOKUP(D645, tblCourses[CourseID], tblCourses[CourseName], ""), "")</f>
        <v>Fuel Tank Safety Phase 1 &amp; 2 Course (Initial)</v>
      </c>
      <c r="F645" s="17">
        <v>45970</v>
      </c>
      <c r="G645" s="17" t="str" cm="1">
        <f t="array" ref="G6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5" s="15" t="str">
        <f ca="1">IF(OR(tblTraining[[#This Row],[Status]]="Renewed",tblTraining[[#This Row],[NextDueDate]]=""),"",tblTraining[[#This Row],[NextDueDate]]-TODAY())</f>
        <v/>
      </c>
      <c r="I645" s="15" t="str" cm="1">
        <f t="array" aca="1" ref="I6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6" spans="1:9" x14ac:dyDescent="0.25">
      <c r="A646" s="15">
        <f t="shared" si="10"/>
        <v>645</v>
      </c>
      <c r="B646" s="15" t="s">
        <v>267</v>
      </c>
      <c r="C646" s="15" t="str" cm="1">
        <f t="array" ref="C646">IFERROR(_xlfn.XLOOKUP(B646, tblPeople[PersonID], tblPeople[PersonName], ""), "")</f>
        <v>Romy Okello</v>
      </c>
      <c r="D646" s="15" t="s">
        <v>75</v>
      </c>
      <c r="E646" s="16" t="str">
        <f>IFERROR(_xlfn.XLOOKUP(D646, tblCourses[CourseID], tblCourses[CourseName], ""), "")</f>
        <v>Fuel Tank Safety Phase 1 &amp; 2 Course (Refresher)</v>
      </c>
      <c r="F646" s="17">
        <v>45970</v>
      </c>
      <c r="G646" s="17" cm="1">
        <f t="array" ref="G6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46700</v>
      </c>
      <c r="H646" s="15">
        <f ca="1">IF(OR(tblTraining[[#This Row],[Status]]="Renewed",tblTraining[[#This Row],[NextDueDate]]=""),"",tblTraining[[#This Row],[NextDueDate]]-TODAY())</f>
        <v>414</v>
      </c>
      <c r="I646" s="15" t="str" cm="1">
        <f t="array" aca="1" ref="I6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7" spans="1:9" x14ac:dyDescent="0.25">
      <c r="A647" s="15">
        <f t="shared" si="10"/>
        <v>646</v>
      </c>
      <c r="B647" s="15" t="s">
        <v>95</v>
      </c>
      <c r="C647" s="15" t="str" cm="1">
        <f t="array" ref="C647">IFERROR(_xlfn.XLOOKUP(B647, tblPeople[PersonID], tblPeople[PersonName], ""), "")</f>
        <v>Walter Kibet</v>
      </c>
      <c r="D647" s="15" t="s">
        <v>76</v>
      </c>
      <c r="E647" s="16" t="str">
        <f>IFERROR(_xlfn.XLOOKUP(D647, tblCourses[CourseID], tblCourses[CourseName], ""), "")</f>
        <v>Fuel Tank Safety Phase 1 &amp; 2 Course (Initial)</v>
      </c>
      <c r="F647" s="17">
        <v>45973</v>
      </c>
      <c r="G647" s="17" t="str" cm="1">
        <f t="array" ref="G6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7" s="15" t="str">
        <f ca="1">IF(OR(tblTraining[[#This Row],[Status]]="Renewed",tblTraining[[#This Row],[NextDueDate]]=""),"",tblTraining[[#This Row],[NextDueDate]]-TODAY())</f>
        <v/>
      </c>
      <c r="I647" s="15" t="str" cm="1">
        <f t="array" aca="1" ref="I6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8" spans="1:9" x14ac:dyDescent="0.25">
      <c r="A648" s="15">
        <f t="shared" si="10"/>
        <v>647</v>
      </c>
      <c r="B648" s="15" t="s">
        <v>95</v>
      </c>
      <c r="C648" s="15" t="str" cm="1">
        <f t="array" ref="C648">IFERROR(_xlfn.XLOOKUP(B648, tblPeople[PersonID], tblPeople[PersonName], ""), "")</f>
        <v>Walter Kibet</v>
      </c>
      <c r="D648" s="15" t="s">
        <v>75</v>
      </c>
      <c r="E648" s="16" t="str">
        <f>IFERROR(_xlfn.XLOOKUP(D648, tblCourses[CourseID], tblCourses[CourseName], ""), "")</f>
        <v>Fuel Tank Safety Phase 1 &amp; 2 Course (Refresher)</v>
      </c>
      <c r="F648" s="17">
        <v>45973</v>
      </c>
      <c r="G648" s="17" cm="1">
        <f t="array" ref="G6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46703</v>
      </c>
      <c r="H648" s="15">
        <f ca="1">IF(OR(tblTraining[[#This Row],[Status]]="Renewed",tblTraining[[#This Row],[NextDueDate]]=""),"",tblTraining[[#This Row],[NextDueDate]]-TODAY())</f>
        <v>417</v>
      </c>
      <c r="I648" s="15" t="str" cm="1">
        <f t="array" aca="1" ref="I6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9" spans="1:9" x14ac:dyDescent="0.25">
      <c r="A649" s="15">
        <f t="shared" si="10"/>
        <v>648</v>
      </c>
      <c r="B649" s="15" t="s">
        <v>217</v>
      </c>
      <c r="C649" s="15" t="str" cm="1">
        <f t="array" ref="C649">IFERROR(_xlfn.XLOOKUP(B649, tblPeople[PersonID], tblPeople[PersonName], ""), "")</f>
        <v>Angeline Nthakyo</v>
      </c>
      <c r="D649" s="15" t="s">
        <v>76</v>
      </c>
      <c r="E649" s="16" t="str">
        <f>IFERROR(_xlfn.XLOOKUP(D649, tblCourses[CourseID], tblCourses[CourseName], ""), "")</f>
        <v>Fuel Tank Safety Phase 1 &amp; 2 Course (Initial)</v>
      </c>
      <c r="F649" s="17">
        <v>45978</v>
      </c>
      <c r="G649" s="17" t="str" cm="1">
        <f t="array" ref="G6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9" s="15" t="str">
        <f ca="1">IF(OR(tblTraining[[#This Row],[Status]]="Renewed",tblTraining[[#This Row],[NextDueDate]]=""),"",tblTraining[[#This Row],[NextDueDate]]-TODAY())</f>
        <v/>
      </c>
      <c r="I649" s="15" t="str" cm="1">
        <f t="array" aca="1" ref="I6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0" spans="1:9" x14ac:dyDescent="0.25">
      <c r="A650" s="15">
        <f t="shared" si="10"/>
        <v>649</v>
      </c>
      <c r="B650" s="15" t="s">
        <v>217</v>
      </c>
      <c r="C650" s="15" t="str" cm="1">
        <f t="array" ref="C650">IFERROR(_xlfn.XLOOKUP(B650, tblPeople[PersonID], tblPeople[PersonName], ""), "")</f>
        <v>Angeline Nthakyo</v>
      </c>
      <c r="D650" s="15" t="s">
        <v>75</v>
      </c>
      <c r="E650" s="16" t="str">
        <f>IFERROR(_xlfn.XLOOKUP(D650, tblCourses[CourseID], tblCourses[CourseName], ""), "")</f>
        <v>Fuel Tank Safety Phase 1 &amp; 2 Course (Refresher)</v>
      </c>
      <c r="F650" s="17">
        <v>45978</v>
      </c>
      <c r="G650" s="17" cm="1">
        <f t="array" ref="G6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46708</v>
      </c>
      <c r="H650" s="15">
        <f ca="1">IF(OR(tblTraining[[#This Row],[Status]]="Renewed",tblTraining[[#This Row],[NextDueDate]]=""),"",tblTraining[[#This Row],[NextDueDate]]-TODAY())</f>
        <v>422</v>
      </c>
      <c r="I650" s="15" t="str" cm="1">
        <f t="array" aca="1" ref="I6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1" spans="1:9" x14ac:dyDescent="0.25">
      <c r="A651" s="15">
        <f t="shared" si="10"/>
        <v>650</v>
      </c>
      <c r="B651" s="15" t="s">
        <v>107</v>
      </c>
      <c r="C651" s="15" t="str" cm="1">
        <f t="array" ref="C651">IFERROR(_xlfn.XLOOKUP(B651, tblPeople[PersonID], tblPeople[PersonName], ""), "")</f>
        <v>Julius Nyawira</v>
      </c>
      <c r="D651" s="15" t="s">
        <v>22</v>
      </c>
      <c r="E651" s="16" t="str">
        <f>IFERROR(_xlfn.XLOOKUP(D651, tblCourses[CourseID], tblCourses[CourseName], ""), "")</f>
        <v>Human Factors in Aviation (Refresher)</v>
      </c>
      <c r="F651" s="17">
        <v>45979</v>
      </c>
      <c r="G651" s="17" cm="1">
        <f t="array" ref="G6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46709</v>
      </c>
      <c r="H651" s="15">
        <f ca="1">IF(OR(tblTraining[[#This Row],[Status]]="Renewed",tblTraining[[#This Row],[NextDueDate]]=""),"",tblTraining[[#This Row],[NextDueDate]]-TODAY())</f>
        <v>423</v>
      </c>
      <c r="I651" s="15" t="str" cm="1">
        <f t="array" aca="1" ref="I6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2" spans="1:9" x14ac:dyDescent="0.25">
      <c r="A652" s="15">
        <f t="shared" si="10"/>
        <v>651</v>
      </c>
      <c r="B652" s="15" t="s">
        <v>274</v>
      </c>
      <c r="C652" s="15" t="str" cm="1">
        <f t="array" ref="C652">IFERROR(_xlfn.XLOOKUP(B652, tblPeople[PersonID], tblPeople[PersonName], ""), "")</f>
        <v>Dorine Edna</v>
      </c>
      <c r="D652" s="15" t="s">
        <v>124</v>
      </c>
      <c r="E652" s="16" t="str">
        <f>IFERROR(_xlfn.XLOOKUP(D652, tblCourses[CourseID], tblCourses[CourseName], ""), "")</f>
        <v>Aviation Security (Initial)</v>
      </c>
      <c r="F652" s="17">
        <v>45953</v>
      </c>
      <c r="G652" s="17" t="str" cm="1">
        <f t="array" ref="G6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2" s="15" t="str">
        <f ca="1">IF(OR(tblTraining[[#This Row],[Status]]="Renewed",tblTraining[[#This Row],[NextDueDate]]=""),"",tblTraining[[#This Row],[NextDueDate]]-TODAY())</f>
        <v/>
      </c>
      <c r="I652" s="15" t="str" cm="1">
        <f t="array" aca="1" ref="I6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3" spans="1:9" x14ac:dyDescent="0.25">
      <c r="A653" s="15">
        <f t="shared" si="10"/>
        <v>652</v>
      </c>
      <c r="B653" s="15" t="s">
        <v>274</v>
      </c>
      <c r="C653" s="15" t="str" cm="1">
        <f t="array" ref="C653">IFERROR(_xlfn.XLOOKUP(B653, tblPeople[PersonID], tblPeople[PersonName], ""), "")</f>
        <v>Dorine Edna</v>
      </c>
      <c r="D653" s="15" t="s">
        <v>125</v>
      </c>
      <c r="E653" s="16" t="str">
        <f>IFERROR(_xlfn.XLOOKUP(D653, tblCourses[CourseID], tblCourses[CourseName], ""), "")</f>
        <v>Aviation Security (Refresher)</v>
      </c>
      <c r="F653" s="17">
        <v>45953</v>
      </c>
      <c r="G653" s="17" cm="1">
        <f t="array" ref="G6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46683</v>
      </c>
      <c r="H653" s="15">
        <f ca="1">IF(OR(tblTraining[[#This Row],[Status]]="Renewed",tblTraining[[#This Row],[NextDueDate]]=""),"",tblTraining[[#This Row],[NextDueDate]]-TODAY())</f>
        <v>397</v>
      </c>
      <c r="I653" s="15" t="str" cm="1">
        <f t="array" aca="1" ref="I6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4" spans="1:9" x14ac:dyDescent="0.25">
      <c r="A654" s="15">
        <f t="shared" si="10"/>
        <v>653</v>
      </c>
      <c r="B654" s="15" t="s">
        <v>98</v>
      </c>
      <c r="C654" s="15" t="str" cm="1">
        <f t="array" ref="C654">IFERROR(_xlfn.XLOOKUP(B654, tblPeople[PersonID], tblPeople[PersonName], ""), "")</f>
        <v>Thadeus Mong’are</v>
      </c>
      <c r="D654" s="15" t="s">
        <v>179</v>
      </c>
      <c r="E654" s="16" t="str">
        <f>IFERROR(_xlfn.XLOOKUP(D654, tblCourses[CourseID], tblCourses[CourseName], ""), "")</f>
        <v>Aircraft Maintenance Engineers' Licence</v>
      </c>
      <c r="F654" s="17">
        <v>45945</v>
      </c>
      <c r="G654" s="17" cm="1">
        <f t="array" ref="G6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46675</v>
      </c>
      <c r="H654" s="15">
        <f ca="1">IF(OR(tblTraining[[#This Row],[Status]]="Renewed",tblTraining[[#This Row],[NextDueDate]]=""),"",tblTraining[[#This Row],[NextDueDate]]-TODAY())</f>
        <v>389</v>
      </c>
      <c r="I654" s="15" t="str" cm="1">
        <f t="array" aca="1" ref="I6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5" spans="1:9" x14ac:dyDescent="0.25">
      <c r="A655" s="15">
        <f t="shared" si="10"/>
        <v>654</v>
      </c>
      <c r="B655" s="15" t="s">
        <v>210</v>
      </c>
      <c r="C655" s="15" t="str" cm="1">
        <f t="array" ref="C655">IFERROR(_xlfn.XLOOKUP(B655, tblPeople[PersonID], tblPeople[PersonName], ""), "")</f>
        <v>Andrew Ondiek</v>
      </c>
      <c r="D655" s="15" t="s">
        <v>179</v>
      </c>
      <c r="E655" s="16" t="str">
        <f>IFERROR(_xlfn.XLOOKUP(D655, tblCourses[CourseID], tblCourses[CourseName], ""), "")</f>
        <v>Aircraft Maintenance Engineers' Licence</v>
      </c>
      <c r="F655" s="17">
        <v>45440</v>
      </c>
      <c r="G655" s="17" t="str" cm="1">
        <f t="array" ref="G6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5" s="15" t="str">
        <f ca="1">IF(OR(tblTraining[[#This Row],[Status]]="Renewed",tblTraining[[#This Row],[NextDueDate]]=""),"",tblTraining[[#This Row],[NextDueDate]]-TODAY())</f>
        <v/>
      </c>
      <c r="I655" s="15" t="str" cm="1">
        <f t="array" aca="1" ref="I6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56" spans="1:9" x14ac:dyDescent="0.25">
      <c r="A656" s="15">
        <f t="shared" si="10"/>
        <v>655</v>
      </c>
      <c r="B656" s="15" t="s">
        <v>210</v>
      </c>
      <c r="C656" s="15" t="str" cm="1">
        <f t="array" ref="C656">IFERROR(_xlfn.XLOOKUP(B656, tblPeople[PersonID], tblPeople[PersonName], ""), "")</f>
        <v>Andrew Ondiek</v>
      </c>
      <c r="D656" s="15" t="s">
        <v>17</v>
      </c>
      <c r="E656" s="16" t="str">
        <f>IFERROR(_xlfn.XLOOKUP(D656, tblCourses[CourseID], tblCourses[CourseName], ""), "")</f>
        <v>Safety Management Systems (Refresher)</v>
      </c>
      <c r="F656" s="17">
        <v>45846</v>
      </c>
      <c r="G656" s="17" cm="1">
        <f t="array" ref="G6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656" s="15">
        <f ca="1">IF(OR(tblTraining[[#This Row],[Status]]="Renewed",tblTraining[[#This Row],[NextDueDate]]=""),"",tblTraining[[#This Row],[NextDueDate]]-TODAY())</f>
        <v>290</v>
      </c>
      <c r="I656" s="15" t="str" cm="1">
        <f t="array" aca="1" ref="I6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7" spans="1:9" x14ac:dyDescent="0.25">
      <c r="A657" s="15">
        <f t="shared" si="10"/>
        <v>656</v>
      </c>
      <c r="B657" s="15" t="s">
        <v>210</v>
      </c>
      <c r="C657" s="15" t="str" cm="1">
        <f t="array" ref="C657">IFERROR(_xlfn.XLOOKUP(B657, tblPeople[PersonID], tblPeople[PersonName], ""), "")</f>
        <v>Andrew Ondiek</v>
      </c>
      <c r="D657" s="15" t="s">
        <v>20</v>
      </c>
      <c r="E657" s="16" t="str">
        <f>IFERROR(_xlfn.XLOOKUP(D657, tblCourses[CourseID], tblCourses[CourseName], ""), "")</f>
        <v>Safety Management Systems (Initial)</v>
      </c>
      <c r="F657" s="17">
        <v>45846</v>
      </c>
      <c r="G657" s="17" t="str" cm="1">
        <f t="array" ref="G6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7" s="15" t="str">
        <f ca="1">IF(OR(tblTraining[[#This Row],[Status]]="Renewed",tblTraining[[#This Row],[NextDueDate]]=""),"",tblTraining[[#This Row],[NextDueDate]]-TODAY())</f>
        <v/>
      </c>
      <c r="I657" s="15" t="str" cm="1">
        <f t="array" aca="1" ref="I6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8" spans="1:9" x14ac:dyDescent="0.25">
      <c r="A658" s="15">
        <f t="shared" si="10"/>
        <v>657</v>
      </c>
      <c r="B658" s="15" t="s">
        <v>210</v>
      </c>
      <c r="C658" s="15" t="str" cm="1">
        <f t="array" ref="C658">IFERROR(_xlfn.XLOOKUP(B658, tblPeople[PersonID], tblPeople[PersonName], ""), "")</f>
        <v>Andrew Ondiek</v>
      </c>
      <c r="D658" s="15" t="s">
        <v>24</v>
      </c>
      <c r="E658" s="16" t="str">
        <f>IFERROR(_xlfn.XLOOKUP(D658, tblCourses[CourseID], tblCourses[CourseName], ""), "")</f>
        <v>Human Factors in Aviation (Initial)</v>
      </c>
      <c r="F658" s="17">
        <v>45937</v>
      </c>
      <c r="G658" s="17" t="str" cm="1">
        <f t="array" ref="G6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8" s="15" t="str">
        <f ca="1">IF(OR(tblTraining[[#This Row],[Status]]="Renewed",tblTraining[[#This Row],[NextDueDate]]=""),"",tblTraining[[#This Row],[NextDueDate]]-TODAY())</f>
        <v/>
      </c>
      <c r="I658" s="15" t="str" cm="1">
        <f t="array" aca="1" ref="I6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9" spans="1:9" x14ac:dyDescent="0.25">
      <c r="A659" s="15">
        <f t="shared" si="10"/>
        <v>658</v>
      </c>
      <c r="B659" s="15" t="s">
        <v>210</v>
      </c>
      <c r="C659" s="15" t="str" cm="1">
        <f t="array" ref="C659">IFERROR(_xlfn.XLOOKUP(B659, tblPeople[PersonID], tblPeople[PersonName], ""), "")</f>
        <v>Andrew Ondiek</v>
      </c>
      <c r="D659" s="15" t="s">
        <v>22</v>
      </c>
      <c r="E659" s="16" t="str">
        <f>IFERROR(_xlfn.XLOOKUP(D659, tblCourses[CourseID], tblCourses[CourseName], ""), "")</f>
        <v>Human Factors in Aviation (Refresher)</v>
      </c>
      <c r="F659" s="17">
        <v>45937</v>
      </c>
      <c r="G659" s="17" cm="1">
        <f t="array" ref="G6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46667</v>
      </c>
      <c r="H659" s="15">
        <f ca="1">IF(OR(tblTraining[[#This Row],[Status]]="Renewed",tblTraining[[#This Row],[NextDueDate]]=""),"",tblTraining[[#This Row],[NextDueDate]]-TODAY())</f>
        <v>381</v>
      </c>
      <c r="I659" s="15" t="str" cm="1">
        <f t="array" aca="1" ref="I6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0" spans="1:9" x14ac:dyDescent="0.25">
      <c r="A660" s="15">
        <f t="shared" si="10"/>
        <v>659</v>
      </c>
      <c r="B660" s="15" t="s">
        <v>210</v>
      </c>
      <c r="C660" s="15" t="str" cm="1">
        <f t="array" ref="C660">IFERROR(_xlfn.XLOOKUP(B660, tblPeople[PersonID], tblPeople[PersonName], ""), "")</f>
        <v>Andrew Ondiek</v>
      </c>
      <c r="D660" s="15" t="s">
        <v>76</v>
      </c>
      <c r="E660" s="16" t="str">
        <f>IFERROR(_xlfn.XLOOKUP(D660, tblCourses[CourseID], tblCourses[CourseName], ""), "")</f>
        <v>Fuel Tank Safety Phase 1 &amp; 2 Course (Initial)</v>
      </c>
      <c r="F660" s="17">
        <v>45950</v>
      </c>
      <c r="G660" s="17" t="str" cm="1">
        <f t="array" ref="G6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0" s="15" t="str">
        <f ca="1">IF(OR(tblTraining[[#This Row],[Status]]="Renewed",tblTraining[[#This Row],[NextDueDate]]=""),"",tblTraining[[#This Row],[NextDueDate]]-TODAY())</f>
        <v/>
      </c>
      <c r="I660" s="15" t="str" cm="1">
        <f t="array" aca="1" ref="I6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1" spans="1:9" x14ac:dyDescent="0.25">
      <c r="A661" s="15">
        <f t="shared" si="10"/>
        <v>660</v>
      </c>
      <c r="B661" s="15" t="s">
        <v>210</v>
      </c>
      <c r="C661" s="15" t="str" cm="1">
        <f t="array" ref="C661">IFERROR(_xlfn.XLOOKUP(B661, tblPeople[PersonID], tblPeople[PersonName], ""), "")</f>
        <v>Andrew Ondiek</v>
      </c>
      <c r="D661" s="15" t="s">
        <v>75</v>
      </c>
      <c r="E661" s="16" t="str">
        <f>IFERROR(_xlfn.XLOOKUP(D661, tblCourses[CourseID], tblCourses[CourseName], ""), "")</f>
        <v>Fuel Tank Safety Phase 1 &amp; 2 Course (Refresher)</v>
      </c>
      <c r="F661" s="17">
        <v>45950</v>
      </c>
      <c r="G661" s="17" cm="1">
        <f t="array" ref="G6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46680</v>
      </c>
      <c r="H661" s="15">
        <f ca="1">IF(OR(tblTraining[[#This Row],[Status]]="Renewed",tblTraining[[#This Row],[NextDueDate]]=""),"",tblTraining[[#This Row],[NextDueDate]]-TODAY())</f>
        <v>394</v>
      </c>
      <c r="I661" s="15" t="str" cm="1">
        <f t="array" aca="1" ref="I6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2" spans="1:9" x14ac:dyDescent="0.25">
      <c r="A662" s="15">
        <f t="shared" si="10"/>
        <v>661</v>
      </c>
      <c r="B662" s="15" t="s">
        <v>95</v>
      </c>
      <c r="C662" s="15" t="str" cm="1">
        <f t="array" ref="C662">IFERROR(_xlfn.XLOOKUP(B662, tblPeople[PersonID], tblPeople[PersonName], ""), "")</f>
        <v>Walter Kibet</v>
      </c>
      <c r="D662" s="15" t="s">
        <v>360</v>
      </c>
      <c r="E662" s="16" t="str">
        <f>IFERROR(_xlfn.XLOOKUP(D662, tblCourses[CourseID], tblCourses[CourseName], ""), "")</f>
        <v>Maintenance Procedures &amp; Standard Maintenance Practices (Initial)</v>
      </c>
      <c r="F662" s="17">
        <v>45786</v>
      </c>
      <c r="G662" s="17" t="str" cm="1">
        <f t="array" ref="G6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2" s="15" t="str">
        <f ca="1">IF(OR(tblTraining[[#This Row],[Status]]="Renewed",tblTraining[[#This Row],[NextDueDate]]=""),"",tblTraining[[#This Row],[NextDueDate]]-TODAY())</f>
        <v/>
      </c>
      <c r="I662" s="15" t="str" cm="1">
        <f t="array" aca="1" ref="I6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3" spans="1:9" x14ac:dyDescent="0.25">
      <c r="A663" s="15">
        <f t="shared" si="10"/>
        <v>662</v>
      </c>
      <c r="B663" s="15" t="s">
        <v>90</v>
      </c>
      <c r="C663" s="15" t="str" cm="1">
        <f t="array" ref="C663">IFERROR(_xlfn.XLOOKUP(B663, tblPeople[PersonID], tblPeople[PersonName], ""), "")</f>
        <v>Kendra Nambisia</v>
      </c>
      <c r="D663" s="15" t="s">
        <v>360</v>
      </c>
      <c r="E663" s="16" t="str">
        <f>IFERROR(_xlfn.XLOOKUP(D663, tblCourses[CourseID], tblCourses[CourseName], ""), "")</f>
        <v>Maintenance Procedures &amp; Standard Maintenance Practices (Initial)</v>
      </c>
      <c r="F663" s="17">
        <v>45786</v>
      </c>
      <c r="G663" s="17" t="str" cm="1">
        <f t="array" ref="G6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3" s="15" t="str">
        <f ca="1">IF(OR(tblTraining[[#This Row],[Status]]="Renewed",tblTraining[[#This Row],[NextDueDate]]=""),"",tblTraining[[#This Row],[NextDueDate]]-TODAY())</f>
        <v/>
      </c>
      <c r="I663" s="15" t="str" cm="1">
        <f t="array" aca="1" ref="I6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4" spans="1:9" x14ac:dyDescent="0.25">
      <c r="A664" s="15">
        <f t="shared" si="10"/>
        <v>663</v>
      </c>
      <c r="B664" s="15" t="s">
        <v>103</v>
      </c>
      <c r="C664" s="15" t="str" cm="1">
        <f t="array" ref="C664">IFERROR(_xlfn.XLOOKUP(B664, tblPeople[PersonID], tblPeople[PersonName], ""), "")</f>
        <v>Smith Harun</v>
      </c>
      <c r="D664" s="15" t="s">
        <v>360</v>
      </c>
      <c r="E664" s="16" t="str">
        <f>IFERROR(_xlfn.XLOOKUP(D664, tblCourses[CourseID], tblCourses[CourseName], ""), "")</f>
        <v>Maintenance Procedures &amp; Standard Maintenance Practices (Initial)</v>
      </c>
      <c r="F664" s="17">
        <v>45322</v>
      </c>
      <c r="G664" s="17" t="str" cm="1">
        <f t="array" ref="G6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4" s="15" t="str">
        <f ca="1">IF(OR(tblTraining[[#This Row],[Status]]="Renewed",tblTraining[[#This Row],[NextDueDate]]=""),"",tblTraining[[#This Row],[NextDueDate]]-TODAY())</f>
        <v/>
      </c>
      <c r="I664" s="15" t="str" cm="1">
        <f t="array" aca="1" ref="I6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5" spans="1:9" x14ac:dyDescent="0.25">
      <c r="A665" s="15">
        <f t="shared" si="10"/>
        <v>664</v>
      </c>
      <c r="B665" s="15" t="s">
        <v>214</v>
      </c>
      <c r="C665" s="15" t="str" cm="1">
        <f t="array" ref="C665">IFERROR(_xlfn.XLOOKUP(B665, tblPeople[PersonID], tblPeople[PersonName], ""), "")</f>
        <v xml:space="preserve">Edwin Kemei </v>
      </c>
      <c r="D665" s="15" t="s">
        <v>360</v>
      </c>
      <c r="E665" s="16" t="str">
        <f>IFERROR(_xlfn.XLOOKUP(D665, tblCourses[CourseID], tblCourses[CourseName], ""), "")</f>
        <v>Maintenance Procedures &amp; Standard Maintenance Practices (Initial)</v>
      </c>
      <c r="F665" s="17">
        <v>45322</v>
      </c>
      <c r="G665" s="17" t="str" cm="1">
        <f t="array" ref="G6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5" s="15" t="str">
        <f ca="1">IF(OR(tblTraining[[#This Row],[Status]]="Renewed",tblTraining[[#This Row],[NextDueDate]]=""),"",tblTraining[[#This Row],[NextDueDate]]-TODAY())</f>
        <v/>
      </c>
      <c r="I665" s="15" t="str" cm="1">
        <f t="array" aca="1" ref="I6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6" spans="1:9" x14ac:dyDescent="0.25">
      <c r="A666" s="15">
        <f t="shared" si="10"/>
        <v>665</v>
      </c>
      <c r="B666" s="15" t="s">
        <v>102</v>
      </c>
      <c r="C666" s="15" t="str" cm="1">
        <f t="array" ref="C666">IFERROR(_xlfn.XLOOKUP(B666, tblPeople[PersonID], tblPeople[PersonName], ""), "")</f>
        <v>William Mlati</v>
      </c>
      <c r="D666" s="15" t="s">
        <v>360</v>
      </c>
      <c r="E666" s="16" t="str">
        <f>IFERROR(_xlfn.XLOOKUP(D666, tblCourses[CourseID], tblCourses[CourseName], ""), "")</f>
        <v>Maintenance Procedures &amp; Standard Maintenance Practices (Initial)</v>
      </c>
      <c r="F666" s="17">
        <v>43444</v>
      </c>
      <c r="G666" s="17" t="str" cm="1">
        <f t="array" ref="G6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6" s="15" t="str">
        <f ca="1">IF(OR(tblTraining[[#This Row],[Status]]="Renewed",tblTraining[[#This Row],[NextDueDate]]=""),"",tblTraining[[#This Row],[NextDueDate]]-TODAY())</f>
        <v/>
      </c>
      <c r="I666" s="15" t="str" cm="1">
        <f t="array" aca="1" ref="I6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7" spans="1:9" x14ac:dyDescent="0.25">
      <c r="A667" s="15">
        <f t="shared" si="10"/>
        <v>666</v>
      </c>
      <c r="B667" s="15" t="s">
        <v>135</v>
      </c>
      <c r="C667" s="15" t="str" cm="1">
        <f t="array" ref="C667">IFERROR(_xlfn.XLOOKUP(B667, tblPeople[PersonID], tblPeople[PersonName], ""), "")</f>
        <v>Francis Muriuki</v>
      </c>
      <c r="D667" s="15" t="s">
        <v>360</v>
      </c>
      <c r="E667" s="16" t="str">
        <f>IFERROR(_xlfn.XLOOKUP(D667, tblCourses[CourseID], tblCourses[CourseName], ""), "")</f>
        <v>Maintenance Procedures &amp; Standard Maintenance Practices (Initial)</v>
      </c>
      <c r="F667" s="17">
        <v>45322</v>
      </c>
      <c r="G667" s="17" t="str" cm="1">
        <f t="array" ref="G6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7" s="15" t="str">
        <f ca="1">IF(OR(tblTraining[[#This Row],[Status]]="Renewed",tblTraining[[#This Row],[NextDueDate]]=""),"",tblTraining[[#This Row],[NextDueDate]]-TODAY())</f>
        <v/>
      </c>
      <c r="I667" s="15" t="str" cm="1">
        <f t="array" aca="1" ref="I6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8" spans="1:9" x14ac:dyDescent="0.25">
      <c r="A668" s="15">
        <f t="shared" si="10"/>
        <v>667</v>
      </c>
      <c r="B668" s="15" t="s">
        <v>82</v>
      </c>
      <c r="C668" s="15" t="str" cm="1">
        <f t="array" ref="C668">IFERROR(_xlfn.XLOOKUP(B668, tblPeople[PersonID], tblPeople[PersonName], ""), "")</f>
        <v>Philip Mwania</v>
      </c>
      <c r="D668" s="15" t="s">
        <v>360</v>
      </c>
      <c r="E668" s="16" t="str">
        <f>IFERROR(_xlfn.XLOOKUP(D668, tblCourses[CourseID], tblCourses[CourseName], ""), "")</f>
        <v>Maintenance Procedures &amp; Standard Maintenance Practices (Initial)</v>
      </c>
      <c r="F668" s="17">
        <v>45322</v>
      </c>
      <c r="G668" s="17" t="str" cm="1">
        <f t="array" ref="G6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8" s="15" t="str">
        <f ca="1">IF(OR(tblTraining[[#This Row],[Status]]="Renewed",tblTraining[[#This Row],[NextDueDate]]=""),"",tblTraining[[#This Row],[NextDueDate]]-TODAY())</f>
        <v/>
      </c>
      <c r="I668" s="15" t="str" cm="1">
        <f t="array" aca="1" ref="I6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9" spans="1:9" x14ac:dyDescent="0.25">
      <c r="A669" s="15">
        <f t="shared" si="10"/>
        <v>668</v>
      </c>
      <c r="B669" s="15" t="s">
        <v>161</v>
      </c>
      <c r="C669" s="15" t="str" cm="1">
        <f t="array" ref="C669">IFERROR(_xlfn.XLOOKUP(B669, tblPeople[PersonID], tblPeople[PersonName], ""), "")</f>
        <v>Francis Omondi</v>
      </c>
      <c r="D669" s="15" t="s">
        <v>360</v>
      </c>
      <c r="E669" s="16" t="str">
        <f>IFERROR(_xlfn.XLOOKUP(D669, tblCourses[CourseID], tblCourses[CourseName], ""), "")</f>
        <v>Maintenance Procedures &amp; Standard Maintenance Practices (Initial)</v>
      </c>
      <c r="F669" s="17">
        <v>45322</v>
      </c>
      <c r="G669" s="17" t="str" cm="1">
        <f t="array" ref="G6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9" s="15" t="str">
        <f ca="1">IF(OR(tblTraining[[#This Row],[Status]]="Renewed",tblTraining[[#This Row],[NextDueDate]]=""),"",tblTraining[[#This Row],[NextDueDate]]-TODAY())</f>
        <v/>
      </c>
      <c r="I669" s="15" t="str" cm="1">
        <f t="array" aca="1" ref="I6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0" spans="1:9" x14ac:dyDescent="0.25">
      <c r="A670" s="15">
        <f t="shared" si="10"/>
        <v>669</v>
      </c>
      <c r="B670" s="15" t="s">
        <v>97</v>
      </c>
      <c r="C670" s="15" t="str" cm="1">
        <f t="array" ref="C670">IFERROR(_xlfn.XLOOKUP(B670, tblPeople[PersonID], tblPeople[PersonName], ""), "")</f>
        <v>Thomas Wambunya</v>
      </c>
      <c r="D670" s="15" t="s">
        <v>360</v>
      </c>
      <c r="E670" s="16" t="str">
        <f>IFERROR(_xlfn.XLOOKUP(D670, tblCourses[CourseID], tblCourses[CourseName], ""), "")</f>
        <v>Maintenance Procedures &amp; Standard Maintenance Practices (Initial)</v>
      </c>
      <c r="F670" s="17">
        <v>45322</v>
      </c>
      <c r="G670" s="17" t="str" cm="1">
        <f t="array" ref="G6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0" s="15" t="str">
        <f ca="1">IF(OR(tblTraining[[#This Row],[Status]]="Renewed",tblTraining[[#This Row],[NextDueDate]]=""),"",tblTraining[[#This Row],[NextDueDate]]-TODAY())</f>
        <v/>
      </c>
      <c r="I670" s="15" t="str" cm="1">
        <f t="array" aca="1" ref="I6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1" spans="1:9" x14ac:dyDescent="0.25">
      <c r="A671" s="15">
        <f t="shared" si="10"/>
        <v>670</v>
      </c>
      <c r="B671" s="15" t="s">
        <v>105</v>
      </c>
      <c r="C671" s="15" t="str" cm="1">
        <f t="array" ref="C671">IFERROR(_xlfn.XLOOKUP(B671, tblPeople[PersonID], tblPeople[PersonName], ""), "")</f>
        <v>Fred Magotsi</v>
      </c>
      <c r="D671" s="15" t="s">
        <v>360</v>
      </c>
      <c r="E671" s="16" t="str">
        <f>IFERROR(_xlfn.XLOOKUP(D671, tblCourses[CourseID], tblCourses[CourseName], ""), "")</f>
        <v>Maintenance Procedures &amp; Standard Maintenance Practices (Initial)</v>
      </c>
      <c r="F671" s="17">
        <v>45328</v>
      </c>
      <c r="G671" s="17" t="str" cm="1">
        <f t="array" ref="G6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1" s="15" t="str">
        <f ca="1">IF(OR(tblTraining[[#This Row],[Status]]="Renewed",tblTraining[[#This Row],[NextDueDate]]=""),"",tblTraining[[#This Row],[NextDueDate]]-TODAY())</f>
        <v/>
      </c>
      <c r="I671" s="15" t="str" cm="1">
        <f t="array" aca="1" ref="I6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2" spans="1:9" x14ac:dyDescent="0.25">
      <c r="A672" s="15">
        <f t="shared" si="10"/>
        <v>671</v>
      </c>
      <c r="B672" s="15" t="s">
        <v>106</v>
      </c>
      <c r="C672" s="15" t="str" cm="1">
        <f t="array" ref="C672">IFERROR(_xlfn.XLOOKUP(B672, tblPeople[PersonID], tblPeople[PersonName], ""), "")</f>
        <v>James Mugo</v>
      </c>
      <c r="D672" s="15" t="s">
        <v>360</v>
      </c>
      <c r="E672" s="16" t="str">
        <f>IFERROR(_xlfn.XLOOKUP(D672, tblCourses[CourseID], tblCourses[CourseName], ""), "")</f>
        <v>Maintenance Procedures &amp; Standard Maintenance Practices (Initial)</v>
      </c>
      <c r="F672" s="17">
        <v>45328</v>
      </c>
      <c r="G672" s="17" t="str" cm="1">
        <f t="array" ref="G6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2" s="15" t="str">
        <f ca="1">IF(OR(tblTraining[[#This Row],[Status]]="Renewed",tblTraining[[#This Row],[NextDueDate]]=""),"",tblTraining[[#This Row],[NextDueDate]]-TODAY())</f>
        <v/>
      </c>
      <c r="I672" s="15" t="str" cm="1">
        <f t="array" aca="1" ref="I6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3" spans="1:9" x14ac:dyDescent="0.25">
      <c r="A673" s="15">
        <f t="shared" si="10"/>
        <v>672</v>
      </c>
      <c r="B673" s="15" t="s">
        <v>90</v>
      </c>
      <c r="C673" s="15" t="str" cm="1">
        <f t="array" ref="C673">IFERROR(_xlfn.XLOOKUP(B673, tblPeople[PersonID], tblPeople[PersonName], ""), "")</f>
        <v>Kendra Nambisia</v>
      </c>
      <c r="D673" s="15" t="s">
        <v>76</v>
      </c>
      <c r="E673" s="16" t="str">
        <f>IFERROR(_xlfn.XLOOKUP(D673, tblCourses[CourseID], tblCourses[CourseName], ""), "")</f>
        <v>Fuel Tank Safety Phase 1 &amp; 2 Course (Initial)</v>
      </c>
      <c r="F673" s="17">
        <v>45410</v>
      </c>
      <c r="G673" s="17" t="str" cm="1">
        <f t="array" ref="G6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3" s="15" t="str">
        <f ca="1">IF(OR(tblTraining[[#This Row],[Status]]="Renewed",tblTraining[[#This Row],[NextDueDate]]=""),"",tblTraining[[#This Row],[NextDueDate]]-TODAY())</f>
        <v/>
      </c>
      <c r="I673" s="15" t="str" cm="1">
        <f t="array" aca="1" ref="I6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4" spans="1:9" x14ac:dyDescent="0.25">
      <c r="A674" s="15">
        <f t="shared" si="10"/>
        <v>673</v>
      </c>
      <c r="B674" s="15" t="s">
        <v>100</v>
      </c>
      <c r="C674" s="15" t="str" cm="1">
        <f t="array" ref="C674">IFERROR(_xlfn.XLOOKUP(B674, tblPeople[PersonID], tblPeople[PersonName], ""), "")</f>
        <v>John Muriithi</v>
      </c>
      <c r="D674" s="15" t="s">
        <v>360</v>
      </c>
      <c r="E674" s="16" t="str">
        <f>IFERROR(_xlfn.XLOOKUP(D674, tblCourses[CourseID], tblCourses[CourseName], ""), "")</f>
        <v>Maintenance Procedures &amp; Standard Maintenance Practices (Initial)</v>
      </c>
      <c r="F674" s="17">
        <v>45322</v>
      </c>
      <c r="G674" s="17" t="str" cm="1">
        <f t="array" ref="G6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4" s="15" t="str">
        <f ca="1">IF(OR(tblTraining[[#This Row],[Status]]="Renewed",tblTraining[[#This Row],[NextDueDate]]=""),"",tblTraining[[#This Row],[NextDueDate]]-TODAY())</f>
        <v/>
      </c>
      <c r="I674" s="15" t="str" cm="1">
        <f t="array" aca="1" ref="I6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5" spans="1:9" x14ac:dyDescent="0.25">
      <c r="A675" s="15">
        <f t="shared" si="10"/>
        <v>674</v>
      </c>
      <c r="B675" s="15" t="s">
        <v>95</v>
      </c>
      <c r="C675" s="15" t="str" cm="1">
        <f t="array" ref="C675">IFERROR(_xlfn.XLOOKUP(B675, tblPeople[PersonID], tblPeople[PersonName], ""), "")</f>
        <v>Walter Kibet</v>
      </c>
      <c r="D675" s="15" t="s">
        <v>173</v>
      </c>
      <c r="E675" s="16" t="str">
        <f>IFERROR(_xlfn.XLOOKUP(D675, tblCourses[CourseID], tblCourses[CourseName], ""), "")</f>
        <v>Quality Management Systems</v>
      </c>
      <c r="F675" s="17">
        <v>45793</v>
      </c>
      <c r="G675" s="17" cm="1">
        <f t="array" ref="G6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46889</v>
      </c>
      <c r="H675" s="15">
        <f ca="1">IF(OR(tblTraining[[#This Row],[Status]]="Renewed",tblTraining[[#This Row],[NextDueDate]]=""),"",tblTraining[[#This Row],[NextDueDate]]-TODAY())</f>
        <v>603</v>
      </c>
      <c r="I675" s="15" t="str" cm="1">
        <f t="array" aca="1" ref="I6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6" spans="1:9" x14ac:dyDescent="0.25">
      <c r="A676" s="15">
        <f t="shared" si="10"/>
        <v>675</v>
      </c>
      <c r="B676" s="15" t="s">
        <v>95</v>
      </c>
      <c r="C676" s="15" t="str" cm="1">
        <f t="array" ref="C676">IFERROR(_xlfn.XLOOKUP(B676, tblPeople[PersonID], tblPeople[PersonName], ""), "")</f>
        <v>Walter Kibet</v>
      </c>
      <c r="D676" s="15" t="s">
        <v>225</v>
      </c>
      <c r="E676" s="16" t="str">
        <f>IFERROR(_xlfn.XLOOKUP(D676, tblCourses[CourseID], tblCourses[CourseName], ""), "")</f>
        <v>Quality Management Systems (Initial)</v>
      </c>
      <c r="F676" s="17">
        <v>45793</v>
      </c>
      <c r="G676" s="17" t="str" cm="1">
        <f t="array" ref="G6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6" s="15" t="str">
        <f ca="1">IF(OR(tblTraining[[#This Row],[Status]]="Renewed",tblTraining[[#This Row],[NextDueDate]]=""),"",tblTraining[[#This Row],[NextDueDate]]-TODAY())</f>
        <v/>
      </c>
      <c r="I676" s="15" t="str" cm="1">
        <f t="array" aca="1" ref="I6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7" spans="1:9" x14ac:dyDescent="0.25">
      <c r="A677" s="15">
        <f t="shared" si="10"/>
        <v>676</v>
      </c>
      <c r="B677" s="15" t="s">
        <v>104</v>
      </c>
      <c r="C677" s="15" t="str" cm="1">
        <f t="array" ref="C677">IFERROR(_xlfn.XLOOKUP(B677, tblPeople[PersonID], tblPeople[PersonName], ""), "")</f>
        <v>Douglas Hurgins</v>
      </c>
      <c r="D677" s="15" t="s">
        <v>360</v>
      </c>
      <c r="E677" s="16" t="str">
        <f>IFERROR(_xlfn.XLOOKUP(D677, tblCourses[CourseID], tblCourses[CourseName], ""), "")</f>
        <v>Maintenance Procedures &amp; Standard Maintenance Practices (Initial)</v>
      </c>
      <c r="F677" s="17">
        <v>43620</v>
      </c>
      <c r="G677" s="17" t="str" cm="1">
        <f t="array" ref="G6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7" s="15" t="str">
        <f ca="1">IF(OR(tblTraining[[#This Row],[Status]]="Renewed",tblTraining[[#This Row],[NextDueDate]]=""),"",tblTraining[[#This Row],[NextDueDate]]-TODAY())</f>
        <v/>
      </c>
      <c r="I677" s="15" t="str" cm="1">
        <f t="array" aca="1" ref="I6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8" spans="1:9" x14ac:dyDescent="0.25">
      <c r="A678" s="15">
        <f t="shared" si="10"/>
        <v>677</v>
      </c>
      <c r="B678" s="15" t="s">
        <v>104</v>
      </c>
      <c r="C678" s="15" t="str" cm="1">
        <f t="array" ref="C678">IFERROR(_xlfn.XLOOKUP(B678, tblPeople[PersonID], tblPeople[PersonName], ""), "")</f>
        <v>Douglas Hurgins</v>
      </c>
      <c r="D678" s="15" t="s">
        <v>202</v>
      </c>
      <c r="E678" s="16" t="str">
        <f>IFERROR(_xlfn.XLOOKUP(D678, tblCourses[CourseID], tblCourses[CourseName], ""), "")</f>
        <v>Maintenance Procedures &amp; Standard Maintenance Practices (Refresher)</v>
      </c>
      <c r="F678" s="17">
        <v>45328</v>
      </c>
      <c r="G678" s="17" t="str" cm="1">
        <f t="array" ref="G6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8" s="15" t="str">
        <f ca="1">IF(OR(tblTraining[[#This Row],[Status]]="Renewed",tblTraining[[#This Row],[NextDueDate]]=""),"",tblTraining[[#This Row],[NextDueDate]]-TODAY())</f>
        <v/>
      </c>
      <c r="I678" s="15" t="str" cm="1">
        <f t="array" aca="1" ref="I6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79" spans="1:9" x14ac:dyDescent="0.25">
      <c r="A679" s="15">
        <f t="shared" si="10"/>
        <v>678</v>
      </c>
      <c r="B679" s="15" t="s">
        <v>107</v>
      </c>
      <c r="C679" s="15" t="str" cm="1">
        <f t="array" ref="C679">IFERROR(_xlfn.XLOOKUP(B679, tblPeople[PersonID], tblPeople[PersonName], ""), "")</f>
        <v>Julius Nyawira</v>
      </c>
      <c r="D679" s="15" t="s">
        <v>360</v>
      </c>
      <c r="E679" s="16" t="str">
        <f>IFERROR(_xlfn.XLOOKUP(D679, tblCourses[CourseID], tblCourses[CourseName], ""), "")</f>
        <v>Maintenance Procedures &amp; Standard Maintenance Practices (Initial)</v>
      </c>
      <c r="F679" s="17">
        <v>43167</v>
      </c>
      <c r="G679" s="17" t="str" cm="1">
        <f t="array" ref="G6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9" s="15" t="str">
        <f ca="1">IF(OR(tblTraining[[#This Row],[Status]]="Renewed",tblTraining[[#This Row],[NextDueDate]]=""),"",tblTraining[[#This Row],[NextDueDate]]-TODAY())</f>
        <v/>
      </c>
      <c r="I679" s="15" t="str" cm="1">
        <f t="array" aca="1" ref="I6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0" spans="1:9" x14ac:dyDescent="0.25">
      <c r="A680" s="15">
        <f t="shared" si="10"/>
        <v>679</v>
      </c>
      <c r="B680" s="15" t="s">
        <v>107</v>
      </c>
      <c r="C680" s="15" t="str" cm="1">
        <f t="array" ref="C680">IFERROR(_xlfn.XLOOKUP(B680, tblPeople[PersonID], tblPeople[PersonName], ""), "")</f>
        <v>Julius Nyawira</v>
      </c>
      <c r="D680" s="15" t="s">
        <v>202</v>
      </c>
      <c r="E680" s="16" t="str">
        <f>IFERROR(_xlfn.XLOOKUP(D680, tblCourses[CourseID], tblCourses[CourseName], ""), "")</f>
        <v>Maintenance Procedures &amp; Standard Maintenance Practices (Refresher)</v>
      </c>
      <c r="F680" s="17">
        <v>45322</v>
      </c>
      <c r="G680" s="17" t="str" cm="1">
        <f t="array" ref="G6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0" s="15" t="str">
        <f ca="1">IF(OR(tblTraining[[#This Row],[Status]]="Renewed",tblTraining[[#This Row],[NextDueDate]]=""),"",tblTraining[[#This Row],[NextDueDate]]-TODAY())</f>
        <v/>
      </c>
      <c r="I680" s="15" t="str" cm="1">
        <f t="array" aca="1" ref="I6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1" spans="1:9" x14ac:dyDescent="0.25">
      <c r="A681" s="15">
        <f t="shared" si="10"/>
        <v>680</v>
      </c>
      <c r="B681" s="15" t="s">
        <v>83</v>
      </c>
      <c r="C681" s="15" t="str" cm="1">
        <f t="array" ref="C681">IFERROR(_xlfn.XLOOKUP(B681, tblPeople[PersonID], tblPeople[PersonName], ""), "")</f>
        <v>Wycliffe Kanana</v>
      </c>
      <c r="D681" s="15" t="s">
        <v>360</v>
      </c>
      <c r="E681" s="16" t="str">
        <f>IFERROR(_xlfn.XLOOKUP(D681, tblCourses[CourseID], tblCourses[CourseName], ""), "")</f>
        <v>Maintenance Procedures &amp; Standard Maintenance Practices (Initial)</v>
      </c>
      <c r="F681" s="17">
        <v>43520</v>
      </c>
      <c r="G681" s="17" t="str" cm="1">
        <f t="array" ref="G6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1" s="15" t="str">
        <f ca="1">IF(OR(tblTraining[[#This Row],[Status]]="Renewed",tblTraining[[#This Row],[NextDueDate]]=""),"",tblTraining[[#This Row],[NextDueDate]]-TODAY())</f>
        <v/>
      </c>
      <c r="I681" s="15" t="str" cm="1">
        <f t="array" aca="1" ref="I6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2" spans="1:9" x14ac:dyDescent="0.25">
      <c r="A682" s="15">
        <f t="shared" si="10"/>
        <v>681</v>
      </c>
      <c r="B682" s="15" t="s">
        <v>83</v>
      </c>
      <c r="C682" s="15" t="str" cm="1">
        <f t="array" ref="C682">IFERROR(_xlfn.XLOOKUP(B682, tblPeople[PersonID], tblPeople[PersonName], ""), "")</f>
        <v>Wycliffe Kanana</v>
      </c>
      <c r="D682" s="15" t="s">
        <v>202</v>
      </c>
      <c r="E682" s="16" t="str">
        <f>IFERROR(_xlfn.XLOOKUP(D682, tblCourses[CourseID], tblCourses[CourseName], ""), "")</f>
        <v>Maintenance Procedures &amp; Standard Maintenance Practices (Refresher)</v>
      </c>
      <c r="F682" s="17">
        <v>43520</v>
      </c>
      <c r="G682" s="17" t="str" cm="1">
        <f t="array" ref="G6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2" s="15" t="str">
        <f ca="1">IF(OR(tblTraining[[#This Row],[Status]]="Renewed",tblTraining[[#This Row],[NextDueDate]]=""),"",tblTraining[[#This Row],[NextDueDate]]-TODAY())</f>
        <v/>
      </c>
      <c r="I682" s="15" t="str" cm="1">
        <f t="array" aca="1" ref="I6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3" spans="1:9" x14ac:dyDescent="0.25">
      <c r="A683" s="15">
        <f t="shared" si="10"/>
        <v>682</v>
      </c>
      <c r="B683" s="15" t="s">
        <v>113</v>
      </c>
      <c r="C683" s="15" t="str" cm="1">
        <f t="array" ref="C683">IFERROR(_xlfn.XLOOKUP(B683, tblPeople[PersonID], tblPeople[PersonName], ""), "")</f>
        <v>Ann Mwangi</v>
      </c>
      <c r="D683" s="15" t="s">
        <v>360</v>
      </c>
      <c r="E683" s="16" t="str">
        <f>IFERROR(_xlfn.XLOOKUP(D683, tblCourses[CourseID], tblCourses[CourseName], ""), "")</f>
        <v>Maintenance Procedures &amp; Standard Maintenance Practices (Initial)</v>
      </c>
      <c r="F683" s="17">
        <v>43756</v>
      </c>
      <c r="G683" s="17" t="str" cm="1">
        <f t="array" ref="G6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3" s="15" t="str">
        <f ca="1">IF(OR(tblTraining[[#This Row],[Status]]="Renewed",tblTraining[[#This Row],[NextDueDate]]=""),"",tblTraining[[#This Row],[NextDueDate]]-TODAY())</f>
        <v/>
      </c>
      <c r="I683" s="15" t="str" cm="1">
        <f t="array" aca="1" ref="I6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4" spans="1:9" x14ac:dyDescent="0.25">
      <c r="A684" s="15">
        <f t="shared" si="10"/>
        <v>683</v>
      </c>
      <c r="B684" s="15" t="s">
        <v>113</v>
      </c>
      <c r="C684" s="15" t="str" cm="1">
        <f t="array" ref="C684">IFERROR(_xlfn.XLOOKUP(B684, tblPeople[PersonID], tblPeople[PersonName], ""), "")</f>
        <v>Ann Mwangi</v>
      </c>
      <c r="D684" s="15" t="s">
        <v>202</v>
      </c>
      <c r="E684" s="16" t="str">
        <f>IFERROR(_xlfn.XLOOKUP(D684, tblCourses[CourseID], tblCourses[CourseName], ""), "")</f>
        <v>Maintenance Procedures &amp; Standard Maintenance Practices (Refresher)</v>
      </c>
      <c r="F684" s="17">
        <v>45322</v>
      </c>
      <c r="G684" s="17" cm="1">
        <f t="array" ref="G6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46053</v>
      </c>
      <c r="H684" s="15">
        <f ca="1">IF(OR(tblTraining[[#This Row],[Status]]="Renewed",tblTraining[[#This Row],[NextDueDate]]=""),"",tblTraining[[#This Row],[NextDueDate]]-TODAY())</f>
        <v>-233</v>
      </c>
      <c r="I684" s="15" t="str" cm="1">
        <f t="array" aca="1" ref="I6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685" spans="1:9" x14ac:dyDescent="0.25">
      <c r="A685" s="15">
        <f t="shared" si="10"/>
        <v>684</v>
      </c>
      <c r="B685" s="15" t="s">
        <v>117</v>
      </c>
      <c r="C685" s="15" t="str" cm="1">
        <f t="array" ref="C685">IFERROR(_xlfn.XLOOKUP(B685, tblPeople[PersonID], tblPeople[PersonName], ""), "")</f>
        <v>Mercy Etende</v>
      </c>
      <c r="D685" s="15" t="s">
        <v>360</v>
      </c>
      <c r="E685" s="16" t="str">
        <f>IFERROR(_xlfn.XLOOKUP(D685, tblCourses[CourseID], tblCourses[CourseName], ""), "")</f>
        <v>Maintenance Procedures &amp; Standard Maintenance Practices (Initial)</v>
      </c>
      <c r="F685" s="17">
        <v>43871</v>
      </c>
      <c r="G685" s="17" t="str" cm="1">
        <f t="array" ref="G6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5" s="15" t="str">
        <f ca="1">IF(OR(tblTraining[[#This Row],[Status]]="Renewed",tblTraining[[#This Row],[NextDueDate]]=""),"",tblTraining[[#This Row],[NextDueDate]]-TODAY())</f>
        <v/>
      </c>
      <c r="I685" s="15" t="str" cm="1">
        <f t="array" aca="1" ref="I6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6" spans="1:9" x14ac:dyDescent="0.25">
      <c r="A686" s="15">
        <f t="shared" si="10"/>
        <v>685</v>
      </c>
      <c r="B686" s="15" t="s">
        <v>117</v>
      </c>
      <c r="C686" s="15" t="str" cm="1">
        <f t="array" ref="C686">IFERROR(_xlfn.XLOOKUP(B686, tblPeople[PersonID], tblPeople[PersonName], ""), "")</f>
        <v>Mercy Etende</v>
      </c>
      <c r="D686" s="15" t="s">
        <v>202</v>
      </c>
      <c r="E686" s="16" t="str">
        <f>IFERROR(_xlfn.XLOOKUP(D686, tblCourses[CourseID], tblCourses[CourseName], ""), "")</f>
        <v>Maintenance Procedures &amp; Standard Maintenance Practices (Refresher)</v>
      </c>
      <c r="F686" s="17">
        <v>43871</v>
      </c>
      <c r="G686" s="17" t="str" cm="1">
        <f t="array" ref="G6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6" s="15" t="str">
        <f ca="1">IF(OR(tblTraining[[#This Row],[Status]]="Renewed",tblTraining[[#This Row],[NextDueDate]]=""),"",tblTraining[[#This Row],[NextDueDate]]-TODAY())</f>
        <v/>
      </c>
      <c r="I686" s="15" t="str" cm="1">
        <f t="array" aca="1" ref="I6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7" spans="1:9" x14ac:dyDescent="0.25">
      <c r="A687" s="15">
        <f t="shared" si="10"/>
        <v>686</v>
      </c>
      <c r="B687" s="15" t="s">
        <v>157</v>
      </c>
      <c r="C687" s="15" t="str" cm="1">
        <f t="array" ref="C687">IFERROR(_xlfn.XLOOKUP(B687, tblPeople[PersonID], tblPeople[PersonName], ""), "")</f>
        <v>Stephen Mutambu</v>
      </c>
      <c r="D687" s="15" t="s">
        <v>360</v>
      </c>
      <c r="E687" s="16" t="str">
        <f>IFERROR(_xlfn.XLOOKUP(D687, tblCourses[CourseID], tblCourses[CourseName], ""), "")</f>
        <v>Maintenance Procedures &amp; Standard Maintenance Practices (Initial)</v>
      </c>
      <c r="F687" s="17">
        <v>43896</v>
      </c>
      <c r="G687" s="17" t="str" cm="1">
        <f t="array" ref="G6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7" s="15" t="str">
        <f ca="1">IF(OR(tblTraining[[#This Row],[Status]]="Renewed",tblTraining[[#This Row],[NextDueDate]]=""),"",tblTraining[[#This Row],[NextDueDate]]-TODAY())</f>
        <v/>
      </c>
      <c r="I687" s="15" t="str" cm="1">
        <f t="array" aca="1" ref="I6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8" spans="1:9" x14ac:dyDescent="0.25">
      <c r="A688" s="15">
        <f t="shared" si="10"/>
        <v>687</v>
      </c>
      <c r="B688" s="15" t="s">
        <v>157</v>
      </c>
      <c r="C688" s="15" t="str" cm="1">
        <f t="array" ref="C688">IFERROR(_xlfn.XLOOKUP(B688, tblPeople[PersonID], tblPeople[PersonName], ""), "")</f>
        <v>Stephen Mutambu</v>
      </c>
      <c r="D688" s="15" t="s">
        <v>202</v>
      </c>
      <c r="E688" s="16" t="str">
        <f>IFERROR(_xlfn.XLOOKUP(D688, tblCourses[CourseID], tblCourses[CourseName], ""), "")</f>
        <v>Maintenance Procedures &amp; Standard Maintenance Practices (Refresher)</v>
      </c>
      <c r="F688" s="17">
        <v>43896</v>
      </c>
      <c r="G688" s="17" t="str" cm="1">
        <f t="array" ref="G6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8" s="15" t="str">
        <f ca="1">IF(OR(tblTraining[[#This Row],[Status]]="Renewed",tblTraining[[#This Row],[NextDueDate]]=""),"",tblTraining[[#This Row],[NextDueDate]]-TODAY())</f>
        <v/>
      </c>
      <c r="I688" s="15" t="str" cm="1">
        <f t="array" aca="1" ref="I6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9" spans="1:9" x14ac:dyDescent="0.25">
      <c r="A689" s="15">
        <f t="shared" si="10"/>
        <v>688</v>
      </c>
      <c r="B689" s="15" t="s">
        <v>166</v>
      </c>
      <c r="C689" s="15" t="str" cm="1">
        <f t="array" ref="C689">IFERROR(_xlfn.XLOOKUP(B689, tblPeople[PersonID], tblPeople[PersonName], ""), "")</f>
        <v>Hannah Wambui</v>
      </c>
      <c r="D689" s="15" t="s">
        <v>360</v>
      </c>
      <c r="E689" s="16" t="str">
        <f>IFERROR(_xlfn.XLOOKUP(D689, tblCourses[CourseID], tblCourses[CourseName], ""), "")</f>
        <v>Maintenance Procedures &amp; Standard Maintenance Practices (Initial)</v>
      </c>
      <c r="F689" s="17">
        <v>44211</v>
      </c>
      <c r="G689" s="17" t="str" cm="1">
        <f t="array" ref="G6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9" s="15" t="str">
        <f ca="1">IF(OR(tblTraining[[#This Row],[Status]]="Renewed",tblTraining[[#This Row],[NextDueDate]]=""),"",tblTraining[[#This Row],[NextDueDate]]-TODAY())</f>
        <v/>
      </c>
      <c r="I689" s="15" t="str" cm="1">
        <f t="array" aca="1" ref="I6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0" spans="1:9" x14ac:dyDescent="0.25">
      <c r="A690" s="15">
        <f t="shared" si="10"/>
        <v>689</v>
      </c>
      <c r="B690" s="15" t="s">
        <v>166</v>
      </c>
      <c r="C690" s="15" t="str" cm="1">
        <f t="array" ref="C690">IFERROR(_xlfn.XLOOKUP(B690, tblPeople[PersonID], tblPeople[PersonName], ""), "")</f>
        <v>Hannah Wambui</v>
      </c>
      <c r="D690" s="15" t="s">
        <v>202</v>
      </c>
      <c r="E690" s="16" t="str">
        <f>IFERROR(_xlfn.XLOOKUP(D690, tblCourses[CourseID], tblCourses[CourseName], ""), "")</f>
        <v>Maintenance Procedures &amp; Standard Maintenance Practices (Refresher)</v>
      </c>
      <c r="F690" s="17">
        <v>45322</v>
      </c>
      <c r="G690" s="17" t="str" cm="1">
        <f t="array" ref="G6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0" s="15" t="str">
        <f ca="1">IF(OR(tblTraining[[#This Row],[Status]]="Renewed",tblTraining[[#This Row],[NextDueDate]]=""),"",tblTraining[[#This Row],[NextDueDate]]-TODAY())</f>
        <v/>
      </c>
      <c r="I690" s="15" t="str" cm="1">
        <f t="array" aca="1" ref="I6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1" spans="1:9" x14ac:dyDescent="0.25">
      <c r="A691" s="15">
        <f t="shared" si="10"/>
        <v>690</v>
      </c>
      <c r="B691" s="15" t="s">
        <v>99</v>
      </c>
      <c r="C691" s="15" t="str" cm="1">
        <f t="array" ref="C691">IFERROR(_xlfn.XLOOKUP(B691, tblPeople[PersonID], tblPeople[PersonName], ""), "")</f>
        <v>Bernard Kibiwott</v>
      </c>
      <c r="D691" s="15" t="s">
        <v>360</v>
      </c>
      <c r="E691" s="16" t="str">
        <f>IFERROR(_xlfn.XLOOKUP(D691, tblCourses[CourseID], tblCourses[CourseName], ""), "")</f>
        <v>Maintenance Procedures &amp; Standard Maintenance Practices (Initial)</v>
      </c>
      <c r="F691" s="17">
        <v>44519</v>
      </c>
      <c r="G691" s="17" t="str" cm="1">
        <f t="array" ref="G6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1" s="15" t="str">
        <f ca="1">IF(OR(tblTraining[[#This Row],[Status]]="Renewed",tblTraining[[#This Row],[NextDueDate]]=""),"",tblTraining[[#This Row],[NextDueDate]]-TODAY())</f>
        <v/>
      </c>
      <c r="I691" s="15" t="str" cm="1">
        <f t="array" aca="1" ref="I6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2" spans="1:9" x14ac:dyDescent="0.25">
      <c r="A692" s="15">
        <f t="shared" si="10"/>
        <v>691</v>
      </c>
      <c r="B692" s="15" t="s">
        <v>99</v>
      </c>
      <c r="C692" s="15" t="str" cm="1">
        <f t="array" ref="C692">IFERROR(_xlfn.XLOOKUP(B692, tblPeople[PersonID], tblPeople[PersonName], ""), "")</f>
        <v>Bernard Kibiwott</v>
      </c>
      <c r="D692" s="15" t="s">
        <v>202</v>
      </c>
      <c r="E692" s="16" t="str">
        <f>IFERROR(_xlfn.XLOOKUP(D692, tblCourses[CourseID], tblCourses[CourseName], ""), "")</f>
        <v>Maintenance Procedures &amp; Standard Maintenance Practices (Refresher)</v>
      </c>
      <c r="F692" s="17">
        <v>44519</v>
      </c>
      <c r="G692" s="17" t="str" cm="1">
        <f t="array" ref="G6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2" s="15" t="str">
        <f ca="1">IF(OR(tblTraining[[#This Row],[Status]]="Renewed",tblTraining[[#This Row],[NextDueDate]]=""),"",tblTraining[[#This Row],[NextDueDate]]-TODAY())</f>
        <v/>
      </c>
      <c r="I692" s="15" t="str" cm="1">
        <f t="array" aca="1" ref="I6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3" spans="1:9" x14ac:dyDescent="0.25">
      <c r="A693" s="15">
        <f t="shared" si="10"/>
        <v>692</v>
      </c>
      <c r="B693" s="15" t="s">
        <v>85</v>
      </c>
      <c r="C693" s="15" t="str" cm="1">
        <f t="array" ref="C693">IFERROR(_xlfn.XLOOKUP(B693, tblPeople[PersonID], tblPeople[PersonName], ""), "")</f>
        <v>Titus Shunza</v>
      </c>
      <c r="D693" s="15" t="s">
        <v>360</v>
      </c>
      <c r="E693" s="16" t="str">
        <f>IFERROR(_xlfn.XLOOKUP(D693, tblCourses[CourseID], tblCourses[CourseName], ""), "")</f>
        <v>Maintenance Procedures &amp; Standard Maintenance Practices (Initial)</v>
      </c>
      <c r="F693" s="17">
        <v>44505</v>
      </c>
      <c r="G693" s="17" t="str" cm="1">
        <f t="array" ref="G6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3" s="15" t="str">
        <f ca="1">IF(OR(tblTraining[[#This Row],[Status]]="Renewed",tblTraining[[#This Row],[NextDueDate]]=""),"",tblTraining[[#This Row],[NextDueDate]]-TODAY())</f>
        <v/>
      </c>
      <c r="I693" s="15" t="str" cm="1">
        <f t="array" aca="1" ref="I6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4" spans="1:9" x14ac:dyDescent="0.25">
      <c r="A694" s="15">
        <f t="shared" si="10"/>
        <v>693</v>
      </c>
      <c r="B694" s="15" t="s">
        <v>98</v>
      </c>
      <c r="C694" s="15" t="str" cm="1">
        <f t="array" ref="C694">IFERROR(_xlfn.XLOOKUP(B694, tblPeople[PersonID], tblPeople[PersonName], ""), "")</f>
        <v>Thadeus Mong’are</v>
      </c>
      <c r="D694" s="15" t="s">
        <v>360</v>
      </c>
      <c r="E694" s="16" t="str">
        <f>IFERROR(_xlfn.XLOOKUP(D694, tblCourses[CourseID], tblCourses[CourseName], ""), "")</f>
        <v>Maintenance Procedures &amp; Standard Maintenance Practices (Initial)</v>
      </c>
      <c r="F694" s="17">
        <v>44519</v>
      </c>
      <c r="G694" s="17" t="str" cm="1">
        <f t="array" ref="G6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4" s="15" t="str">
        <f ca="1">IF(OR(tblTraining[[#This Row],[Status]]="Renewed",tblTraining[[#This Row],[NextDueDate]]=""),"",tblTraining[[#This Row],[NextDueDate]]-TODAY())</f>
        <v/>
      </c>
      <c r="I694" s="15" t="str" cm="1">
        <f t="array" aca="1" ref="I6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5" spans="1:9" x14ac:dyDescent="0.25">
      <c r="A695" s="15">
        <f t="shared" si="10"/>
        <v>694</v>
      </c>
      <c r="B695" s="15" t="s">
        <v>84</v>
      </c>
      <c r="C695" s="15" t="str" cm="1">
        <f t="array" ref="C695">IFERROR(_xlfn.XLOOKUP(B695, tblPeople[PersonID], tblPeople[PersonName], ""), "")</f>
        <v>Patrick Musau</v>
      </c>
      <c r="D695" s="15" t="s">
        <v>360</v>
      </c>
      <c r="E695" s="16" t="str">
        <f>IFERROR(_xlfn.XLOOKUP(D695, tblCourses[CourseID], tblCourses[CourseName], ""), "")</f>
        <v>Maintenance Procedures &amp; Standard Maintenance Practices (Initial)</v>
      </c>
      <c r="F695" s="17">
        <v>44505</v>
      </c>
      <c r="G695" s="17" t="str" cm="1">
        <f t="array" ref="G6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5" s="15" t="str">
        <f ca="1">IF(OR(tblTraining[[#This Row],[Status]]="Renewed",tblTraining[[#This Row],[NextDueDate]]=""),"",tblTraining[[#This Row],[NextDueDate]]-TODAY())</f>
        <v/>
      </c>
      <c r="I695" s="15" t="str" cm="1">
        <f t="array" aca="1" ref="I6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6" spans="1:9" x14ac:dyDescent="0.25">
      <c r="A696" s="15">
        <f t="shared" si="10"/>
        <v>695</v>
      </c>
      <c r="B696" s="15" t="s">
        <v>84</v>
      </c>
      <c r="C696" s="15" t="str" cm="1">
        <f t="array" ref="C696">IFERROR(_xlfn.XLOOKUP(B696, tblPeople[PersonID], tblPeople[PersonName], ""), "")</f>
        <v>Patrick Musau</v>
      </c>
      <c r="D696" s="15" t="s">
        <v>202</v>
      </c>
      <c r="E696" s="16" t="str">
        <f>IFERROR(_xlfn.XLOOKUP(D696, tblCourses[CourseID], tblCourses[CourseName], ""), "")</f>
        <v>Maintenance Procedures &amp; Standard Maintenance Practices (Refresher)</v>
      </c>
      <c r="F696" s="17">
        <v>45322</v>
      </c>
      <c r="G696" s="17" t="str" cm="1">
        <f t="array" ref="G6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6" s="15" t="str">
        <f ca="1">IF(OR(tblTraining[[#This Row],[Status]]="Renewed",tblTraining[[#This Row],[NextDueDate]]=""),"",tblTraining[[#This Row],[NextDueDate]]-TODAY())</f>
        <v/>
      </c>
      <c r="I696" s="15" t="str" cm="1">
        <f t="array" aca="1" ref="I6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7" spans="1:9" x14ac:dyDescent="0.25">
      <c r="A697" s="15">
        <f t="shared" si="10"/>
        <v>696</v>
      </c>
      <c r="B697" s="15" t="s">
        <v>87</v>
      </c>
      <c r="C697" s="15" t="str" cm="1">
        <f t="array" ref="C697">IFERROR(_xlfn.XLOOKUP(B697, tblPeople[PersonID], tblPeople[PersonName], ""), "")</f>
        <v>Sydney Sawe</v>
      </c>
      <c r="D697" s="15" t="s">
        <v>360</v>
      </c>
      <c r="E697" s="16" t="str">
        <f>IFERROR(_xlfn.XLOOKUP(D697, tblCourses[CourseID], tblCourses[CourseName], ""), "")</f>
        <v>Maintenance Procedures &amp; Standard Maintenance Practices (Initial)</v>
      </c>
      <c r="F697" s="17">
        <v>44706</v>
      </c>
      <c r="G697" s="17" t="str" cm="1">
        <f t="array" ref="G6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7" s="15" t="str">
        <f ca="1">IF(OR(tblTraining[[#This Row],[Status]]="Renewed",tblTraining[[#This Row],[NextDueDate]]=""),"",tblTraining[[#This Row],[NextDueDate]]-TODAY())</f>
        <v/>
      </c>
      <c r="I697" s="15" t="str" cm="1">
        <f t="array" aca="1" ref="I6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8" spans="1:9" x14ac:dyDescent="0.25">
      <c r="A698" s="15">
        <f t="shared" si="10"/>
        <v>697</v>
      </c>
      <c r="B698" s="15" t="s">
        <v>88</v>
      </c>
      <c r="C698" s="15" t="str" cm="1">
        <f t="array" ref="C698">IFERROR(_xlfn.XLOOKUP(B698, tblPeople[PersonID], tblPeople[PersonName], ""), "")</f>
        <v>Michael Njihia</v>
      </c>
      <c r="D698" s="15" t="s">
        <v>360</v>
      </c>
      <c r="E698" s="16" t="str">
        <f>IFERROR(_xlfn.XLOOKUP(D698, tblCourses[CourseID], tblCourses[CourseName], ""), "")</f>
        <v>Maintenance Procedures &amp; Standard Maintenance Practices (Initial)</v>
      </c>
      <c r="F698" s="17">
        <v>44706</v>
      </c>
      <c r="G698" s="17" t="str" cm="1">
        <f t="array" ref="G6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8" s="15" t="str">
        <f ca="1">IF(OR(tblTraining[[#This Row],[Status]]="Renewed",tblTraining[[#This Row],[NextDueDate]]=""),"",tblTraining[[#This Row],[NextDueDate]]-TODAY())</f>
        <v/>
      </c>
      <c r="I698" s="15" t="str" cm="1">
        <f t="array" aca="1" ref="I6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9" spans="1:9" x14ac:dyDescent="0.25">
      <c r="A699" s="15">
        <f t="shared" si="10"/>
        <v>698</v>
      </c>
      <c r="B699" s="15" t="s">
        <v>88</v>
      </c>
      <c r="C699" s="15" t="str" cm="1">
        <f t="array" ref="C699">IFERROR(_xlfn.XLOOKUP(B699, tblPeople[PersonID], tblPeople[PersonName], ""), "")</f>
        <v>Michael Njihia</v>
      </c>
      <c r="D699" s="15" t="s">
        <v>202</v>
      </c>
      <c r="E699" s="16" t="str">
        <f>IFERROR(_xlfn.XLOOKUP(D699, tblCourses[CourseID], tblCourses[CourseName], ""), "")</f>
        <v>Maintenance Procedures &amp; Standard Maintenance Practices (Refresher)</v>
      </c>
      <c r="F699" s="17">
        <v>44706</v>
      </c>
      <c r="G699" s="17" t="str" cm="1">
        <f t="array" ref="G6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9" s="15" t="str">
        <f ca="1">IF(OR(tblTraining[[#This Row],[Status]]="Renewed",tblTraining[[#This Row],[NextDueDate]]=""),"",tblTraining[[#This Row],[NextDueDate]]-TODAY())</f>
        <v/>
      </c>
      <c r="I699" s="15" t="str" cm="1">
        <f t="array" aca="1" ref="I6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0" spans="1:9" x14ac:dyDescent="0.25">
      <c r="A700" s="15">
        <f t="shared" si="10"/>
        <v>699</v>
      </c>
      <c r="B700" s="15" t="s">
        <v>101</v>
      </c>
      <c r="C700" s="15" t="str" cm="1">
        <f t="array" ref="C700">IFERROR(_xlfn.XLOOKUP(B700, tblPeople[PersonID], tblPeople[PersonName], ""), "")</f>
        <v>Paul Mzera</v>
      </c>
      <c r="D700" s="15" t="s">
        <v>360</v>
      </c>
      <c r="E700" s="16" t="str">
        <f>IFERROR(_xlfn.XLOOKUP(D700, tblCourses[CourseID], tblCourses[CourseName], ""), "")</f>
        <v>Maintenance Procedures &amp; Standard Maintenance Practices (Initial)</v>
      </c>
      <c r="F700" s="17">
        <v>44706</v>
      </c>
      <c r="G700" s="17" t="str" cm="1">
        <f t="array" ref="G7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0" s="15" t="str">
        <f ca="1">IF(OR(tblTraining[[#This Row],[Status]]="Renewed",tblTraining[[#This Row],[NextDueDate]]=""),"",tblTraining[[#This Row],[NextDueDate]]-TODAY())</f>
        <v/>
      </c>
      <c r="I700" s="15" t="str" cm="1">
        <f t="array" aca="1" ref="I7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1" spans="1:9" x14ac:dyDescent="0.25">
      <c r="A701" s="15">
        <f t="shared" si="10"/>
        <v>700</v>
      </c>
      <c r="B701" s="15" t="s">
        <v>101</v>
      </c>
      <c r="C701" s="15" t="str" cm="1">
        <f t="array" ref="C701">IFERROR(_xlfn.XLOOKUP(B701, tblPeople[PersonID], tblPeople[PersonName], ""), "")</f>
        <v>Paul Mzera</v>
      </c>
      <c r="D701" s="15" t="s">
        <v>202</v>
      </c>
      <c r="E701" s="16" t="str">
        <f>IFERROR(_xlfn.XLOOKUP(D701, tblCourses[CourseID], tblCourses[CourseName], ""), "")</f>
        <v>Maintenance Procedures &amp; Standard Maintenance Practices (Refresher)</v>
      </c>
      <c r="F701" s="17">
        <v>44706</v>
      </c>
      <c r="G701" s="17" t="str" cm="1">
        <f t="array" ref="G7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1" s="15" t="str">
        <f ca="1">IF(OR(tblTraining[[#This Row],[Status]]="Renewed",tblTraining[[#This Row],[NextDueDate]]=""),"",tblTraining[[#This Row],[NextDueDate]]-TODAY())</f>
        <v/>
      </c>
      <c r="I701" s="15" t="str" cm="1">
        <f t="array" aca="1" ref="I7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2" spans="1:9" x14ac:dyDescent="0.25">
      <c r="A702" s="15">
        <f t="shared" si="10"/>
        <v>701</v>
      </c>
      <c r="B702" s="15" t="s">
        <v>86</v>
      </c>
      <c r="C702" s="15" t="str" cm="1">
        <f t="array" ref="C702">IFERROR(_xlfn.XLOOKUP(B702, tblPeople[PersonID], tblPeople[PersonName], ""), "")</f>
        <v>Samuel Okoth</v>
      </c>
      <c r="D702" s="15" t="s">
        <v>360</v>
      </c>
      <c r="E702" s="16" t="str">
        <f>IFERROR(_xlfn.XLOOKUP(D702, tblCourses[CourseID], tblCourses[CourseName], ""), "")</f>
        <v>Maintenance Procedures &amp; Standard Maintenance Practices (Initial)</v>
      </c>
      <c r="F702" s="17">
        <v>44706</v>
      </c>
      <c r="G702" s="17" t="str" cm="1">
        <f t="array" ref="G7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2" s="15" t="str">
        <f ca="1">IF(OR(tblTraining[[#This Row],[Status]]="Renewed",tblTraining[[#This Row],[NextDueDate]]=""),"",tblTraining[[#This Row],[NextDueDate]]-TODAY())</f>
        <v/>
      </c>
      <c r="I702" s="15" t="str" cm="1">
        <f t="array" aca="1" ref="I7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3" spans="1:9" x14ac:dyDescent="0.25">
      <c r="A703" s="15">
        <f t="shared" si="10"/>
        <v>702</v>
      </c>
      <c r="B703" s="15" t="s">
        <v>86</v>
      </c>
      <c r="C703" s="15" t="str" cm="1">
        <f t="array" ref="C703">IFERROR(_xlfn.XLOOKUP(B703, tblPeople[PersonID], tblPeople[PersonName], ""), "")</f>
        <v>Samuel Okoth</v>
      </c>
      <c r="D703" s="15" t="s">
        <v>202</v>
      </c>
      <c r="E703" s="16" t="str">
        <f>IFERROR(_xlfn.XLOOKUP(D703, tblCourses[CourseID], tblCourses[CourseName], ""), "")</f>
        <v>Maintenance Procedures &amp; Standard Maintenance Practices (Refresher)</v>
      </c>
      <c r="F703" s="17">
        <v>44706</v>
      </c>
      <c r="G703" s="17" t="str" cm="1">
        <f t="array" ref="G7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3" s="15" t="str">
        <f ca="1">IF(OR(tblTraining[[#This Row],[Status]]="Renewed",tblTraining[[#This Row],[NextDueDate]]=""),"",tblTraining[[#This Row],[NextDueDate]]-TODAY())</f>
        <v/>
      </c>
      <c r="I703" s="15" t="str" cm="1">
        <f t="array" aca="1" ref="I7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4" spans="1:9" x14ac:dyDescent="0.25">
      <c r="A704" s="15">
        <f t="shared" si="10"/>
        <v>703</v>
      </c>
      <c r="B704" s="15" t="s">
        <v>156</v>
      </c>
      <c r="C704" s="15" t="str" cm="1">
        <f t="array" ref="C704">IFERROR(_xlfn.XLOOKUP(B704, tblPeople[PersonID], tblPeople[PersonName], ""), "")</f>
        <v>Urbanus Muema</v>
      </c>
      <c r="D704" s="15" t="s">
        <v>360</v>
      </c>
      <c r="E704" s="16" t="str">
        <f>IFERROR(_xlfn.XLOOKUP(D704, tblCourses[CourseID], tblCourses[CourseName], ""), "")</f>
        <v>Maintenance Procedures &amp; Standard Maintenance Practices (Initial)</v>
      </c>
      <c r="F704" s="17">
        <v>44706</v>
      </c>
      <c r="G704" s="17" t="str" cm="1">
        <f t="array" ref="G7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4" s="15" t="str">
        <f ca="1">IF(OR(tblTraining[[#This Row],[Status]]="Renewed",tblTraining[[#This Row],[NextDueDate]]=""),"",tblTraining[[#This Row],[NextDueDate]]-TODAY())</f>
        <v/>
      </c>
      <c r="I704" s="15" t="str" cm="1">
        <f t="array" aca="1" ref="I7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5" spans="1:9" x14ac:dyDescent="0.25">
      <c r="A705" s="15">
        <f t="shared" si="10"/>
        <v>704</v>
      </c>
      <c r="B705" s="15" t="s">
        <v>156</v>
      </c>
      <c r="C705" s="15" t="str" cm="1">
        <f t="array" ref="C705">IFERROR(_xlfn.XLOOKUP(B705, tblPeople[PersonID], tblPeople[PersonName], ""), "")</f>
        <v>Urbanus Muema</v>
      </c>
      <c r="D705" s="15" t="s">
        <v>202</v>
      </c>
      <c r="E705" s="16" t="str">
        <f>IFERROR(_xlfn.XLOOKUP(D705, tblCourses[CourseID], tblCourses[CourseName], ""), "")</f>
        <v>Maintenance Procedures &amp; Standard Maintenance Practices (Refresher)</v>
      </c>
      <c r="F705" s="17">
        <v>44706</v>
      </c>
      <c r="G705" s="17" t="str" cm="1">
        <f t="array" ref="G7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5" s="15" t="str">
        <f ca="1">IF(OR(tblTraining[[#This Row],[Status]]="Renewed",tblTraining[[#This Row],[NextDueDate]]=""),"",tblTraining[[#This Row],[NextDueDate]]-TODAY())</f>
        <v/>
      </c>
      <c r="I705" s="15" t="str" cm="1">
        <f t="array" aca="1" ref="I7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6" spans="1:9" x14ac:dyDescent="0.25">
      <c r="A706" s="15">
        <f t="shared" si="10"/>
        <v>705</v>
      </c>
      <c r="B706" s="15" t="s">
        <v>371</v>
      </c>
      <c r="C706" s="15" t="str" cm="1">
        <f t="array" ref="C706">IFERROR(_xlfn.XLOOKUP(B706, tblPeople[PersonID], tblPeople[PersonName], ""), "")</f>
        <v>Alex Avedi</v>
      </c>
      <c r="D706" s="15" t="s">
        <v>360</v>
      </c>
      <c r="E706" s="16" t="str">
        <f>IFERROR(_xlfn.XLOOKUP(D706, tblCourses[CourseID], tblCourses[CourseName], ""), "")</f>
        <v>Maintenance Procedures &amp; Standard Maintenance Practices (Initial)</v>
      </c>
      <c r="F706" s="17">
        <v>45229</v>
      </c>
      <c r="G706" s="17" t="str" cm="1">
        <f t="array" ref="G7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6" s="15" t="str">
        <f ca="1">IF(OR(tblTraining[[#This Row],[Status]]="Renewed",tblTraining[[#This Row],[NextDueDate]]=""),"",tblTraining[[#This Row],[NextDueDate]]-TODAY())</f>
        <v/>
      </c>
      <c r="I706" s="15" t="str" cm="1">
        <f t="array" aca="1" ref="I7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7" spans="1:9" x14ac:dyDescent="0.25">
      <c r="A707" s="15">
        <f t="shared" si="10"/>
        <v>706</v>
      </c>
      <c r="B707" s="15" t="s">
        <v>371</v>
      </c>
      <c r="C707" s="15" t="str" cm="1">
        <f t="array" ref="C707">IFERROR(_xlfn.XLOOKUP(B707, tblPeople[PersonID], tblPeople[PersonName], ""), "")</f>
        <v>Alex Avedi</v>
      </c>
      <c r="D707" s="15" t="s">
        <v>202</v>
      </c>
      <c r="E707" s="16" t="str">
        <f>IFERROR(_xlfn.XLOOKUP(D707, tblCourses[CourseID], tblCourses[CourseName], ""), "")</f>
        <v>Maintenance Procedures &amp; Standard Maintenance Practices (Refresher)</v>
      </c>
      <c r="F707" s="17">
        <v>45229</v>
      </c>
      <c r="G707" s="17" t="str" cm="1">
        <f t="array" ref="G7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7" s="15" t="str">
        <f ca="1">IF(OR(tblTraining[[#This Row],[Status]]="Renewed",tblTraining[[#This Row],[NextDueDate]]=""),"",tblTraining[[#This Row],[NextDueDate]]-TODAY())</f>
        <v/>
      </c>
      <c r="I707" s="15" t="str" cm="1">
        <f t="array" aca="1" ref="I7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8" spans="1:9" x14ac:dyDescent="0.25">
      <c r="A708" s="15">
        <f t="shared" ref="A708:A771" si="11">A707+1</f>
        <v>707</v>
      </c>
      <c r="B708" s="15" t="s">
        <v>371</v>
      </c>
      <c r="C708" s="15" t="str" cm="1">
        <f t="array" ref="C708">IFERROR(_xlfn.XLOOKUP(B708, tblPeople[PersonID], tblPeople[PersonName], ""), "")</f>
        <v>Alex Avedi</v>
      </c>
      <c r="D708" s="15" t="s">
        <v>126</v>
      </c>
      <c r="E708" s="16" t="str">
        <f>IFERROR(_xlfn.XLOOKUP(D708, tblCourses[CourseID], tblCourses[CourseName], ""), "")</f>
        <v>Maintenance Indoctrination</v>
      </c>
      <c r="F708" s="17">
        <v>45229</v>
      </c>
      <c r="G708" s="17" t="str" cm="1">
        <f t="array" ref="G7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8" s="15" t="str">
        <f ca="1">IF(OR(tblTraining[[#This Row],[Status]]="Renewed",tblTraining[[#This Row],[NextDueDate]]=""),"",tblTraining[[#This Row],[NextDueDate]]-TODAY())</f>
        <v/>
      </c>
      <c r="I708" s="15" t="str" cm="1">
        <f t="array" aca="1" ref="I7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9" spans="1:9" x14ac:dyDescent="0.25">
      <c r="A709" s="15">
        <f t="shared" si="11"/>
        <v>708</v>
      </c>
      <c r="B709" s="15" t="s">
        <v>112</v>
      </c>
      <c r="C709" s="15" t="str" cm="1">
        <f t="array" ref="C709">IFERROR(_xlfn.XLOOKUP(B709, tblPeople[PersonID], tblPeople[PersonName], ""), "")</f>
        <v>Patrick Mwangi</v>
      </c>
      <c r="D709" s="15" t="s">
        <v>360</v>
      </c>
      <c r="E709" s="16" t="str">
        <f>IFERROR(_xlfn.XLOOKUP(D709, tblCourses[CourseID], tblCourses[CourseName], ""), "")</f>
        <v>Maintenance Procedures &amp; Standard Maintenance Practices (Initial)</v>
      </c>
      <c r="F709" s="17">
        <v>45344</v>
      </c>
      <c r="G709" s="17" t="str" cm="1">
        <f t="array" ref="G7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9" s="15" t="str">
        <f ca="1">IF(OR(tblTraining[[#This Row],[Status]]="Renewed",tblTraining[[#This Row],[NextDueDate]]=""),"",tblTraining[[#This Row],[NextDueDate]]-TODAY())</f>
        <v/>
      </c>
      <c r="I709" s="15" t="str" cm="1">
        <f t="array" aca="1" ref="I7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0" spans="1:9" x14ac:dyDescent="0.25">
      <c r="A710" s="15">
        <f t="shared" si="11"/>
        <v>709</v>
      </c>
      <c r="B710" s="15" t="s">
        <v>112</v>
      </c>
      <c r="C710" s="15" t="str" cm="1">
        <f t="array" ref="C710">IFERROR(_xlfn.XLOOKUP(B710, tblPeople[PersonID], tblPeople[PersonName], ""), "")</f>
        <v>Patrick Mwangi</v>
      </c>
      <c r="D710" s="15" t="s">
        <v>202</v>
      </c>
      <c r="E710" s="16" t="str">
        <f>IFERROR(_xlfn.XLOOKUP(D710, tblCourses[CourseID], tblCourses[CourseName], ""), "")</f>
        <v>Maintenance Procedures &amp; Standard Maintenance Practices (Refresher)</v>
      </c>
      <c r="F710" s="17">
        <v>45344</v>
      </c>
      <c r="G710" s="17" t="str" cm="1">
        <f t="array" ref="G7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0" s="15" t="str">
        <f ca="1">IF(OR(tblTraining[[#This Row],[Status]]="Renewed",tblTraining[[#This Row],[NextDueDate]]=""),"",tblTraining[[#This Row],[NextDueDate]]-TODAY())</f>
        <v/>
      </c>
      <c r="I710" s="15" t="str" cm="1">
        <f t="array" aca="1" ref="I7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11" spans="1:9" x14ac:dyDescent="0.25">
      <c r="A711" s="15">
        <f t="shared" si="11"/>
        <v>710</v>
      </c>
      <c r="B711" s="15" t="s">
        <v>94</v>
      </c>
      <c r="C711" s="15" t="str" cm="1">
        <f t="array" ref="C711">IFERROR(_xlfn.XLOOKUP(B711, tblPeople[PersonID], tblPeople[PersonName], ""), "")</f>
        <v>Moses Musyoka</v>
      </c>
      <c r="D711" s="15" t="s">
        <v>360</v>
      </c>
      <c r="E711" s="16" t="str">
        <f>IFERROR(_xlfn.XLOOKUP(D711, tblCourses[CourseID], tblCourses[CourseName], ""), "")</f>
        <v>Maintenance Procedures &amp; Standard Maintenance Practices (Initial)</v>
      </c>
      <c r="F711" s="17">
        <v>45344</v>
      </c>
      <c r="G711" s="17" t="str" cm="1">
        <f t="array" ref="G7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1" s="15" t="str">
        <f ca="1">IF(OR(tblTraining[[#This Row],[Status]]="Renewed",tblTraining[[#This Row],[NextDueDate]]=""),"",tblTraining[[#This Row],[NextDueDate]]-TODAY())</f>
        <v/>
      </c>
      <c r="I711" s="15" t="str" cm="1">
        <f t="array" aca="1" ref="I7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2" spans="1:9" x14ac:dyDescent="0.25">
      <c r="A712" s="15">
        <f t="shared" si="11"/>
        <v>711</v>
      </c>
      <c r="B712" s="15" t="s">
        <v>94</v>
      </c>
      <c r="C712" s="15" t="str" cm="1">
        <f t="array" ref="C712">IFERROR(_xlfn.XLOOKUP(B712, tblPeople[PersonID], tblPeople[PersonName], ""), "")</f>
        <v>Moses Musyoka</v>
      </c>
      <c r="D712" s="15" t="s">
        <v>202</v>
      </c>
      <c r="E712" s="16" t="str">
        <f>IFERROR(_xlfn.XLOOKUP(D712, tblCourses[CourseID], tblCourses[CourseName], ""), "")</f>
        <v>Maintenance Procedures &amp; Standard Maintenance Practices (Refresher)</v>
      </c>
      <c r="F712" s="17">
        <v>45344</v>
      </c>
      <c r="G712" s="17" t="str" cm="1">
        <f t="array" ref="G7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2" s="15" t="str">
        <f ca="1">IF(OR(tblTraining[[#This Row],[Status]]="Renewed",tblTraining[[#This Row],[NextDueDate]]=""),"",tblTraining[[#This Row],[NextDueDate]]-TODAY())</f>
        <v/>
      </c>
      <c r="I712" s="15" t="str" cm="1">
        <f t="array" aca="1" ref="I7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13" spans="1:9" x14ac:dyDescent="0.25">
      <c r="A713" s="15">
        <f t="shared" si="11"/>
        <v>712</v>
      </c>
      <c r="B713" s="15" t="s">
        <v>153</v>
      </c>
      <c r="C713" s="15" t="str" cm="1">
        <f t="array" ref="C713">IFERROR(_xlfn.XLOOKUP(B713, tblPeople[PersonID], tblPeople[PersonName], ""), "")</f>
        <v>Majid Mohamed</v>
      </c>
      <c r="D713" s="15" t="s">
        <v>360</v>
      </c>
      <c r="E713" s="16" t="str">
        <f>IFERROR(_xlfn.XLOOKUP(D713, tblCourses[CourseID], tblCourses[CourseName], ""), "")</f>
        <v>Maintenance Procedures &amp; Standard Maintenance Practices (Initial)</v>
      </c>
      <c r="F713" s="17">
        <v>45344</v>
      </c>
      <c r="G713" s="17" t="str" cm="1">
        <f t="array" ref="G7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3" s="15" t="str">
        <f ca="1">IF(OR(tblTraining[[#This Row],[Status]]="Renewed",tblTraining[[#This Row],[NextDueDate]]=""),"",tblTraining[[#This Row],[NextDueDate]]-TODAY())</f>
        <v/>
      </c>
      <c r="I713" s="15" t="str" cm="1">
        <f t="array" aca="1" ref="I7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4" spans="1:9" x14ac:dyDescent="0.25">
      <c r="A714" s="15">
        <f t="shared" si="11"/>
        <v>713</v>
      </c>
      <c r="B714" s="15" t="s">
        <v>153</v>
      </c>
      <c r="C714" s="15" t="str" cm="1">
        <f t="array" ref="C714">IFERROR(_xlfn.XLOOKUP(B714, tblPeople[PersonID], tblPeople[PersonName], ""), "")</f>
        <v>Majid Mohamed</v>
      </c>
      <c r="D714" s="15" t="s">
        <v>126</v>
      </c>
      <c r="E714" s="16" t="str">
        <f>IFERROR(_xlfn.XLOOKUP(D714, tblCourses[CourseID], tblCourses[CourseName], ""), "")</f>
        <v>Maintenance Indoctrination</v>
      </c>
      <c r="F714" s="17">
        <v>45292</v>
      </c>
      <c r="G714" s="17" t="str" cm="1">
        <f t="array" ref="G7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4" s="15" t="str">
        <f ca="1">IF(OR(tblTraining[[#This Row],[Status]]="Renewed",tblTraining[[#This Row],[NextDueDate]]=""),"",tblTraining[[#This Row],[NextDueDate]]-TODAY())</f>
        <v/>
      </c>
      <c r="I714" s="15" t="str" cm="1">
        <f t="array" aca="1" ref="I7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5" spans="1:9" x14ac:dyDescent="0.25">
      <c r="A715" s="15">
        <f t="shared" si="11"/>
        <v>714</v>
      </c>
      <c r="B715" s="15" t="s">
        <v>150</v>
      </c>
      <c r="C715" s="15" t="str" cm="1">
        <f t="array" ref="C715">IFERROR(_xlfn.XLOOKUP(B715, tblPeople[PersonID], tblPeople[PersonName], ""), "")</f>
        <v>Kea Kazungu</v>
      </c>
      <c r="D715" s="15" t="s">
        <v>360</v>
      </c>
      <c r="E715" s="16" t="str">
        <f>IFERROR(_xlfn.XLOOKUP(D715, tblCourses[CourseID], tblCourses[CourseName], ""), "")</f>
        <v>Maintenance Procedures &amp; Standard Maintenance Practices (Initial)</v>
      </c>
      <c r="F715" s="17">
        <v>43444</v>
      </c>
      <c r="G715" s="17" t="str" cm="1">
        <f t="array" ref="G7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5" s="15" t="str">
        <f ca="1">IF(OR(tblTraining[[#This Row],[Status]]="Renewed",tblTraining[[#This Row],[NextDueDate]]=""),"",tblTraining[[#This Row],[NextDueDate]]-TODAY())</f>
        <v/>
      </c>
      <c r="I715" s="15" t="str" cm="1">
        <f t="array" aca="1" ref="I7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6" spans="1:9" x14ac:dyDescent="0.25">
      <c r="A716" s="15">
        <f t="shared" si="11"/>
        <v>715</v>
      </c>
      <c r="B716" s="15" t="s">
        <v>150</v>
      </c>
      <c r="C716" s="15" t="str" cm="1">
        <f t="array" ref="C716">IFERROR(_xlfn.XLOOKUP(B716, tblPeople[PersonID], tblPeople[PersonName], ""), "")</f>
        <v>Kea Kazungu</v>
      </c>
      <c r="D716" s="15" t="s">
        <v>202</v>
      </c>
      <c r="E716" s="16" t="str">
        <f>IFERROR(_xlfn.XLOOKUP(D716, tblCourses[CourseID], tblCourses[CourseName], ""), "")</f>
        <v>Maintenance Procedures &amp; Standard Maintenance Practices (Refresher)</v>
      </c>
      <c r="F716" s="17">
        <v>45322</v>
      </c>
      <c r="G716" s="17" t="str" cm="1">
        <f t="array" ref="G7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6" s="15" t="str">
        <f ca="1">IF(OR(tblTraining[[#This Row],[Status]]="Renewed",tblTraining[[#This Row],[NextDueDate]]=""),"",tblTraining[[#This Row],[NextDueDate]]-TODAY())</f>
        <v/>
      </c>
      <c r="I716" s="15" t="str" cm="1">
        <f t="array" aca="1" ref="I7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17" spans="1:9" x14ac:dyDescent="0.25">
      <c r="A717" s="15">
        <f t="shared" si="11"/>
        <v>716</v>
      </c>
      <c r="B717" s="15" t="s">
        <v>154</v>
      </c>
      <c r="C717" s="15" t="str" cm="1">
        <f t="array" ref="C717">IFERROR(_xlfn.XLOOKUP(B717, tblPeople[PersonID], tblPeople[PersonName], ""), "")</f>
        <v>Judith Wandera</v>
      </c>
      <c r="D717" s="15" t="s">
        <v>360</v>
      </c>
      <c r="E717" s="16" t="str">
        <f>IFERROR(_xlfn.XLOOKUP(D717, tblCourses[CourseID], tblCourses[CourseName], ""), "")</f>
        <v>Maintenance Procedures &amp; Standard Maintenance Practices (Initial)</v>
      </c>
      <c r="F717" s="17">
        <v>45146</v>
      </c>
      <c r="G717" s="17" t="str" cm="1">
        <f t="array" ref="G7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7" s="15" t="str">
        <f ca="1">IF(OR(tblTraining[[#This Row],[Status]]="Renewed",tblTraining[[#This Row],[NextDueDate]]=""),"",tblTraining[[#This Row],[NextDueDate]]-TODAY())</f>
        <v/>
      </c>
      <c r="I717" s="15" t="str" cm="1">
        <f t="array" aca="1" ref="I7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8" spans="1:9" x14ac:dyDescent="0.25">
      <c r="A718" s="15">
        <f t="shared" si="11"/>
        <v>717</v>
      </c>
      <c r="B718" s="15" t="s">
        <v>154</v>
      </c>
      <c r="C718" s="15" t="str" cm="1">
        <f t="array" ref="C718">IFERROR(_xlfn.XLOOKUP(B718, tblPeople[PersonID], tblPeople[PersonName], ""), "")</f>
        <v>Judith Wandera</v>
      </c>
      <c r="D718" s="15" t="s">
        <v>202</v>
      </c>
      <c r="E718" s="16" t="str">
        <f>IFERROR(_xlfn.XLOOKUP(D718, tblCourses[CourseID], tblCourses[CourseName], ""), "")</f>
        <v>Maintenance Procedures &amp; Standard Maintenance Practices (Refresher)</v>
      </c>
      <c r="F718" s="17">
        <v>45146</v>
      </c>
      <c r="G718" s="17" t="str" cm="1">
        <f t="array" ref="G7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8" s="15" t="str">
        <f ca="1">IF(OR(tblTraining[[#This Row],[Status]]="Renewed",tblTraining[[#This Row],[NextDueDate]]=""),"",tblTraining[[#This Row],[NextDueDate]]-TODAY())</f>
        <v/>
      </c>
      <c r="I718" s="15" t="str" cm="1">
        <f t="array" aca="1" ref="I7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19" spans="1:9" x14ac:dyDescent="0.25">
      <c r="A719" s="15">
        <f t="shared" si="11"/>
        <v>718</v>
      </c>
      <c r="B719" s="15" t="s">
        <v>89</v>
      </c>
      <c r="C719" s="15" t="str" cm="1">
        <f t="array" ref="C719">IFERROR(_xlfn.XLOOKUP(B719, tblPeople[PersonID], tblPeople[PersonName], ""), "")</f>
        <v>Elina Guda</v>
      </c>
      <c r="D719" s="15" t="s">
        <v>360</v>
      </c>
      <c r="E719" s="16" t="str">
        <f>IFERROR(_xlfn.XLOOKUP(D719, tblCourses[CourseID], tblCourses[CourseName], ""), "")</f>
        <v>Maintenance Procedures &amp; Standard Maintenance Practices (Initial)</v>
      </c>
      <c r="F719" s="17">
        <v>44696</v>
      </c>
      <c r="G719" s="17" t="str" cm="1">
        <f t="array" ref="G7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9" s="15" t="str">
        <f ca="1">IF(OR(tblTraining[[#This Row],[Status]]="Renewed",tblTraining[[#This Row],[NextDueDate]]=""),"",tblTraining[[#This Row],[NextDueDate]]-TODAY())</f>
        <v/>
      </c>
      <c r="I719" s="15" t="str" cm="1">
        <f t="array" aca="1" ref="I7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0" spans="1:9" x14ac:dyDescent="0.25">
      <c r="A720" s="15">
        <f t="shared" si="11"/>
        <v>719</v>
      </c>
      <c r="B720" s="15" t="s">
        <v>89</v>
      </c>
      <c r="C720" s="15" t="str" cm="1">
        <f t="array" ref="C720">IFERROR(_xlfn.XLOOKUP(B720, tblPeople[PersonID], tblPeople[PersonName], ""), "")</f>
        <v>Elina Guda</v>
      </c>
      <c r="D720" s="15" t="s">
        <v>202</v>
      </c>
      <c r="E720" s="16" t="str">
        <f>IFERROR(_xlfn.XLOOKUP(D720, tblCourses[CourseID], tblCourses[CourseName], ""), "")</f>
        <v>Maintenance Procedures &amp; Standard Maintenance Practices (Refresher)</v>
      </c>
      <c r="F720" s="17">
        <v>44696</v>
      </c>
      <c r="G720" s="17" t="str" cm="1">
        <f t="array" ref="G7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0" s="15" t="str">
        <f ca="1">IF(OR(tblTraining[[#This Row],[Status]]="Renewed",tblTraining[[#This Row],[NextDueDate]]=""),"",tblTraining[[#This Row],[NextDueDate]]-TODAY())</f>
        <v/>
      </c>
      <c r="I720" s="15" t="str" cm="1">
        <f t="array" aca="1" ref="I7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21" spans="1:9" x14ac:dyDescent="0.25">
      <c r="A721" s="15">
        <f t="shared" si="11"/>
        <v>720</v>
      </c>
      <c r="B721" s="15" t="s">
        <v>91</v>
      </c>
      <c r="C721" s="15" t="str" cm="1">
        <f t="array" ref="C721">IFERROR(_xlfn.XLOOKUP(B721, tblPeople[PersonID], tblPeople[PersonName], ""), "")</f>
        <v>Dunstan Kwalanda</v>
      </c>
      <c r="D721" s="15" t="s">
        <v>360</v>
      </c>
      <c r="E721" s="16" t="str">
        <f>IFERROR(_xlfn.XLOOKUP(D721, tblCourses[CourseID], tblCourses[CourseName], ""), "")</f>
        <v>Maintenance Procedures &amp; Standard Maintenance Practices (Initial)</v>
      </c>
      <c r="F721" s="17">
        <v>45146</v>
      </c>
      <c r="G721" s="17" t="str" cm="1">
        <f t="array" ref="G7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1" s="15" t="str">
        <f ca="1">IF(OR(tblTraining[[#This Row],[Status]]="Renewed",tblTraining[[#This Row],[NextDueDate]]=""),"",tblTraining[[#This Row],[NextDueDate]]-TODAY())</f>
        <v/>
      </c>
      <c r="I721" s="15" t="str" cm="1">
        <f t="array" aca="1" ref="I7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2" spans="1:9" x14ac:dyDescent="0.25">
      <c r="A722" s="15">
        <f t="shared" si="11"/>
        <v>721</v>
      </c>
      <c r="B722" s="15" t="s">
        <v>91</v>
      </c>
      <c r="C722" s="15" t="str" cm="1">
        <f t="array" ref="C722">IFERROR(_xlfn.XLOOKUP(B722, tblPeople[PersonID], tblPeople[PersonName], ""), "")</f>
        <v>Dunstan Kwalanda</v>
      </c>
      <c r="D722" s="15" t="s">
        <v>202</v>
      </c>
      <c r="E722" s="16" t="str">
        <f>IFERROR(_xlfn.XLOOKUP(D722, tblCourses[CourseID], tblCourses[CourseName], ""), "")</f>
        <v>Maintenance Procedures &amp; Standard Maintenance Practices (Refresher)</v>
      </c>
      <c r="F722" s="17">
        <v>45146</v>
      </c>
      <c r="G722" s="17" t="str" cm="1">
        <f t="array" ref="G7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2" s="15" t="str">
        <f ca="1">IF(OR(tblTraining[[#This Row],[Status]]="Renewed",tblTraining[[#This Row],[NextDueDate]]=""),"",tblTraining[[#This Row],[NextDueDate]]-TODAY())</f>
        <v/>
      </c>
      <c r="I722" s="15" t="str" cm="1">
        <f t="array" aca="1" ref="I7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23" spans="1:9" x14ac:dyDescent="0.25">
      <c r="A723" s="15">
        <f t="shared" si="11"/>
        <v>722</v>
      </c>
      <c r="B723" s="15" t="s">
        <v>81</v>
      </c>
      <c r="C723" s="15" t="str" cm="1">
        <f t="array" ref="C723">IFERROR(_xlfn.XLOOKUP(B723, tblPeople[PersonID], tblPeople[PersonName], ""), "")</f>
        <v>Gideon Mwasio</v>
      </c>
      <c r="D723" s="15" t="s">
        <v>360</v>
      </c>
      <c r="E723" s="16" t="str">
        <f>IFERROR(_xlfn.XLOOKUP(D723, tblCourses[CourseID], tblCourses[CourseName], ""), "")</f>
        <v>Maintenance Procedures &amp; Standard Maintenance Practices (Initial)</v>
      </c>
      <c r="F723" s="17">
        <v>45146</v>
      </c>
      <c r="G723" s="17" t="str" cm="1">
        <f t="array" ref="G7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3" s="15" t="str">
        <f ca="1">IF(OR(tblTraining[[#This Row],[Status]]="Renewed",tblTraining[[#This Row],[NextDueDate]]=""),"",tblTraining[[#This Row],[NextDueDate]]-TODAY())</f>
        <v/>
      </c>
      <c r="I723" s="15" t="str" cm="1">
        <f t="array" aca="1" ref="I7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4" spans="1:9" x14ac:dyDescent="0.25">
      <c r="A724" s="15">
        <f t="shared" si="11"/>
        <v>723</v>
      </c>
      <c r="B724" s="15" t="s">
        <v>81</v>
      </c>
      <c r="C724" s="15" t="str" cm="1">
        <f t="array" ref="C724">IFERROR(_xlfn.XLOOKUP(B724, tblPeople[PersonID], tblPeople[PersonName], ""), "")</f>
        <v>Gideon Mwasio</v>
      </c>
      <c r="D724" s="15" t="s">
        <v>202</v>
      </c>
      <c r="E724" s="16" t="str">
        <f>IFERROR(_xlfn.XLOOKUP(D724, tblCourses[CourseID], tblCourses[CourseName], ""), "")</f>
        <v>Maintenance Procedures &amp; Standard Maintenance Practices (Refresher)</v>
      </c>
      <c r="F724" s="17">
        <v>45146</v>
      </c>
      <c r="G724" s="17" t="str" cm="1">
        <f t="array" ref="G7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4" s="15" t="str">
        <f ca="1">IF(OR(tblTraining[[#This Row],[Status]]="Renewed",tblTraining[[#This Row],[NextDueDate]]=""),"",tblTraining[[#This Row],[NextDueDate]]-TODAY())</f>
        <v/>
      </c>
      <c r="I724" s="15" t="str" cm="1">
        <f t="array" aca="1" ref="I7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25" spans="1:9" x14ac:dyDescent="0.25">
      <c r="A725" s="15">
        <f t="shared" si="11"/>
        <v>724</v>
      </c>
      <c r="B725" s="15" t="s">
        <v>118</v>
      </c>
      <c r="C725" s="15" t="str" cm="1">
        <f t="array" ref="C725">IFERROR(_xlfn.XLOOKUP(B725, tblPeople[PersonID], tblPeople[PersonName], ""), "")</f>
        <v>Michael Olunga</v>
      </c>
      <c r="D725" s="15" t="s">
        <v>360</v>
      </c>
      <c r="E725" s="16" t="str">
        <f>IFERROR(_xlfn.XLOOKUP(D725, tblCourses[CourseID], tblCourses[CourseName], ""), "")</f>
        <v>Maintenance Procedures &amp; Standard Maintenance Practices (Initial)</v>
      </c>
      <c r="F725" s="17">
        <v>43606</v>
      </c>
      <c r="G725" s="17" t="str" cm="1">
        <f t="array" ref="G7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5" s="15" t="str">
        <f ca="1">IF(OR(tblTraining[[#This Row],[Status]]="Renewed",tblTraining[[#This Row],[NextDueDate]]=""),"",tblTraining[[#This Row],[NextDueDate]]-TODAY())</f>
        <v/>
      </c>
      <c r="I725" s="15" t="str" cm="1">
        <f t="array" aca="1" ref="I7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6" spans="1:9" x14ac:dyDescent="0.25">
      <c r="A726" s="15">
        <f t="shared" si="11"/>
        <v>725</v>
      </c>
      <c r="B726" s="15" t="s">
        <v>118</v>
      </c>
      <c r="C726" s="15" t="str" cm="1">
        <f t="array" ref="C726">IFERROR(_xlfn.XLOOKUP(B726, tblPeople[PersonID], tblPeople[PersonName], ""), "")</f>
        <v>Michael Olunga</v>
      </c>
      <c r="D726" s="15" t="s">
        <v>202</v>
      </c>
      <c r="E726" s="16" t="str">
        <f>IFERROR(_xlfn.XLOOKUP(D726, tblCourses[CourseID], tblCourses[CourseName], ""), "")</f>
        <v>Maintenance Procedures &amp; Standard Maintenance Practices (Refresher)</v>
      </c>
      <c r="F726" s="17">
        <v>45328</v>
      </c>
      <c r="G726" s="17" t="str" cm="1">
        <f t="array" ref="G7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6" s="15" t="str">
        <f ca="1">IF(OR(tblTraining[[#This Row],[Status]]="Renewed",tblTraining[[#This Row],[NextDueDate]]=""),"",tblTraining[[#This Row],[NextDueDate]]-TODAY())</f>
        <v/>
      </c>
      <c r="I726" s="15" t="str" cm="1">
        <f t="array" aca="1" ref="I7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27" spans="1:9" x14ac:dyDescent="0.25">
      <c r="A727" s="15">
        <f t="shared" si="11"/>
        <v>726</v>
      </c>
      <c r="B727" s="15" t="s">
        <v>92</v>
      </c>
      <c r="C727" s="15" t="str" cm="1">
        <f t="array" ref="C727">IFERROR(_xlfn.XLOOKUP(B727, tblPeople[PersonID], tblPeople[PersonName], ""), "")</f>
        <v>Reuben Otieno</v>
      </c>
      <c r="D727" s="15" t="s">
        <v>360</v>
      </c>
      <c r="E727" s="16" t="str">
        <f>IFERROR(_xlfn.XLOOKUP(D727, tblCourses[CourseID], tblCourses[CourseName], ""), "")</f>
        <v>Maintenance Procedures &amp; Standard Maintenance Practices (Initial)</v>
      </c>
      <c r="F727" s="17">
        <v>45146</v>
      </c>
      <c r="G727" s="17" t="str" cm="1">
        <f t="array" ref="G7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7" s="15" t="str">
        <f ca="1">IF(OR(tblTraining[[#This Row],[Status]]="Renewed",tblTraining[[#This Row],[NextDueDate]]=""),"",tblTraining[[#This Row],[NextDueDate]]-TODAY())</f>
        <v/>
      </c>
      <c r="I727" s="15" t="str" cm="1">
        <f t="array" aca="1" ref="I7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8" spans="1:9" x14ac:dyDescent="0.25">
      <c r="A728" s="15">
        <f t="shared" si="11"/>
        <v>727</v>
      </c>
      <c r="B728" s="15" t="s">
        <v>92</v>
      </c>
      <c r="C728" s="15" t="str" cm="1">
        <f t="array" ref="C728">IFERROR(_xlfn.XLOOKUP(B728, tblPeople[PersonID], tblPeople[PersonName], ""), "")</f>
        <v>Reuben Otieno</v>
      </c>
      <c r="D728" s="15" t="s">
        <v>202</v>
      </c>
      <c r="E728" s="16" t="str">
        <f>IFERROR(_xlfn.XLOOKUP(D728, tblCourses[CourseID], tblCourses[CourseName], ""), "")</f>
        <v>Maintenance Procedures &amp; Standard Maintenance Practices (Refresher)</v>
      </c>
      <c r="F728" s="17">
        <v>45146</v>
      </c>
      <c r="G728" s="17" t="str" cm="1">
        <f t="array" ref="G7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8" s="15" t="str">
        <f ca="1">IF(OR(tblTraining[[#This Row],[Status]]="Renewed",tblTraining[[#This Row],[NextDueDate]]=""),"",tblTraining[[#This Row],[NextDueDate]]-TODAY())</f>
        <v/>
      </c>
      <c r="I728" s="15" t="str" cm="1">
        <f t="array" aca="1" ref="I7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29" spans="1:9" x14ac:dyDescent="0.25">
      <c r="A729" s="15">
        <f t="shared" si="11"/>
        <v>728</v>
      </c>
      <c r="B729" s="15" t="s">
        <v>93</v>
      </c>
      <c r="C729" s="15" t="str" cm="1">
        <f t="array" ref="C729">IFERROR(_xlfn.XLOOKUP(B729, tblPeople[PersonID], tblPeople[PersonName], ""), "")</f>
        <v>Stephen Tunje</v>
      </c>
      <c r="D729" s="15" t="s">
        <v>360</v>
      </c>
      <c r="E729" s="16" t="str">
        <f>IFERROR(_xlfn.XLOOKUP(D729, tblCourses[CourseID], tblCourses[CourseName], ""), "")</f>
        <v>Maintenance Procedures &amp; Standard Maintenance Practices (Initial)</v>
      </c>
      <c r="F729" s="17">
        <v>45146</v>
      </c>
      <c r="G729" s="17" t="str" cm="1">
        <f t="array" ref="G7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9" s="15" t="str">
        <f ca="1">IF(OR(tblTraining[[#This Row],[Status]]="Renewed",tblTraining[[#This Row],[NextDueDate]]=""),"",tblTraining[[#This Row],[NextDueDate]]-TODAY())</f>
        <v/>
      </c>
      <c r="I729" s="15" t="str" cm="1">
        <f t="array" aca="1" ref="I7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0" spans="1:9" x14ac:dyDescent="0.25">
      <c r="A730" s="15">
        <f t="shared" si="11"/>
        <v>729</v>
      </c>
      <c r="B730" s="15" t="s">
        <v>93</v>
      </c>
      <c r="C730" s="15" t="str" cm="1">
        <f t="array" ref="C730">IFERROR(_xlfn.XLOOKUP(B730, tblPeople[PersonID], tblPeople[PersonName], ""), "")</f>
        <v>Stephen Tunje</v>
      </c>
      <c r="D730" s="15" t="s">
        <v>202</v>
      </c>
      <c r="E730" s="16" t="str">
        <f>IFERROR(_xlfn.XLOOKUP(D730, tblCourses[CourseID], tblCourses[CourseName], ""), "")</f>
        <v>Maintenance Procedures &amp; Standard Maintenance Practices (Refresher)</v>
      </c>
      <c r="F730" s="17">
        <v>45146</v>
      </c>
      <c r="G730" s="17" t="str" cm="1">
        <f t="array" ref="G7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0" s="15" t="str">
        <f ca="1">IF(OR(tblTraining[[#This Row],[Status]]="Renewed",tblTraining[[#This Row],[NextDueDate]]=""),"",tblTraining[[#This Row],[NextDueDate]]-TODAY())</f>
        <v/>
      </c>
      <c r="I730" s="15" t="str" cm="1">
        <f t="array" aca="1" ref="I7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31" spans="1:9" x14ac:dyDescent="0.25">
      <c r="A731" s="15">
        <f t="shared" si="11"/>
        <v>730</v>
      </c>
      <c r="B731" s="15" t="s">
        <v>215</v>
      </c>
      <c r="C731" s="15" t="str" cm="1">
        <f t="array" ref="C731">IFERROR(_xlfn.XLOOKUP(B731, tblPeople[PersonID], tblPeople[PersonName], ""), "")</f>
        <v>Samuel Wacho</v>
      </c>
      <c r="D731" s="15" t="s">
        <v>360</v>
      </c>
      <c r="E731" s="16" t="str">
        <f>IFERROR(_xlfn.XLOOKUP(D731, tblCourses[CourseID], tblCourses[CourseName], ""), "")</f>
        <v>Maintenance Procedures &amp; Standard Maintenance Practices (Initial)</v>
      </c>
      <c r="F731" s="17">
        <v>45785</v>
      </c>
      <c r="G731" s="17" t="str" cm="1">
        <f t="array" ref="G7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1" s="15" t="str">
        <f ca="1">IF(OR(tblTraining[[#This Row],[Status]]="Renewed",tblTraining[[#This Row],[NextDueDate]]=""),"",tblTraining[[#This Row],[NextDueDate]]-TODAY())</f>
        <v/>
      </c>
      <c r="I731" s="15" t="str" cm="1">
        <f t="array" aca="1" ref="I7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2" spans="1:9" x14ac:dyDescent="0.25">
      <c r="A732" s="15">
        <f t="shared" si="11"/>
        <v>731</v>
      </c>
      <c r="B732" s="15" t="s">
        <v>215</v>
      </c>
      <c r="C732" s="15" t="str" cm="1">
        <f t="array" ref="C732">IFERROR(_xlfn.XLOOKUP(B732, tblPeople[PersonID], tblPeople[PersonName], ""), "")</f>
        <v>Samuel Wacho</v>
      </c>
      <c r="D732" s="15" t="s">
        <v>202</v>
      </c>
      <c r="E732" s="16" t="str">
        <f>IFERROR(_xlfn.XLOOKUP(D732, tblCourses[CourseID], tblCourses[CourseName], ""), "")</f>
        <v>Maintenance Procedures &amp; Standard Maintenance Practices (Refresher)</v>
      </c>
      <c r="F732" s="17">
        <v>45785</v>
      </c>
      <c r="G732" s="17" cm="1">
        <f t="array" ref="G7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46515</v>
      </c>
      <c r="H732" s="15">
        <f ca="1">IF(OR(tblTraining[[#This Row],[Status]]="Renewed",tblTraining[[#This Row],[NextDueDate]]=""),"",tblTraining[[#This Row],[NextDueDate]]-TODAY())</f>
        <v>229</v>
      </c>
      <c r="I732" s="15" t="str" cm="1">
        <f t="array" aca="1" ref="I7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3" spans="1:9" x14ac:dyDescent="0.25">
      <c r="A733" s="15">
        <f t="shared" si="11"/>
        <v>732</v>
      </c>
      <c r="B733" s="15" t="s">
        <v>103</v>
      </c>
      <c r="C733" s="15" t="str" cm="1">
        <f t="array" ref="C733">IFERROR(_xlfn.XLOOKUP(B733, tblPeople[PersonID], tblPeople[PersonName], ""), "")</f>
        <v>Smith Harun</v>
      </c>
      <c r="D733" s="15" t="s">
        <v>179</v>
      </c>
      <c r="E733" s="16" t="str">
        <f>IFERROR(_xlfn.XLOOKUP(D733, tblCourses[CourseID], tblCourses[CourseName], ""), "")</f>
        <v>Aircraft Maintenance Engineers' Licence</v>
      </c>
      <c r="F733" s="17">
        <v>46044</v>
      </c>
      <c r="G733" s="17" cm="1">
        <f t="array" ref="G7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46774</v>
      </c>
      <c r="H733" s="15">
        <f ca="1">IF(OR(tblTraining[[#This Row],[Status]]="Renewed",tblTraining[[#This Row],[NextDueDate]]=""),"",tblTraining[[#This Row],[NextDueDate]]-TODAY())</f>
        <v>488</v>
      </c>
      <c r="I733" s="15" t="str" cm="1">
        <f t="array" aca="1" ref="I7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4" spans="1:9" x14ac:dyDescent="0.25">
      <c r="A734" s="15">
        <f t="shared" si="11"/>
        <v>733</v>
      </c>
      <c r="B734" s="15" t="s">
        <v>102</v>
      </c>
      <c r="C734" s="15" t="str" cm="1">
        <f t="array" ref="C734">IFERROR(_xlfn.XLOOKUP(B734, tblPeople[PersonID], tblPeople[PersonName], ""), "")</f>
        <v>William Mlati</v>
      </c>
      <c r="D734" s="15" t="s">
        <v>179</v>
      </c>
      <c r="E734" s="16" t="str">
        <f>IFERROR(_xlfn.XLOOKUP(D734, tblCourses[CourseID], tblCourses[CourseName], ""), "")</f>
        <v>Aircraft Maintenance Engineers' Licence</v>
      </c>
      <c r="F734" s="17">
        <v>46023</v>
      </c>
      <c r="G734" s="17" cm="1">
        <f t="array" ref="G7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46753</v>
      </c>
      <c r="H734" s="15">
        <f ca="1">IF(OR(tblTraining[[#This Row],[Status]]="Renewed",tblTraining[[#This Row],[NextDueDate]]=""),"",tblTraining[[#This Row],[NextDueDate]]-TODAY())</f>
        <v>467</v>
      </c>
      <c r="I734" s="15" t="str" cm="1">
        <f t="array" aca="1" ref="I7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5" spans="1:9" x14ac:dyDescent="0.25">
      <c r="A735" s="15">
        <f t="shared" si="11"/>
        <v>734</v>
      </c>
      <c r="B735" s="15" t="s">
        <v>361</v>
      </c>
      <c r="C735" s="15" t="str" cm="1">
        <f t="array" ref="C735">IFERROR(_xlfn.XLOOKUP(B735, tblPeople[PersonID], tblPeople[PersonName], ""), "")</f>
        <v>Jackline Muembu</v>
      </c>
      <c r="D735" s="15" t="s">
        <v>124</v>
      </c>
      <c r="E735" s="16" t="str">
        <f>IFERROR(_xlfn.XLOOKUP(D735, tblCourses[CourseID], tblCourses[CourseName], ""), "")</f>
        <v>Aviation Security (Initial)</v>
      </c>
      <c r="F735" s="17">
        <v>45899</v>
      </c>
      <c r="G735" s="17" t="str" cm="1">
        <f t="array" ref="G7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5" s="15" t="str">
        <f ca="1">IF(OR(tblTraining[[#This Row],[Status]]="Renewed",tblTraining[[#This Row],[NextDueDate]]=""),"",tblTraining[[#This Row],[NextDueDate]]-TODAY())</f>
        <v/>
      </c>
      <c r="I735" s="15" t="str" cm="1">
        <f t="array" aca="1" ref="I7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6" spans="1:9" x14ac:dyDescent="0.25">
      <c r="A736" s="15">
        <f t="shared" si="11"/>
        <v>735</v>
      </c>
      <c r="B736" s="15" t="s">
        <v>361</v>
      </c>
      <c r="C736" s="15" t="str" cm="1">
        <f t="array" ref="C736">IFERROR(_xlfn.XLOOKUP(B736, tblPeople[PersonID], tblPeople[PersonName], ""), "")</f>
        <v>Jackline Muembu</v>
      </c>
      <c r="D736" s="15" t="s">
        <v>125</v>
      </c>
      <c r="E736" s="16" t="str">
        <f>IFERROR(_xlfn.XLOOKUP(D736, tblCourses[CourseID], tblCourses[CourseName], ""), "")</f>
        <v>Aviation Security (Refresher)</v>
      </c>
      <c r="F736" s="17">
        <v>45899</v>
      </c>
      <c r="G736" s="17" cm="1">
        <f t="array" ref="G7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46629</v>
      </c>
      <c r="H736" s="15">
        <f ca="1">IF(OR(tblTraining[[#This Row],[Status]]="Renewed",tblTraining[[#This Row],[NextDueDate]]=""),"",tblTraining[[#This Row],[NextDueDate]]-TODAY())</f>
        <v>343</v>
      </c>
      <c r="I736" s="15" t="str" cm="1">
        <f t="array" aca="1" ref="I7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7" spans="1:9" x14ac:dyDescent="0.25">
      <c r="A737" s="15">
        <f t="shared" si="11"/>
        <v>736</v>
      </c>
      <c r="B737" s="15" t="s">
        <v>119</v>
      </c>
      <c r="C737" s="15" t="str" cm="1">
        <f t="array" ref="C737">IFERROR(_xlfn.XLOOKUP(B737, tblPeople[PersonID], tblPeople[PersonName], ""), "")</f>
        <v>Walter Edupu</v>
      </c>
      <c r="D737" s="15" t="s">
        <v>126</v>
      </c>
      <c r="E737" s="16" t="str">
        <f>IFERROR(_xlfn.XLOOKUP(D737, tblCourses[CourseID], tblCourses[CourseName], ""), "")</f>
        <v>Maintenance Indoctrination</v>
      </c>
      <c r="F737" s="17">
        <v>45627</v>
      </c>
      <c r="G737" s="17" t="str" cm="1">
        <f t="array" ref="G7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7" s="15" t="str">
        <f ca="1">IF(OR(tblTraining[[#This Row],[Status]]="Renewed",tblTraining[[#This Row],[NextDueDate]]=""),"",tblTraining[[#This Row],[NextDueDate]]-TODAY())</f>
        <v/>
      </c>
      <c r="I737" s="15" t="str" cm="1">
        <f t="array" aca="1" ref="I7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8" spans="1:9" x14ac:dyDescent="0.25">
      <c r="A738" s="15">
        <f t="shared" si="11"/>
        <v>737</v>
      </c>
      <c r="B738" s="15" t="s">
        <v>216</v>
      </c>
      <c r="C738" s="15" t="str" cm="1">
        <f t="array" ref="C738">IFERROR(_xlfn.XLOOKUP(B738, tblPeople[PersonID], tblPeople[PersonName], ""), "")</f>
        <v>John Kihara</v>
      </c>
      <c r="D738" s="15" t="s">
        <v>124</v>
      </c>
      <c r="E738" s="16" t="str">
        <f>IFERROR(_xlfn.XLOOKUP(D738, tblCourses[CourseID], tblCourses[CourseName], ""), "")</f>
        <v>Aviation Security (Initial)</v>
      </c>
      <c r="F738" s="17">
        <v>45848</v>
      </c>
      <c r="G738" s="17" t="str" cm="1">
        <f t="array" ref="G7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8" s="15" t="str">
        <f ca="1">IF(OR(tblTraining[[#This Row],[Status]]="Renewed",tblTraining[[#This Row],[NextDueDate]]=""),"",tblTraining[[#This Row],[NextDueDate]]-TODAY())</f>
        <v/>
      </c>
      <c r="I738" s="15" t="str" cm="1">
        <f t="array" aca="1" ref="I7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9" spans="1:9" x14ac:dyDescent="0.25">
      <c r="A739" s="15">
        <f t="shared" si="11"/>
        <v>738</v>
      </c>
      <c r="B739" s="15" t="s">
        <v>216</v>
      </c>
      <c r="C739" s="15" t="str" cm="1">
        <f t="array" ref="C739">IFERROR(_xlfn.XLOOKUP(B739, tblPeople[PersonID], tblPeople[PersonName], ""), "")</f>
        <v>John Kihara</v>
      </c>
      <c r="D739" s="15" t="s">
        <v>125</v>
      </c>
      <c r="E739" s="16" t="str">
        <f>IFERROR(_xlfn.XLOOKUP(D739, tblCourses[CourseID], tblCourses[CourseName], ""), "")</f>
        <v>Aviation Security (Refresher)</v>
      </c>
      <c r="F739" s="17">
        <v>45848</v>
      </c>
      <c r="G739" s="17" cm="1">
        <f t="array" ref="G7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39" s="15">
        <f ca="1">IF(OR(tblTraining[[#This Row],[Status]]="Renewed",tblTraining[[#This Row],[NextDueDate]]=""),"",tblTraining[[#This Row],[NextDueDate]]-TODAY())</f>
        <v>292</v>
      </c>
      <c r="I739" s="15" t="str" cm="1">
        <f t="array" aca="1" ref="I7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0" spans="1:9" x14ac:dyDescent="0.25">
      <c r="A740" s="15">
        <f t="shared" si="11"/>
        <v>739</v>
      </c>
      <c r="B740" s="15" t="s">
        <v>217</v>
      </c>
      <c r="C740" s="15" t="str" cm="1">
        <f t="array" ref="C740">IFERROR(_xlfn.XLOOKUP(B740, tblPeople[PersonID], tblPeople[PersonName], ""), "")</f>
        <v>Angeline Nthakyo</v>
      </c>
      <c r="D740" s="15" t="s">
        <v>124</v>
      </c>
      <c r="E740" s="16" t="str">
        <f>IFERROR(_xlfn.XLOOKUP(D740, tblCourses[CourseID], tblCourses[CourseName], ""), "")</f>
        <v>Aviation Security (Initial)</v>
      </c>
      <c r="F740" s="17">
        <v>45848</v>
      </c>
      <c r="G740" s="17" t="str" cm="1">
        <f t="array" ref="G7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0" s="15" t="str">
        <f ca="1">IF(OR(tblTraining[[#This Row],[Status]]="Renewed",tblTraining[[#This Row],[NextDueDate]]=""),"",tblTraining[[#This Row],[NextDueDate]]-TODAY())</f>
        <v/>
      </c>
      <c r="I740" s="15" t="str" cm="1">
        <f t="array" aca="1" ref="I7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1" spans="1:9" x14ac:dyDescent="0.25">
      <c r="A741" s="15">
        <f t="shared" si="11"/>
        <v>740</v>
      </c>
      <c r="B741" s="15" t="s">
        <v>217</v>
      </c>
      <c r="C741" s="15" t="str" cm="1">
        <f t="array" ref="C741">IFERROR(_xlfn.XLOOKUP(B741, tblPeople[PersonID], tblPeople[PersonName], ""), "")</f>
        <v>Angeline Nthakyo</v>
      </c>
      <c r="D741" s="15" t="s">
        <v>125</v>
      </c>
      <c r="E741" s="16" t="str">
        <f>IFERROR(_xlfn.XLOOKUP(D741, tblCourses[CourseID], tblCourses[CourseName], ""), "")</f>
        <v>Aviation Security (Refresher)</v>
      </c>
      <c r="F741" s="17">
        <v>45848</v>
      </c>
      <c r="G741" s="17" cm="1">
        <f t="array" ref="G7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41" s="15">
        <f ca="1">IF(OR(tblTraining[[#This Row],[Status]]="Renewed",tblTraining[[#This Row],[NextDueDate]]=""),"",tblTraining[[#This Row],[NextDueDate]]-TODAY())</f>
        <v>292</v>
      </c>
      <c r="I741" s="15" t="str" cm="1">
        <f t="array" aca="1" ref="I7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2" spans="1:9" x14ac:dyDescent="0.25">
      <c r="A742" s="15">
        <f t="shared" si="11"/>
        <v>741</v>
      </c>
      <c r="B742" s="15" t="s">
        <v>267</v>
      </c>
      <c r="C742" s="15" t="str" cm="1">
        <f t="array" ref="C742">IFERROR(_xlfn.XLOOKUP(B742, tblPeople[PersonID], tblPeople[PersonName], ""), "")</f>
        <v>Romy Okello</v>
      </c>
      <c r="D742" s="15" t="s">
        <v>124</v>
      </c>
      <c r="E742" s="16" t="str">
        <f>IFERROR(_xlfn.XLOOKUP(D742, tblCourses[CourseID], tblCourses[CourseName], ""), "")</f>
        <v>Aviation Security (Initial)</v>
      </c>
      <c r="F742" s="17">
        <v>45848</v>
      </c>
      <c r="G742" s="17" t="str" cm="1">
        <f t="array" ref="G7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2" s="15" t="str">
        <f ca="1">IF(OR(tblTraining[[#This Row],[Status]]="Renewed",tblTraining[[#This Row],[NextDueDate]]=""),"",tblTraining[[#This Row],[NextDueDate]]-TODAY())</f>
        <v/>
      </c>
      <c r="I742" s="15" t="str" cm="1">
        <f t="array" aca="1" ref="I7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3" spans="1:9" x14ac:dyDescent="0.25">
      <c r="A743" s="15">
        <f t="shared" si="11"/>
        <v>742</v>
      </c>
      <c r="B743" s="15" t="s">
        <v>267</v>
      </c>
      <c r="C743" s="15" t="str" cm="1">
        <f t="array" ref="C743">IFERROR(_xlfn.XLOOKUP(B743, tblPeople[PersonID], tblPeople[PersonName], ""), "")</f>
        <v>Romy Okello</v>
      </c>
      <c r="D743" s="15" t="s">
        <v>125</v>
      </c>
      <c r="E743" s="16" t="str">
        <f>IFERROR(_xlfn.XLOOKUP(D743, tblCourses[CourseID], tblCourses[CourseName], ""), "")</f>
        <v>Aviation Security (Refresher)</v>
      </c>
      <c r="F743" s="17">
        <v>45848</v>
      </c>
      <c r="G743" s="17" cm="1">
        <f t="array" ref="G7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43" s="15">
        <f ca="1">IF(OR(tblTraining[[#This Row],[Status]]="Renewed",tblTraining[[#This Row],[NextDueDate]]=""),"",tblTraining[[#This Row],[NextDueDate]]-TODAY())</f>
        <v>292</v>
      </c>
      <c r="I743" s="15" t="str" cm="1">
        <f t="array" aca="1" ref="I7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4" spans="1:9" x14ac:dyDescent="0.25">
      <c r="A744" s="15">
        <f t="shared" si="11"/>
        <v>743</v>
      </c>
      <c r="B744" s="15" t="s">
        <v>210</v>
      </c>
      <c r="C744" s="15" t="str" cm="1">
        <f t="array" ref="C744">IFERROR(_xlfn.XLOOKUP(B744, tblPeople[PersonID], tblPeople[PersonName], ""), "")</f>
        <v>Andrew Ondiek</v>
      </c>
      <c r="D744" s="15" t="s">
        <v>124</v>
      </c>
      <c r="E744" s="16" t="str">
        <f>IFERROR(_xlfn.XLOOKUP(D744, tblCourses[CourseID], tblCourses[CourseName], ""), "")</f>
        <v>Aviation Security (Initial)</v>
      </c>
      <c r="F744" s="17">
        <v>45848</v>
      </c>
      <c r="G744" s="17" t="str" cm="1">
        <f t="array" ref="G7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4" s="15" t="str">
        <f ca="1">IF(OR(tblTraining[[#This Row],[Status]]="Renewed",tblTraining[[#This Row],[NextDueDate]]=""),"",tblTraining[[#This Row],[NextDueDate]]-TODAY())</f>
        <v/>
      </c>
      <c r="I744" s="15" t="str" cm="1">
        <f t="array" aca="1" ref="I7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5" spans="1:9" x14ac:dyDescent="0.25">
      <c r="A745" s="15">
        <f t="shared" si="11"/>
        <v>744</v>
      </c>
      <c r="B745" s="15" t="s">
        <v>210</v>
      </c>
      <c r="C745" s="15" t="str" cm="1">
        <f t="array" ref="C745">IFERROR(_xlfn.XLOOKUP(B745, tblPeople[PersonID], tblPeople[PersonName], ""), "")</f>
        <v>Andrew Ondiek</v>
      </c>
      <c r="D745" s="15" t="s">
        <v>125</v>
      </c>
      <c r="E745" s="16" t="str">
        <f>IFERROR(_xlfn.XLOOKUP(D745, tblCourses[CourseID], tblCourses[CourseName], ""), "")</f>
        <v>Aviation Security (Refresher)</v>
      </c>
      <c r="F745" s="17">
        <v>45848</v>
      </c>
      <c r="G745" s="17" cm="1">
        <f t="array" ref="G7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45" s="15">
        <f ca="1">IF(OR(tblTraining[[#This Row],[Status]]="Renewed",tblTraining[[#This Row],[NextDueDate]]=""),"",tblTraining[[#This Row],[NextDueDate]]-TODAY())</f>
        <v>292</v>
      </c>
      <c r="I745" s="15" t="str" cm="1">
        <f t="array" aca="1" ref="I7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6" spans="1:9" x14ac:dyDescent="0.25">
      <c r="A746" s="15">
        <f t="shared" si="11"/>
        <v>745</v>
      </c>
      <c r="B746" s="15" t="s">
        <v>107</v>
      </c>
      <c r="C746" s="15" t="str" cm="1">
        <f t="array" ref="C746">IFERROR(_xlfn.XLOOKUP(B746, tblPeople[PersonID], tblPeople[PersonName], ""), "")</f>
        <v>Julius Nyawira</v>
      </c>
      <c r="D746" s="15" t="s">
        <v>124</v>
      </c>
      <c r="E746" s="16" t="str">
        <f>IFERROR(_xlfn.XLOOKUP(D746, tblCourses[CourseID], tblCourses[CourseName], ""), "")</f>
        <v>Aviation Security (Initial)</v>
      </c>
      <c r="F746" s="17">
        <v>45715</v>
      </c>
      <c r="G746" s="17" t="str" cm="1">
        <f t="array" ref="G7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6" s="15" t="str">
        <f ca="1">IF(OR(tblTraining[[#This Row],[Status]]="Renewed",tblTraining[[#This Row],[NextDueDate]]=""),"",tblTraining[[#This Row],[NextDueDate]]-TODAY())</f>
        <v/>
      </c>
      <c r="I746" s="15" t="str" cm="1">
        <f t="array" aca="1" ref="I7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7" spans="1:9" x14ac:dyDescent="0.25">
      <c r="A747" s="15">
        <f t="shared" si="11"/>
        <v>746</v>
      </c>
      <c r="B747" s="15" t="s">
        <v>103</v>
      </c>
      <c r="C747" s="15" t="str" cm="1">
        <f t="array" ref="C747">IFERROR(_xlfn.XLOOKUP(B747, tblPeople[PersonID], tblPeople[PersonName], ""), "")</f>
        <v>Smith Harun</v>
      </c>
      <c r="D747" s="15" t="s">
        <v>374</v>
      </c>
      <c r="E747" s="16" t="str">
        <f>IFERROR(_xlfn.XLOOKUP(D747, tblCourses[CourseID], tblCourses[CourseName], ""), "")</f>
        <v>Radio Telephony Awareness Training</v>
      </c>
      <c r="F747" s="17">
        <v>45945</v>
      </c>
      <c r="G747" s="17" t="str" cm="1">
        <f t="array" ref="G7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7" s="15" t="str">
        <f ca="1">IF(OR(tblTraining[[#This Row],[Status]]="Renewed",tblTraining[[#This Row],[NextDueDate]]=""),"",tblTraining[[#This Row],[NextDueDate]]-TODAY())</f>
        <v/>
      </c>
      <c r="I747" s="15" t="str" cm="1">
        <f t="array" aca="1" ref="I7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8" spans="1:9" x14ac:dyDescent="0.25">
      <c r="A748" s="15">
        <f t="shared" si="11"/>
        <v>747</v>
      </c>
      <c r="B748" s="15" t="s">
        <v>214</v>
      </c>
      <c r="C748" s="15" t="str" cm="1">
        <f t="array" ref="C748">IFERROR(_xlfn.XLOOKUP(B748, tblPeople[PersonID], tblPeople[PersonName], ""), "")</f>
        <v xml:space="preserve">Edwin Kemei </v>
      </c>
      <c r="D748" s="15" t="s">
        <v>374</v>
      </c>
      <c r="E748" s="16" t="str">
        <f>IFERROR(_xlfn.XLOOKUP(D748, tblCourses[CourseID], tblCourses[CourseName], ""), "")</f>
        <v>Radio Telephony Awareness Training</v>
      </c>
      <c r="F748" s="17">
        <v>45945</v>
      </c>
      <c r="G748" s="17" t="str" cm="1">
        <f t="array" ref="G7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8" s="15" t="str">
        <f ca="1">IF(OR(tblTraining[[#This Row],[Status]]="Renewed",tblTraining[[#This Row],[NextDueDate]]=""),"",tblTraining[[#This Row],[NextDueDate]]-TODAY())</f>
        <v/>
      </c>
      <c r="I748" s="15" t="str" cm="1">
        <f t="array" aca="1" ref="I7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9" spans="1:9" x14ac:dyDescent="0.25">
      <c r="A749" s="15">
        <f t="shared" si="11"/>
        <v>748</v>
      </c>
      <c r="B749" s="15" t="s">
        <v>91</v>
      </c>
      <c r="C749" s="15" t="str" cm="1">
        <f t="array" ref="C749">IFERROR(_xlfn.XLOOKUP(B749, tblPeople[PersonID], tblPeople[PersonName], ""), "")</f>
        <v>Dunstan Kwalanda</v>
      </c>
      <c r="D749" s="15" t="s">
        <v>374</v>
      </c>
      <c r="E749" s="16" t="str">
        <f>IFERROR(_xlfn.XLOOKUP(D749, tblCourses[CourseID], tblCourses[CourseName], ""), "")</f>
        <v>Radio Telephony Awareness Training</v>
      </c>
      <c r="F749" s="17">
        <v>45945</v>
      </c>
      <c r="G749" s="17" t="str" cm="1">
        <f t="array" ref="G7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9" s="15" t="str">
        <f ca="1">IF(OR(tblTraining[[#This Row],[Status]]="Renewed",tblTraining[[#This Row],[NextDueDate]]=""),"",tblTraining[[#This Row],[NextDueDate]]-TODAY())</f>
        <v/>
      </c>
      <c r="I749" s="15" t="str" cm="1">
        <f t="array" aca="1" ref="I7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0" spans="1:9" x14ac:dyDescent="0.25">
      <c r="A750" s="15">
        <f t="shared" si="11"/>
        <v>749</v>
      </c>
      <c r="B750" s="15" t="s">
        <v>102</v>
      </c>
      <c r="C750" s="15" t="str" cm="1">
        <f t="array" ref="C750">IFERROR(_xlfn.XLOOKUP(B750, tblPeople[PersonID], tblPeople[PersonName], ""), "")</f>
        <v>William Mlati</v>
      </c>
      <c r="D750" s="15" t="s">
        <v>374</v>
      </c>
      <c r="E750" s="16" t="str">
        <f>IFERROR(_xlfn.XLOOKUP(D750, tblCourses[CourseID], tblCourses[CourseName], ""), "")</f>
        <v>Radio Telephony Awareness Training</v>
      </c>
      <c r="F750" s="17">
        <v>45945</v>
      </c>
      <c r="G750" s="17" t="str" cm="1">
        <f t="array" ref="G7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0" s="15" t="str">
        <f ca="1">IF(OR(tblTraining[[#This Row],[Status]]="Renewed",tblTraining[[#This Row],[NextDueDate]]=""),"",tblTraining[[#This Row],[NextDueDate]]-TODAY())</f>
        <v/>
      </c>
      <c r="I750" s="15" t="str" cm="1">
        <f t="array" aca="1" ref="I7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1" spans="1:9" x14ac:dyDescent="0.25">
      <c r="A751" s="15">
        <f t="shared" si="11"/>
        <v>750</v>
      </c>
      <c r="B751" s="15" t="s">
        <v>84</v>
      </c>
      <c r="C751" s="15" t="str" cm="1">
        <f t="array" ref="C751">IFERROR(_xlfn.XLOOKUP(B751, tblPeople[PersonID], tblPeople[PersonName], ""), "")</f>
        <v>Patrick Musau</v>
      </c>
      <c r="D751" s="15" t="s">
        <v>374</v>
      </c>
      <c r="E751" s="16" t="str">
        <f>IFERROR(_xlfn.XLOOKUP(D751, tblCourses[CourseID], tblCourses[CourseName], ""), "")</f>
        <v>Radio Telephony Awareness Training</v>
      </c>
      <c r="F751" s="17">
        <v>45945</v>
      </c>
      <c r="G751" s="17" t="str" cm="1">
        <f t="array" ref="G7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1" s="15" t="str">
        <f ca="1">IF(OR(tblTraining[[#This Row],[Status]]="Renewed",tblTraining[[#This Row],[NextDueDate]]=""),"",tblTraining[[#This Row],[NextDueDate]]-TODAY())</f>
        <v/>
      </c>
      <c r="I751" s="15" t="str" cm="1">
        <f t="array" aca="1" ref="I7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2" spans="1:9" x14ac:dyDescent="0.25">
      <c r="A752" s="15">
        <f t="shared" si="11"/>
        <v>751</v>
      </c>
      <c r="B752" s="15" t="s">
        <v>90</v>
      </c>
      <c r="C752" s="15" t="str" cm="1">
        <f t="array" ref="C752">IFERROR(_xlfn.XLOOKUP(B752, tblPeople[PersonID], tblPeople[PersonName], ""), "")</f>
        <v>Kendra Nambisia</v>
      </c>
      <c r="D752" s="15" t="s">
        <v>374</v>
      </c>
      <c r="E752" s="16" t="str">
        <f>IFERROR(_xlfn.XLOOKUP(D752, tblCourses[CourseID], tblCourses[CourseName], ""), "")</f>
        <v>Radio Telephony Awareness Training</v>
      </c>
      <c r="F752" s="17">
        <v>45945</v>
      </c>
      <c r="G752" s="17" t="str" cm="1">
        <f t="array" ref="G7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2" s="15" t="str">
        <f ca="1">IF(OR(tblTraining[[#This Row],[Status]]="Renewed",tblTraining[[#This Row],[NextDueDate]]=""),"",tblTraining[[#This Row],[NextDueDate]]-TODAY())</f>
        <v/>
      </c>
      <c r="I752" s="15" t="str" cm="1">
        <f t="array" aca="1" ref="I7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3" spans="1:9" x14ac:dyDescent="0.25">
      <c r="A753" s="15">
        <f t="shared" si="11"/>
        <v>752</v>
      </c>
      <c r="B753" s="15" t="s">
        <v>88</v>
      </c>
      <c r="C753" s="15" t="str" cm="1">
        <f t="array" ref="C753">IFERROR(_xlfn.XLOOKUP(B753, tblPeople[PersonID], tblPeople[PersonName], ""), "")</f>
        <v>Michael Njihia</v>
      </c>
      <c r="D753" s="15" t="s">
        <v>374</v>
      </c>
      <c r="E753" s="16" t="str">
        <f>IFERROR(_xlfn.XLOOKUP(D753, tblCourses[CourseID], tblCourses[CourseName], ""), "")</f>
        <v>Radio Telephony Awareness Training</v>
      </c>
      <c r="F753" s="17">
        <v>45945</v>
      </c>
      <c r="G753" s="17" t="str" cm="1">
        <f t="array" ref="G7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3" s="15" t="str">
        <f ca="1">IF(OR(tblTraining[[#This Row],[Status]]="Renewed",tblTraining[[#This Row],[NextDueDate]]=""),"",tblTraining[[#This Row],[NextDueDate]]-TODAY())</f>
        <v/>
      </c>
      <c r="I753" s="15" t="str" cm="1">
        <f t="array" aca="1" ref="I7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4" spans="1:9" x14ac:dyDescent="0.25">
      <c r="A754" s="15">
        <f t="shared" si="11"/>
        <v>753</v>
      </c>
      <c r="B754" s="15" t="s">
        <v>107</v>
      </c>
      <c r="C754" s="15" t="str" cm="1">
        <f t="array" ref="C754">IFERROR(_xlfn.XLOOKUP(B754, tblPeople[PersonID], tblPeople[PersonName], ""), "")</f>
        <v>Julius Nyawira</v>
      </c>
      <c r="D754" s="15" t="s">
        <v>374</v>
      </c>
      <c r="E754" s="16" t="str">
        <f>IFERROR(_xlfn.XLOOKUP(D754, tblCourses[CourseID], tblCourses[CourseName], ""), "")</f>
        <v>Radio Telephony Awareness Training</v>
      </c>
      <c r="F754" s="17">
        <v>45945</v>
      </c>
      <c r="G754" s="17" t="str" cm="1">
        <f t="array" ref="G7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4" s="15" t="str">
        <f ca="1">IF(OR(tblTraining[[#This Row],[Status]]="Renewed",tblTraining[[#This Row],[NextDueDate]]=""),"",tblTraining[[#This Row],[NextDueDate]]-TODAY())</f>
        <v/>
      </c>
      <c r="I754" s="15" t="str" cm="1">
        <f t="array" aca="1" ref="I7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5" spans="1:9" x14ac:dyDescent="0.25">
      <c r="A755" s="15">
        <f t="shared" si="11"/>
        <v>754</v>
      </c>
      <c r="B755" s="15" t="s">
        <v>85</v>
      </c>
      <c r="C755" s="15" t="str" cm="1">
        <f t="array" ref="C755">IFERROR(_xlfn.XLOOKUP(B755, tblPeople[PersonID], tblPeople[PersonName], ""), "")</f>
        <v>Titus Shunza</v>
      </c>
      <c r="D755" s="15" t="s">
        <v>374</v>
      </c>
      <c r="E755" s="16" t="str">
        <f>IFERROR(_xlfn.XLOOKUP(D755, tblCourses[CourseID], tblCourses[CourseName], ""), "")</f>
        <v>Radio Telephony Awareness Training</v>
      </c>
      <c r="F755" s="17">
        <v>45945</v>
      </c>
      <c r="G755" s="17" t="str" cm="1">
        <f t="array" ref="G7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5" s="15" t="str">
        <f ca="1">IF(OR(tblTraining[[#This Row],[Status]]="Renewed",tblTraining[[#This Row],[NextDueDate]]=""),"",tblTraining[[#This Row],[NextDueDate]]-TODAY())</f>
        <v/>
      </c>
      <c r="I755" s="15" t="str" cm="1">
        <f t="array" aca="1" ref="I7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6" spans="1:9" x14ac:dyDescent="0.25">
      <c r="A756" s="15">
        <f t="shared" si="11"/>
        <v>755</v>
      </c>
      <c r="B756" s="15" t="s">
        <v>97</v>
      </c>
      <c r="C756" s="15" t="str" cm="1">
        <f t="array" ref="C756">IFERROR(_xlfn.XLOOKUP(B756, tblPeople[PersonID], tblPeople[PersonName], ""), "")</f>
        <v>Thomas Wambunya</v>
      </c>
      <c r="D756" s="15" t="s">
        <v>374</v>
      </c>
      <c r="E756" s="16" t="str">
        <f>IFERROR(_xlfn.XLOOKUP(D756, tblCourses[CourseID], tblCourses[CourseName], ""), "")</f>
        <v>Radio Telephony Awareness Training</v>
      </c>
      <c r="F756" s="17">
        <v>45945</v>
      </c>
      <c r="G756" s="17" t="str" cm="1">
        <f t="array" ref="G7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6" s="15" t="str">
        <f ca="1">IF(OR(tblTraining[[#This Row],[Status]]="Renewed",tblTraining[[#This Row],[NextDueDate]]=""),"",tblTraining[[#This Row],[NextDueDate]]-TODAY())</f>
        <v/>
      </c>
      <c r="I756" s="15" t="str" cm="1">
        <f t="array" aca="1" ref="I7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7" spans="1:9" x14ac:dyDescent="0.25">
      <c r="A757" s="15">
        <f t="shared" si="11"/>
        <v>756</v>
      </c>
      <c r="B757" s="15" t="s">
        <v>102</v>
      </c>
      <c r="C757" s="15" t="str" cm="1">
        <f t="array" ref="C757">IFERROR(_xlfn.XLOOKUP(B757, tblPeople[PersonID], tblPeople[PersonName], ""), "")</f>
        <v>William Mlati</v>
      </c>
      <c r="D757" s="15" t="s">
        <v>24</v>
      </c>
      <c r="E757" s="16" t="str">
        <f>IFERROR(_xlfn.XLOOKUP(D757, tblCourses[CourseID], tblCourses[CourseName], ""), "")</f>
        <v>Human Factors in Aviation (Initial)</v>
      </c>
      <c r="F757" s="17">
        <v>40633</v>
      </c>
      <c r="G757" s="17" t="str" cm="1">
        <f t="array" ref="G7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7" s="15" t="str">
        <f ca="1">IF(OR(tblTraining[[#This Row],[Status]]="Renewed",tblTraining[[#This Row],[NextDueDate]]=""),"",tblTraining[[#This Row],[NextDueDate]]-TODAY())</f>
        <v/>
      </c>
      <c r="I757" s="15" t="str" cm="1">
        <f t="array" aca="1" ref="I7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8" spans="1:9" x14ac:dyDescent="0.25">
      <c r="A758" s="15">
        <f t="shared" si="11"/>
        <v>757</v>
      </c>
      <c r="B758" s="15" t="s">
        <v>102</v>
      </c>
      <c r="C758" s="15" t="str" cm="1">
        <f t="array" ref="C758">IFERROR(_xlfn.XLOOKUP(B758, tblPeople[PersonID], tblPeople[PersonName], ""), "")</f>
        <v>William Mlati</v>
      </c>
      <c r="D758" s="15" t="s">
        <v>20</v>
      </c>
      <c r="E758" s="16" t="str">
        <f>IFERROR(_xlfn.XLOOKUP(D758, tblCourses[CourseID], tblCourses[CourseName], ""), "")</f>
        <v>Safety Management Systems (Initial)</v>
      </c>
      <c r="F758" s="17">
        <v>43201</v>
      </c>
      <c r="G758" s="17" t="str" cm="1">
        <f t="array" ref="G7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8" s="15" t="str">
        <f ca="1">IF(OR(tblTraining[[#This Row],[Status]]="Renewed",tblTraining[[#This Row],[NextDueDate]]=""),"",tblTraining[[#This Row],[NextDueDate]]-TODAY())</f>
        <v/>
      </c>
      <c r="I758" s="15" t="str" cm="1">
        <f t="array" aca="1" ref="I7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9" spans="1:9" x14ac:dyDescent="0.25">
      <c r="A759" s="15">
        <f t="shared" si="11"/>
        <v>758</v>
      </c>
      <c r="B759" s="15" t="s">
        <v>102</v>
      </c>
      <c r="C759" s="15" t="str" cm="1">
        <f t="array" ref="C759">IFERROR(_xlfn.XLOOKUP(B759, tblPeople[PersonID], tblPeople[PersonName], ""), "")</f>
        <v>William Mlati</v>
      </c>
      <c r="D759" s="15" t="s">
        <v>181</v>
      </c>
      <c r="E759" s="16" t="str">
        <f>IFERROR(_xlfn.XLOOKUP(D759, tblCourses[CourseID], tblCourses[CourseName], ""), "")</f>
        <v>Cessna 208 Series (Caravan) With P&amp;WC PT6A-114/ -114A/ -140 Engines (Initial)</v>
      </c>
      <c r="F759" s="17">
        <v>40473</v>
      </c>
      <c r="G759" s="17" t="str" cm="1">
        <f t="array" ref="G7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9" s="15" t="str">
        <f ca="1">IF(OR(tblTraining[[#This Row],[Status]]="Renewed",tblTraining[[#This Row],[NextDueDate]]=""),"",tblTraining[[#This Row],[NextDueDate]]-TODAY())</f>
        <v/>
      </c>
      <c r="I759" s="15" t="str" cm="1">
        <f t="array" aca="1" ref="I7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0" spans="1:9" x14ac:dyDescent="0.25">
      <c r="A760" s="15">
        <f t="shared" si="11"/>
        <v>759</v>
      </c>
      <c r="B760" s="15" t="s">
        <v>102</v>
      </c>
      <c r="C760" s="15" t="str" cm="1">
        <f t="array" ref="C760">IFERROR(_xlfn.XLOOKUP(B760, tblPeople[PersonID], tblPeople[PersonName], ""), "")</f>
        <v>William Mlati</v>
      </c>
      <c r="D760" s="15" t="s">
        <v>29</v>
      </c>
      <c r="E760" s="16" t="str">
        <f>IFERROR(_xlfn.XLOOKUP(D760, tblCourses[CourseID], tblCourses[CourseName], ""), "")</f>
        <v>DHC-8 100/200/300 with PWC 120/120A/121/123B/C/D/E Series Engines(Initial)</v>
      </c>
      <c r="F760" s="17">
        <v>43133</v>
      </c>
      <c r="G760" s="17" t="str" cm="1">
        <f t="array" ref="G7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0" s="15" t="str">
        <f ca="1">IF(OR(tblTraining[[#This Row],[Status]]="Renewed",tblTraining[[#This Row],[NextDueDate]]=""),"",tblTraining[[#This Row],[NextDueDate]]-TODAY())</f>
        <v/>
      </c>
      <c r="I760" s="15" t="str" cm="1">
        <f t="array" aca="1" ref="I7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1" spans="1:9" x14ac:dyDescent="0.25">
      <c r="A761" s="15">
        <f t="shared" si="11"/>
        <v>760</v>
      </c>
      <c r="B761" s="15" t="s">
        <v>103</v>
      </c>
      <c r="C761" s="15" t="str" cm="1">
        <f t="array" ref="C761">IFERROR(_xlfn.XLOOKUP(B761, tblPeople[PersonID], tblPeople[PersonName], ""), "")</f>
        <v>Smith Harun</v>
      </c>
      <c r="D761" s="15" t="s">
        <v>29</v>
      </c>
      <c r="E761" s="16" t="str">
        <f>IFERROR(_xlfn.XLOOKUP(D761, tblCourses[CourseID], tblCourses[CourseName], ""), "")</f>
        <v>DHC-8 100/200/300 with PWC 120/120A/121/123B/C/D/E Series Engines(Initial)</v>
      </c>
      <c r="F761" s="17">
        <v>41698</v>
      </c>
      <c r="G761" s="17" t="str" cm="1">
        <f t="array" ref="G7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1" s="15" t="str">
        <f ca="1">IF(OR(tblTraining[[#This Row],[Status]]="Renewed",tblTraining[[#This Row],[NextDueDate]]=""),"",tblTraining[[#This Row],[NextDueDate]]-TODAY())</f>
        <v/>
      </c>
      <c r="I761" s="15" t="str" cm="1">
        <f t="array" aca="1" ref="I7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2" spans="1:9" x14ac:dyDescent="0.25">
      <c r="A762" s="15">
        <f t="shared" si="11"/>
        <v>761</v>
      </c>
      <c r="B762" s="15" t="s">
        <v>103</v>
      </c>
      <c r="C762" s="15" t="str" cm="1">
        <f t="array" ref="C762">IFERROR(_xlfn.XLOOKUP(B762, tblPeople[PersonID], tblPeople[PersonName], ""), "")</f>
        <v>Smith Harun</v>
      </c>
      <c r="D762" s="15" t="s">
        <v>181</v>
      </c>
      <c r="E762" s="16" t="str">
        <f>IFERROR(_xlfn.XLOOKUP(D762, tblCourses[CourseID], tblCourses[CourseName], ""), "")</f>
        <v>Cessna 208 Series (Caravan) With P&amp;WC PT6A-114/ -114A/ -140 Engines (Initial)</v>
      </c>
      <c r="F762" s="17">
        <v>41257</v>
      </c>
      <c r="G762" s="17" t="str" cm="1">
        <f t="array" ref="G7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2" s="15" t="str">
        <f ca="1">IF(OR(tblTraining[[#This Row],[Status]]="Renewed",tblTraining[[#This Row],[NextDueDate]]=""),"",tblTraining[[#This Row],[NextDueDate]]-TODAY())</f>
        <v/>
      </c>
      <c r="I762" s="15" t="str" cm="1">
        <f t="array" aca="1" ref="I7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3" spans="1:9" x14ac:dyDescent="0.25">
      <c r="A763" s="15">
        <f t="shared" si="11"/>
        <v>762</v>
      </c>
      <c r="B763" s="15" t="s">
        <v>103</v>
      </c>
      <c r="C763" s="15" t="str" cm="1">
        <f t="array" ref="C763">IFERROR(_xlfn.XLOOKUP(B763, tblPeople[PersonID], tblPeople[PersonName], ""), "")</f>
        <v>Smith Harun</v>
      </c>
      <c r="D763" s="15" t="s">
        <v>27</v>
      </c>
      <c r="E763" s="16" t="str">
        <f>IFERROR(_xlfn.XLOOKUP(D763, tblCourses[CourseID], tblCourses[CourseName], ""), "")</f>
        <v>Pratt &amp; Whitney Canada PT6A Engine With P&amp;WC PT6A
20/ 27/ 41/ 42/ 60A/ 67D/ 112/ 114A/ 140 (Initial)</v>
      </c>
      <c r="F763" s="17">
        <v>41114</v>
      </c>
      <c r="G763" s="17" t="str" cm="1">
        <f t="array" ref="G7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3" s="15" t="str">
        <f ca="1">IF(OR(tblTraining[[#This Row],[Status]]="Renewed",tblTraining[[#This Row],[NextDueDate]]=""),"",tblTraining[[#This Row],[NextDueDate]]-TODAY())</f>
        <v/>
      </c>
      <c r="I763" s="15" t="str" cm="1">
        <f t="array" aca="1" ref="I7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4" spans="1:9" x14ac:dyDescent="0.25">
      <c r="A764" s="15">
        <f t="shared" si="11"/>
        <v>763</v>
      </c>
      <c r="B764" s="15" t="s">
        <v>103</v>
      </c>
      <c r="C764" s="15" t="str" cm="1">
        <f t="array" ref="C764">IFERROR(_xlfn.XLOOKUP(B764, tblPeople[PersonID], tblPeople[PersonName], ""), "")</f>
        <v>Smith Harun</v>
      </c>
      <c r="D764" s="15" t="s">
        <v>20</v>
      </c>
      <c r="E764" s="16" t="str">
        <f>IFERROR(_xlfn.XLOOKUP(D764, tblCourses[CourseID], tblCourses[CourseName], ""), "")</f>
        <v>Safety Management Systems (Initial)</v>
      </c>
      <c r="F764" s="17">
        <v>43628</v>
      </c>
      <c r="G764" s="17" t="str" cm="1">
        <f t="array" ref="G7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4" s="15" t="str">
        <f ca="1">IF(OR(tblTraining[[#This Row],[Status]]="Renewed",tblTraining[[#This Row],[NextDueDate]]=""),"",tblTraining[[#This Row],[NextDueDate]]-TODAY())</f>
        <v/>
      </c>
      <c r="I764" s="15" t="str" cm="1">
        <f t="array" aca="1" ref="I7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5" spans="1:9" x14ac:dyDescent="0.25">
      <c r="A765" s="15">
        <f t="shared" si="11"/>
        <v>764</v>
      </c>
      <c r="B765" s="15" t="s">
        <v>103</v>
      </c>
      <c r="C765" s="15" t="str" cm="1">
        <f t="array" ref="C765">IFERROR(_xlfn.XLOOKUP(B765, tblPeople[PersonID], tblPeople[PersonName], ""), "")</f>
        <v>Smith Harun</v>
      </c>
      <c r="D765" s="15" t="s">
        <v>24</v>
      </c>
      <c r="E765" s="16" t="str">
        <f>IFERROR(_xlfn.XLOOKUP(D765, tblCourses[CourseID], tblCourses[CourseName], ""), "")</f>
        <v>Human Factors in Aviation (Initial)</v>
      </c>
      <c r="F765" s="17">
        <v>41547</v>
      </c>
      <c r="G765" s="17" t="str" cm="1">
        <f t="array" ref="G7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5" s="15" t="str">
        <f ca="1">IF(OR(tblTraining[[#This Row],[Status]]="Renewed",tblTraining[[#This Row],[NextDueDate]]=""),"",tblTraining[[#This Row],[NextDueDate]]-TODAY())</f>
        <v/>
      </c>
      <c r="I765" s="15" t="str" cm="1">
        <f t="array" aca="1" ref="I7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6" spans="1:9" x14ac:dyDescent="0.25">
      <c r="A766" s="15">
        <f t="shared" si="11"/>
        <v>765</v>
      </c>
      <c r="B766" s="15" t="s">
        <v>82</v>
      </c>
      <c r="C766" s="15" t="str" cm="1">
        <f t="array" ref="C766">IFERROR(_xlfn.XLOOKUP(B766, tblPeople[PersonID], tblPeople[PersonName], ""), "")</f>
        <v>Philip Mwania</v>
      </c>
      <c r="D766" s="15" t="s">
        <v>24</v>
      </c>
      <c r="E766" s="16" t="str">
        <f>IFERROR(_xlfn.XLOOKUP(D766, tblCourses[CourseID], tblCourses[CourseName], ""), "")</f>
        <v>Human Factors in Aviation (Initial)</v>
      </c>
      <c r="F766" s="17">
        <v>43238</v>
      </c>
      <c r="G766" s="17" t="str" cm="1">
        <f t="array" ref="G7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6" s="15" t="str">
        <f ca="1">IF(OR(tblTraining[[#This Row],[Status]]="Renewed",tblTraining[[#This Row],[NextDueDate]]=""),"",tblTraining[[#This Row],[NextDueDate]]-TODAY())</f>
        <v/>
      </c>
      <c r="I766" s="15" t="str" cm="1">
        <f t="array" aca="1" ref="I7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7" spans="1:9" x14ac:dyDescent="0.25">
      <c r="A767" s="15">
        <f t="shared" si="11"/>
        <v>766</v>
      </c>
      <c r="B767" s="15" t="s">
        <v>82</v>
      </c>
      <c r="C767" s="15" t="str" cm="1">
        <f t="array" ref="C767">IFERROR(_xlfn.XLOOKUP(B767, tblPeople[PersonID], tblPeople[PersonName], ""), "")</f>
        <v>Philip Mwania</v>
      </c>
      <c r="D767" s="15" t="s">
        <v>29</v>
      </c>
      <c r="E767" s="16" t="str">
        <f>IFERROR(_xlfn.XLOOKUP(D767, tblCourses[CourseID], tblCourses[CourseName], ""), "")</f>
        <v>DHC-8 100/200/300 with PWC 120/120A/121/123B/C/D/E Series Engines(Initial)</v>
      </c>
      <c r="F767" s="17">
        <v>43133</v>
      </c>
      <c r="G767" s="17" t="str" cm="1">
        <f t="array" ref="G7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7" s="15" t="str">
        <f ca="1">IF(OR(tblTraining[[#This Row],[Status]]="Renewed",tblTraining[[#This Row],[NextDueDate]]=""),"",tblTraining[[#This Row],[NextDueDate]]-TODAY())</f>
        <v/>
      </c>
      <c r="I767" s="15" t="str" cm="1">
        <f t="array" aca="1" ref="I7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8" spans="1:9" x14ac:dyDescent="0.25">
      <c r="A768" s="15">
        <f t="shared" si="11"/>
        <v>767</v>
      </c>
      <c r="B768" s="15" t="s">
        <v>82</v>
      </c>
      <c r="C768" s="15" t="str" cm="1">
        <f t="array" ref="C768">IFERROR(_xlfn.XLOOKUP(B768, tblPeople[PersonID], tblPeople[PersonName], ""), "")</f>
        <v>Philip Mwania</v>
      </c>
      <c r="D768" s="15" t="s">
        <v>181</v>
      </c>
      <c r="E768" s="16" t="str">
        <f>IFERROR(_xlfn.XLOOKUP(D768, tblCourses[CourseID], tblCourses[CourseName], ""), "")</f>
        <v>Cessna 208 Series (Caravan) With P&amp;WC PT6A-114/ -114A/ -140 Engines (Initial)</v>
      </c>
      <c r="F768" s="17">
        <v>41355</v>
      </c>
      <c r="G768" s="17" t="str" cm="1">
        <f t="array" ref="G7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8" s="15" t="str">
        <f ca="1">IF(OR(tblTraining[[#This Row],[Status]]="Renewed",tblTraining[[#This Row],[NextDueDate]]=""),"",tblTraining[[#This Row],[NextDueDate]]-TODAY())</f>
        <v/>
      </c>
      <c r="I768" s="15" t="str" cm="1">
        <f t="array" aca="1" ref="I7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69" spans="1:9" x14ac:dyDescent="0.25">
      <c r="A769" s="15">
        <f t="shared" si="11"/>
        <v>768</v>
      </c>
      <c r="B769" s="15" t="s">
        <v>82</v>
      </c>
      <c r="C769" s="15" t="str" cm="1">
        <f t="array" ref="C769">IFERROR(_xlfn.XLOOKUP(B769, tblPeople[PersonID], tblPeople[PersonName], ""), "")</f>
        <v>Philip Mwania</v>
      </c>
      <c r="D769" s="15" t="s">
        <v>20</v>
      </c>
      <c r="E769" s="16" t="str">
        <f>IFERROR(_xlfn.XLOOKUP(D769, tblCourses[CourseID], tblCourses[CourseName], ""), "")</f>
        <v>Safety Management Systems (Initial)</v>
      </c>
      <c r="F769" s="17">
        <v>43272</v>
      </c>
      <c r="G769" s="17" t="str" cm="1">
        <f t="array" ref="G7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9" s="15" t="str">
        <f ca="1">IF(OR(tblTraining[[#This Row],[Status]]="Renewed",tblTraining[[#This Row],[NextDueDate]]=""),"",tblTraining[[#This Row],[NextDueDate]]-TODAY())</f>
        <v/>
      </c>
      <c r="I769" s="15" t="str" cm="1">
        <f t="array" aca="1" ref="I7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0" spans="1:9" x14ac:dyDescent="0.25">
      <c r="A770" s="15">
        <f t="shared" si="11"/>
        <v>769</v>
      </c>
      <c r="B770" s="15" t="s">
        <v>135</v>
      </c>
      <c r="C770" s="15" t="str" cm="1">
        <f t="array" ref="C770">IFERROR(_xlfn.XLOOKUP(B770, tblPeople[PersonID], tblPeople[PersonName], ""), "")</f>
        <v>Francis Muriuki</v>
      </c>
      <c r="D770" s="15" t="s">
        <v>29</v>
      </c>
      <c r="E770" s="16" t="str">
        <f>IFERROR(_xlfn.XLOOKUP(D770, tblCourses[CourseID], tblCourses[CourseName], ""), "")</f>
        <v>DHC-8 100/200/300 with PWC 120/120A/121/123B/C/D/E Series Engines(Initial)</v>
      </c>
      <c r="F770" s="17">
        <v>43586</v>
      </c>
      <c r="G770" s="17" t="str" cm="1">
        <f t="array" ref="G7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0" s="15" t="str">
        <f ca="1">IF(OR(tblTraining[[#This Row],[Status]]="Renewed",tblTraining[[#This Row],[NextDueDate]]=""),"",tblTraining[[#This Row],[NextDueDate]]-TODAY())</f>
        <v/>
      </c>
      <c r="I770" s="15" t="str" cm="1">
        <f t="array" aca="1" ref="I7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1" spans="1:9" x14ac:dyDescent="0.25">
      <c r="A771" s="15">
        <f t="shared" si="11"/>
        <v>770</v>
      </c>
      <c r="B771" s="15" t="s">
        <v>135</v>
      </c>
      <c r="C771" s="15" t="str" cm="1">
        <f t="array" ref="C771">IFERROR(_xlfn.XLOOKUP(B771, tblPeople[PersonID], tblPeople[PersonName], ""), "")</f>
        <v>Francis Muriuki</v>
      </c>
      <c r="D771" s="15" t="s">
        <v>181</v>
      </c>
      <c r="E771" s="16" t="str">
        <f>IFERROR(_xlfn.XLOOKUP(D771, tblCourses[CourseID], tblCourses[CourseName], ""), "")</f>
        <v>Cessna 208 Series (Caravan) With P&amp;WC PT6A-114/ -114A/ -140 Engines (Initial)</v>
      </c>
      <c r="F771" s="17">
        <v>42156</v>
      </c>
      <c r="G771" s="17" t="str" cm="1">
        <f t="array" ref="G7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1" s="15" t="str">
        <f ca="1">IF(OR(tblTraining[[#This Row],[Status]]="Renewed",tblTraining[[#This Row],[NextDueDate]]=""),"",tblTraining[[#This Row],[NextDueDate]]-TODAY())</f>
        <v/>
      </c>
      <c r="I771" s="15" t="str" cm="1">
        <f t="array" aca="1" ref="I7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2" spans="1:9" x14ac:dyDescent="0.25">
      <c r="A772" s="15">
        <f t="shared" ref="A772:A835" si="12">A771+1</f>
        <v>771</v>
      </c>
      <c r="B772" s="15" t="s">
        <v>135</v>
      </c>
      <c r="C772" s="15" t="str" cm="1">
        <f t="array" ref="C772">IFERROR(_xlfn.XLOOKUP(B772, tblPeople[PersonID], tblPeople[PersonName], ""), "")</f>
        <v>Francis Muriuki</v>
      </c>
      <c r="D772" s="15" t="s">
        <v>27</v>
      </c>
      <c r="E772" s="16" t="str">
        <f>IFERROR(_xlfn.XLOOKUP(D772, tblCourses[CourseID], tblCourses[CourseName], ""), "")</f>
        <v>Pratt &amp; Whitney Canada PT6A Engine With P&amp;WC PT6A
20/ 27/ 41/ 42/ 60A/ 67D/ 112/ 114A/ 140 (Initial)</v>
      </c>
      <c r="F772" s="17">
        <v>42156</v>
      </c>
      <c r="G772" s="17" t="str" cm="1">
        <f t="array" ref="G7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2" s="15" t="str">
        <f ca="1">IF(OR(tblTraining[[#This Row],[Status]]="Renewed",tblTraining[[#This Row],[NextDueDate]]=""),"",tblTraining[[#This Row],[NextDueDate]]-TODAY())</f>
        <v/>
      </c>
      <c r="I772" s="15" t="str" cm="1">
        <f t="array" aca="1" ref="I7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3" spans="1:9" x14ac:dyDescent="0.25">
      <c r="A773" s="15">
        <f t="shared" si="12"/>
        <v>772</v>
      </c>
      <c r="B773" s="15" t="s">
        <v>135</v>
      </c>
      <c r="C773" s="15" t="str" cm="1">
        <f t="array" ref="C773">IFERROR(_xlfn.XLOOKUP(B773, tblPeople[PersonID], tblPeople[PersonName], ""), "")</f>
        <v>Francis Muriuki</v>
      </c>
      <c r="D773" s="15" t="s">
        <v>20</v>
      </c>
      <c r="E773" s="16" t="str">
        <f>IFERROR(_xlfn.XLOOKUP(D773, tblCourses[CourseID], tblCourses[CourseName], ""), "")</f>
        <v>Safety Management Systems (Initial)</v>
      </c>
      <c r="F773" s="17">
        <v>43699</v>
      </c>
      <c r="G773" s="17" t="str" cm="1">
        <f t="array" ref="G7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3" s="15" t="str">
        <f ca="1">IF(OR(tblTraining[[#This Row],[Status]]="Renewed",tblTraining[[#This Row],[NextDueDate]]=""),"",tblTraining[[#This Row],[NextDueDate]]-TODAY())</f>
        <v/>
      </c>
      <c r="I773" s="15" t="str" cm="1">
        <f t="array" aca="1" ref="I7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4" spans="1:9" x14ac:dyDescent="0.25">
      <c r="A774" s="15">
        <f t="shared" si="12"/>
        <v>773</v>
      </c>
      <c r="B774" s="15" t="s">
        <v>135</v>
      </c>
      <c r="C774" s="15" t="str" cm="1">
        <f t="array" ref="C774">IFERROR(_xlfn.XLOOKUP(B774, tblPeople[PersonID], tblPeople[PersonName], ""), "")</f>
        <v>Francis Muriuki</v>
      </c>
      <c r="D774" s="15" t="s">
        <v>24</v>
      </c>
      <c r="E774" s="16" t="str">
        <f>IFERROR(_xlfn.XLOOKUP(D774, tblCourses[CourseID], tblCourses[CourseName], ""), "")</f>
        <v>Human Factors in Aviation (Initial)</v>
      </c>
      <c r="F774" s="17">
        <v>43862</v>
      </c>
      <c r="G774" s="17" t="str" cm="1">
        <f t="array" ref="G7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4" s="15" t="str">
        <f ca="1">IF(OR(tblTraining[[#This Row],[Status]]="Renewed",tblTraining[[#This Row],[NextDueDate]]=""),"",tblTraining[[#This Row],[NextDueDate]]-TODAY())</f>
        <v/>
      </c>
      <c r="I774" s="15" t="str" cm="1">
        <f t="array" aca="1" ref="I7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5" spans="1:9" x14ac:dyDescent="0.25">
      <c r="A775" s="15">
        <f t="shared" si="12"/>
        <v>774</v>
      </c>
      <c r="B775" s="15" t="s">
        <v>150</v>
      </c>
      <c r="C775" s="15" t="str" cm="1">
        <f t="array" ref="C775">IFERROR(_xlfn.XLOOKUP(B775, tblPeople[PersonID], tblPeople[PersonName], ""), "")</f>
        <v>Kea Kazungu</v>
      </c>
      <c r="D775" s="15" t="s">
        <v>181</v>
      </c>
      <c r="E775" s="16" t="str">
        <f>IFERROR(_xlfn.XLOOKUP(D775, tblCourses[CourseID], tblCourses[CourseName], ""), "")</f>
        <v>Cessna 208 Series (Caravan) With P&amp;WC PT6A-114/ -114A/ -140 Engines (Initial)</v>
      </c>
      <c r="F775" s="17">
        <v>43875</v>
      </c>
      <c r="G775" s="17" t="str" cm="1">
        <f t="array" ref="G7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5" s="15" t="str">
        <f ca="1">IF(OR(tblTraining[[#This Row],[Status]]="Renewed",tblTraining[[#This Row],[NextDueDate]]=""),"",tblTraining[[#This Row],[NextDueDate]]-TODAY())</f>
        <v/>
      </c>
      <c r="I775" s="15" t="str" cm="1">
        <f t="array" aca="1" ref="I7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6" spans="1:9" x14ac:dyDescent="0.25">
      <c r="A776" s="15">
        <f t="shared" si="12"/>
        <v>775</v>
      </c>
      <c r="B776" s="15" t="s">
        <v>150</v>
      </c>
      <c r="C776" s="15" t="str" cm="1">
        <f t="array" ref="C776">IFERROR(_xlfn.XLOOKUP(B776, tblPeople[PersonID], tblPeople[PersonName], ""), "")</f>
        <v>Kea Kazungu</v>
      </c>
      <c r="D776" s="15" t="s">
        <v>27</v>
      </c>
      <c r="E776" s="16" t="str">
        <f>IFERROR(_xlfn.XLOOKUP(D776, tblCourses[CourseID], tblCourses[CourseName], ""), "")</f>
        <v>Pratt &amp; Whitney Canada PT6A Engine With P&amp;WC PT6A
20/ 27/ 41/ 42/ 60A/ 67D/ 112/ 114A/ 140 (Initial)</v>
      </c>
      <c r="F776" s="17">
        <v>40620</v>
      </c>
      <c r="G776" s="17" t="str" cm="1">
        <f t="array" ref="G7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6" s="15" t="str">
        <f ca="1">IF(OR(tblTraining[[#This Row],[Status]]="Renewed",tblTraining[[#This Row],[NextDueDate]]=""),"",tblTraining[[#This Row],[NextDueDate]]-TODAY())</f>
        <v/>
      </c>
      <c r="I776" s="15" t="str" cm="1">
        <f t="array" aca="1" ref="I7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7" spans="1:9" x14ac:dyDescent="0.25">
      <c r="A777" s="15">
        <f t="shared" si="12"/>
        <v>776</v>
      </c>
      <c r="B777" s="15" t="s">
        <v>150</v>
      </c>
      <c r="C777" s="15" t="str" cm="1">
        <f t="array" ref="C777">IFERROR(_xlfn.XLOOKUP(B777, tblPeople[PersonID], tblPeople[PersonName], ""), "")</f>
        <v>Kea Kazungu</v>
      </c>
      <c r="D777" s="15" t="s">
        <v>29</v>
      </c>
      <c r="E777" s="16" t="str">
        <f>IFERROR(_xlfn.XLOOKUP(D777, tblCourses[CourseID], tblCourses[CourseName], ""), "")</f>
        <v>DHC-8 100/200/300 with PWC 120/120A/121/123B/C/D/E Series Engines(Initial)</v>
      </c>
      <c r="F777" s="17">
        <v>43133</v>
      </c>
      <c r="G777" s="17" t="str" cm="1">
        <f t="array" ref="G7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7" s="15" t="str">
        <f ca="1">IF(OR(tblTraining[[#This Row],[Status]]="Renewed",tblTraining[[#This Row],[NextDueDate]]=""),"",tblTraining[[#This Row],[NextDueDate]]-TODAY())</f>
        <v/>
      </c>
      <c r="I777" s="15" t="str" cm="1">
        <f t="array" aca="1" ref="I7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8" spans="1:9" x14ac:dyDescent="0.25">
      <c r="A778" s="15">
        <f t="shared" si="12"/>
        <v>777</v>
      </c>
      <c r="B778" s="15" t="s">
        <v>150</v>
      </c>
      <c r="C778" s="15" t="str" cm="1">
        <f t="array" ref="C778">IFERROR(_xlfn.XLOOKUP(B778, tblPeople[PersonID], tblPeople[PersonName], ""), "")</f>
        <v>Kea Kazungu</v>
      </c>
      <c r="D778" s="15" t="s">
        <v>24</v>
      </c>
      <c r="E778" s="16" t="str">
        <f>IFERROR(_xlfn.XLOOKUP(D778, tblCourses[CourseID], tblCourses[CourseName], ""), "")</f>
        <v>Human Factors in Aviation (Initial)</v>
      </c>
      <c r="F778" s="17">
        <v>43237</v>
      </c>
      <c r="G778" s="17" t="str" cm="1">
        <f t="array" ref="G7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8" s="15" t="str">
        <f ca="1">IF(OR(tblTraining[[#This Row],[Status]]="Renewed",tblTraining[[#This Row],[NextDueDate]]=""),"",tblTraining[[#This Row],[NextDueDate]]-TODAY())</f>
        <v/>
      </c>
      <c r="I778" s="15" t="str" cm="1">
        <f t="array" aca="1" ref="I7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9" spans="1:9" x14ac:dyDescent="0.25">
      <c r="A779" s="15">
        <f t="shared" si="12"/>
        <v>778</v>
      </c>
      <c r="B779" s="15" t="s">
        <v>104</v>
      </c>
      <c r="C779" s="15" t="str" cm="1">
        <f t="array" ref="C779">IFERROR(_xlfn.XLOOKUP(B779, tblPeople[PersonID], tblPeople[PersonName], ""), "")</f>
        <v>Douglas Hurgins</v>
      </c>
      <c r="D779" s="15" t="s">
        <v>376</v>
      </c>
      <c r="E779" s="16" t="str">
        <f>IFERROR(_xlfn.XLOOKUP(D779, tblCourses[CourseID], tblCourses[CourseName], ""), "")</f>
        <v>WinAir Version 7</v>
      </c>
      <c r="F779" s="17">
        <v>43805</v>
      </c>
      <c r="G779" s="17" t="str" cm="1">
        <f t="array" ref="G7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9" s="15" t="str">
        <f ca="1">IF(OR(tblTraining[[#This Row],[Status]]="Renewed",tblTraining[[#This Row],[NextDueDate]]=""),"",tblTraining[[#This Row],[NextDueDate]]-TODAY())</f>
        <v/>
      </c>
      <c r="I779" s="15" t="str" cm="1">
        <f t="array" aca="1" ref="I7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0" spans="1:9" x14ac:dyDescent="0.25">
      <c r="A780" s="15">
        <f t="shared" si="12"/>
        <v>779</v>
      </c>
      <c r="B780" s="15" t="s">
        <v>83</v>
      </c>
      <c r="C780" s="15" t="str" cm="1">
        <f t="array" ref="C780">IFERROR(_xlfn.XLOOKUP(B780, tblPeople[PersonID], tblPeople[PersonName], ""), "")</f>
        <v>Wycliffe Kanana</v>
      </c>
      <c r="D780" s="15" t="s">
        <v>376</v>
      </c>
      <c r="E780" s="16" t="str">
        <f>IFERROR(_xlfn.XLOOKUP(D780, tblCourses[CourseID], tblCourses[CourseName], ""), "")</f>
        <v>WinAir Version 7</v>
      </c>
      <c r="F780" s="17">
        <v>43805</v>
      </c>
      <c r="G780" s="17" t="str" cm="1">
        <f t="array" ref="G7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0" s="15" t="str">
        <f ca="1">IF(OR(tblTraining[[#This Row],[Status]]="Renewed",tblTraining[[#This Row],[NextDueDate]]=""),"",tblTraining[[#This Row],[NextDueDate]]-TODAY())</f>
        <v/>
      </c>
      <c r="I780" s="15" t="str" cm="1">
        <f t="array" aca="1" ref="I7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1" spans="1:9" x14ac:dyDescent="0.25">
      <c r="A781" s="15">
        <f t="shared" si="12"/>
        <v>780</v>
      </c>
      <c r="B781" s="15" t="s">
        <v>157</v>
      </c>
      <c r="C781" s="15" t="str" cm="1">
        <f t="array" ref="C781">IFERROR(_xlfn.XLOOKUP(B781, tblPeople[PersonID], tblPeople[PersonName], ""), "")</f>
        <v>Stephen Mutambu</v>
      </c>
      <c r="D781" s="15" t="s">
        <v>376</v>
      </c>
      <c r="E781" s="16" t="str">
        <f>IFERROR(_xlfn.XLOOKUP(D781, tblCourses[CourseID], tblCourses[CourseName], ""), "")</f>
        <v>WinAir Version 7</v>
      </c>
      <c r="F781" s="17">
        <v>43805</v>
      </c>
      <c r="G781" s="17" t="str" cm="1">
        <f t="array" ref="G7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1" s="15" t="str">
        <f ca="1">IF(OR(tblTraining[[#This Row],[Status]]="Renewed",tblTraining[[#This Row],[NextDueDate]]=""),"",tblTraining[[#This Row],[NextDueDate]]-TODAY())</f>
        <v/>
      </c>
      <c r="I781" s="15" t="str" cm="1">
        <f t="array" aca="1" ref="I7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2" spans="1:9" x14ac:dyDescent="0.25">
      <c r="A782" s="15">
        <f t="shared" si="12"/>
        <v>781</v>
      </c>
      <c r="B782" s="15" t="s">
        <v>361</v>
      </c>
      <c r="C782" s="15" t="str" cm="1">
        <f t="array" ref="C782">IFERROR(_xlfn.XLOOKUP(B782, tblPeople[PersonID], tblPeople[PersonName], ""), "")</f>
        <v>Jackline Muembu</v>
      </c>
      <c r="D782" s="15" t="s">
        <v>24</v>
      </c>
      <c r="E782" s="16" t="str">
        <f>IFERROR(_xlfn.XLOOKUP(D782, tblCourses[CourseID], tblCourses[CourseName], ""), "")</f>
        <v>Human Factors in Aviation (Initial)</v>
      </c>
      <c r="F782" s="17">
        <v>43186</v>
      </c>
      <c r="G782" s="17" t="str" cm="1">
        <f t="array" ref="G7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2" s="15" t="str">
        <f ca="1">IF(OR(tblTraining[[#This Row],[Status]]="Renewed",tblTraining[[#This Row],[NextDueDate]]=""),"",tblTraining[[#This Row],[NextDueDate]]-TODAY())</f>
        <v/>
      </c>
      <c r="I782" s="15" t="str" cm="1">
        <f t="array" aca="1" ref="I7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3" spans="1:9" x14ac:dyDescent="0.25">
      <c r="A783" s="15">
        <f t="shared" si="12"/>
        <v>782</v>
      </c>
      <c r="B783" s="15" t="s">
        <v>361</v>
      </c>
      <c r="C783" s="15" t="str" cm="1">
        <f t="array" ref="C783">IFERROR(_xlfn.XLOOKUP(B783, tblPeople[PersonID], tblPeople[PersonName], ""), "")</f>
        <v>Jackline Muembu</v>
      </c>
      <c r="D783" s="15" t="s">
        <v>22</v>
      </c>
      <c r="E783" s="16" t="str">
        <f>IFERROR(_xlfn.XLOOKUP(D783, tblCourses[CourseID], tblCourses[CourseName], ""), "")</f>
        <v>Human Factors in Aviation (Refresher)</v>
      </c>
      <c r="F783" s="17">
        <v>43186</v>
      </c>
      <c r="G783" s="17" t="str" cm="1">
        <f t="array" ref="G7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3" s="15" t="str">
        <f ca="1">IF(OR(tblTraining[[#This Row],[Status]]="Renewed",tblTraining[[#This Row],[NextDueDate]]=""),"",tblTraining[[#This Row],[NextDueDate]]-TODAY())</f>
        <v/>
      </c>
      <c r="I783" s="15" t="str" cm="1">
        <f t="array" aca="1" ref="I7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4" spans="1:9" x14ac:dyDescent="0.25">
      <c r="A784" s="15">
        <f t="shared" si="12"/>
        <v>783</v>
      </c>
      <c r="B784" s="15" t="s">
        <v>106</v>
      </c>
      <c r="C784" s="15" t="str" cm="1">
        <f t="array" ref="C784">IFERROR(_xlfn.XLOOKUP(B784, tblPeople[PersonID], tblPeople[PersonName], ""), "")</f>
        <v>James Mugo</v>
      </c>
      <c r="D784" s="15" t="s">
        <v>28</v>
      </c>
      <c r="E784" s="16" t="str">
        <f>IFERROR(_xlfn.XLOOKUP(D784, tblCourses[CourseID], tblCourses[CourseName], ""), "")</f>
        <v>DHC-8 100/200/300 with PWC 120/120A/121/123B/C/D/E Series Engines(Refresher)</v>
      </c>
      <c r="F784" s="17">
        <v>43391</v>
      </c>
      <c r="G784" s="17" t="str" cm="1">
        <f t="array" ref="G7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4" s="15" t="str">
        <f ca="1">IF(OR(tblTraining[[#This Row],[Status]]="Renewed",tblTraining[[#This Row],[NextDueDate]]=""),"",tblTraining[[#This Row],[NextDueDate]]-TODAY())</f>
        <v/>
      </c>
      <c r="I784" s="15" t="str" cm="1">
        <f t="array" aca="1" ref="I7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5" spans="1:9" x14ac:dyDescent="0.25">
      <c r="A785" s="15">
        <f t="shared" si="12"/>
        <v>784</v>
      </c>
      <c r="B785" s="15" t="s">
        <v>106</v>
      </c>
      <c r="C785" s="15" t="str" cm="1">
        <f t="array" ref="C785">IFERROR(_xlfn.XLOOKUP(B785, tblPeople[PersonID], tblPeople[PersonName], ""), "")</f>
        <v>James Mugo</v>
      </c>
      <c r="D785" s="15" t="s">
        <v>20</v>
      </c>
      <c r="E785" s="16" t="str">
        <f>IFERROR(_xlfn.XLOOKUP(D785, tblCourses[CourseID], tblCourses[CourseName], ""), "")</f>
        <v>Safety Management Systems (Initial)</v>
      </c>
      <c r="F785" s="17">
        <v>41709</v>
      </c>
      <c r="G785" s="17" t="str" cm="1">
        <f t="array" ref="G7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5" s="15" t="str">
        <f ca="1">IF(OR(tblTraining[[#This Row],[Status]]="Renewed",tblTraining[[#This Row],[NextDueDate]]=""),"",tblTraining[[#This Row],[NextDueDate]]-TODAY())</f>
        <v/>
      </c>
      <c r="I785" s="15" t="str" cm="1">
        <f t="array" aca="1" ref="I7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6" spans="1:9" x14ac:dyDescent="0.25">
      <c r="A786" s="15">
        <f t="shared" si="12"/>
        <v>785</v>
      </c>
      <c r="B786" s="15" t="s">
        <v>106</v>
      </c>
      <c r="C786" s="15" t="str" cm="1">
        <f t="array" ref="C786">IFERROR(_xlfn.XLOOKUP(B786, tblPeople[PersonID], tblPeople[PersonName], ""), "")</f>
        <v>James Mugo</v>
      </c>
      <c r="D786" s="15" t="s">
        <v>24</v>
      </c>
      <c r="E786" s="16" t="str">
        <f>IFERROR(_xlfn.XLOOKUP(D786, tblCourses[CourseID], tblCourses[CourseName], ""), "")</f>
        <v>Human Factors in Aviation (Initial)</v>
      </c>
      <c r="F786" s="17">
        <v>41710</v>
      </c>
      <c r="G786" s="17" t="str" cm="1">
        <f t="array" ref="G7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6" s="15" t="str">
        <f ca="1">IF(OR(tblTraining[[#This Row],[Status]]="Renewed",tblTraining[[#This Row],[NextDueDate]]=""),"",tblTraining[[#This Row],[NextDueDate]]-TODAY())</f>
        <v/>
      </c>
      <c r="I786" s="15" t="str" cm="1">
        <f t="array" aca="1" ref="I7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7" spans="1:9" x14ac:dyDescent="0.25">
      <c r="A787" s="15">
        <f t="shared" si="12"/>
        <v>786</v>
      </c>
      <c r="B787" s="15" t="s">
        <v>106</v>
      </c>
      <c r="C787" s="15" t="str" cm="1">
        <f t="array" ref="C787">IFERROR(_xlfn.XLOOKUP(B787, tblPeople[PersonID], tblPeople[PersonName], ""), "")</f>
        <v>James Mugo</v>
      </c>
      <c r="D787" s="15" t="s">
        <v>181</v>
      </c>
      <c r="E787" s="16" t="str">
        <f>IFERROR(_xlfn.XLOOKUP(D787, tblCourses[CourseID], tblCourses[CourseName], ""), "")</f>
        <v>Cessna 208 Series (Caravan) With P&amp;WC PT6A-114/ -114A/ -140 Engines (Initial)</v>
      </c>
      <c r="F787" s="17">
        <v>41726</v>
      </c>
      <c r="G787" s="17" t="str" cm="1">
        <f t="array" ref="G7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7" s="15" t="str">
        <f ca="1">IF(OR(tblTraining[[#This Row],[Status]]="Renewed",tblTraining[[#This Row],[NextDueDate]]=""),"",tblTraining[[#This Row],[NextDueDate]]-TODAY())</f>
        <v/>
      </c>
      <c r="I787" s="15" t="str" cm="1">
        <f t="array" aca="1" ref="I7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8" spans="1:9" x14ac:dyDescent="0.25">
      <c r="A788" s="15">
        <f t="shared" si="12"/>
        <v>787</v>
      </c>
      <c r="B788" s="15" t="s">
        <v>106</v>
      </c>
      <c r="C788" s="15" t="str" cm="1">
        <f t="array" ref="C788">IFERROR(_xlfn.XLOOKUP(B788, tblPeople[PersonID], tblPeople[PersonName], ""), "")</f>
        <v>James Mugo</v>
      </c>
      <c r="D788" s="15" t="s">
        <v>22</v>
      </c>
      <c r="E788" s="16" t="str">
        <f>IFERROR(_xlfn.XLOOKUP(D788, tblCourses[CourseID], tblCourses[CourseName], ""), "")</f>
        <v>Human Factors in Aviation (Refresher)</v>
      </c>
      <c r="F788" s="17">
        <v>43154</v>
      </c>
      <c r="G788" s="17" t="str" cm="1">
        <f t="array" ref="G7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8" s="15" t="str">
        <f ca="1">IF(OR(tblTraining[[#This Row],[Status]]="Renewed",tblTraining[[#This Row],[NextDueDate]]=""),"",tblTraining[[#This Row],[NextDueDate]]-TODAY())</f>
        <v/>
      </c>
      <c r="I788" s="15" t="str" cm="1">
        <f t="array" aca="1" ref="I7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9" spans="1:9" x14ac:dyDescent="0.25">
      <c r="A789" s="15">
        <f t="shared" si="12"/>
        <v>788</v>
      </c>
      <c r="B789" s="15" t="s">
        <v>106</v>
      </c>
      <c r="C789" s="15" t="str" cm="1">
        <f t="array" ref="C789">IFERROR(_xlfn.XLOOKUP(B789, tblPeople[PersonID], tblPeople[PersonName], ""), "")</f>
        <v>James Mugo</v>
      </c>
      <c r="D789" s="15" t="s">
        <v>17</v>
      </c>
      <c r="E789" s="16" t="str">
        <f>IFERROR(_xlfn.XLOOKUP(D789, tblCourses[CourseID], tblCourses[CourseName], ""), "")</f>
        <v>Safety Management Systems (Refresher)</v>
      </c>
      <c r="F789" s="17">
        <v>43602</v>
      </c>
      <c r="G789" s="17" t="str" cm="1">
        <f t="array" ref="G7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9" s="15" t="str">
        <f ca="1">IF(OR(tblTraining[[#This Row],[Status]]="Renewed",tblTraining[[#This Row],[NextDueDate]]=""),"",tblTraining[[#This Row],[NextDueDate]]-TODAY())</f>
        <v/>
      </c>
      <c r="I789" s="15" t="str" cm="1">
        <f t="array" aca="1" ref="I7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90" spans="1:9" x14ac:dyDescent="0.25">
      <c r="A790" s="15">
        <f t="shared" si="12"/>
        <v>789</v>
      </c>
      <c r="B790" s="15" t="s">
        <v>100</v>
      </c>
      <c r="C790" s="15" t="str" cm="1">
        <f t="array" ref="C790">IFERROR(_xlfn.XLOOKUP(B790, tblPeople[PersonID], tblPeople[PersonName], ""), "")</f>
        <v>John Muriithi</v>
      </c>
      <c r="D790" s="15" t="s">
        <v>20</v>
      </c>
      <c r="E790" s="16" t="str">
        <f>IFERROR(_xlfn.XLOOKUP(D790, tblCourses[CourseID], tblCourses[CourseName], ""), "")</f>
        <v>Safety Management Systems (Initial)</v>
      </c>
      <c r="F790" s="17">
        <v>44281</v>
      </c>
      <c r="G790" s="17" t="str" cm="1">
        <f t="array" ref="G7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0" s="15" t="str">
        <f ca="1">IF(OR(tblTraining[[#This Row],[Status]]="Renewed",tblTraining[[#This Row],[NextDueDate]]=""),"",tblTraining[[#This Row],[NextDueDate]]-TODAY())</f>
        <v/>
      </c>
      <c r="I790" s="15" t="str" cm="1">
        <f t="array" aca="1" ref="I7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1" spans="1:9" x14ac:dyDescent="0.25">
      <c r="A791" s="15">
        <f t="shared" si="12"/>
        <v>790</v>
      </c>
      <c r="B791" s="15" t="s">
        <v>100</v>
      </c>
      <c r="C791" s="15" t="str" cm="1">
        <f t="array" ref="C791">IFERROR(_xlfn.XLOOKUP(B791, tblPeople[PersonID], tblPeople[PersonName], ""), "")</f>
        <v>John Muriithi</v>
      </c>
      <c r="D791" s="15" t="s">
        <v>24</v>
      </c>
      <c r="E791" s="16" t="str">
        <f>IFERROR(_xlfn.XLOOKUP(D791, tblCourses[CourseID], tblCourses[CourseName], ""), "")</f>
        <v>Human Factors in Aviation (Initial)</v>
      </c>
      <c r="F791" s="17">
        <v>43186</v>
      </c>
      <c r="G791" s="17" t="str" cm="1">
        <f t="array" ref="G7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1" s="15" t="str">
        <f ca="1">IF(OR(tblTraining[[#This Row],[Status]]="Renewed",tblTraining[[#This Row],[NextDueDate]]=""),"",tblTraining[[#This Row],[NextDueDate]]-TODAY())</f>
        <v/>
      </c>
      <c r="I791" s="15" t="str" cm="1">
        <f t="array" aca="1" ref="I7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2" spans="1:9" x14ac:dyDescent="0.25">
      <c r="A792" s="15">
        <f t="shared" si="12"/>
        <v>791</v>
      </c>
      <c r="B792" s="15" t="s">
        <v>100</v>
      </c>
      <c r="C792" s="15" t="str" cm="1">
        <f t="array" ref="C792">IFERROR(_xlfn.XLOOKUP(B792, tblPeople[PersonID], tblPeople[PersonName], ""), "")</f>
        <v>John Muriithi</v>
      </c>
      <c r="D792" s="15" t="s">
        <v>29</v>
      </c>
      <c r="E792" s="16" t="str">
        <f>IFERROR(_xlfn.XLOOKUP(D792, tblCourses[CourseID], tblCourses[CourseName], ""), "")</f>
        <v>DHC-8 100/200/300 with PWC 120/120A/121/123B/C/D/E Series Engines(Initial)</v>
      </c>
      <c r="F792" s="17">
        <v>43777</v>
      </c>
      <c r="G792" s="17" t="str" cm="1">
        <f t="array" ref="G7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2" s="15" t="str">
        <f ca="1">IF(OR(tblTraining[[#This Row],[Status]]="Renewed",tblTraining[[#This Row],[NextDueDate]]=""),"",tblTraining[[#This Row],[NextDueDate]]-TODAY())</f>
        <v/>
      </c>
      <c r="I792" s="15" t="str" cm="1">
        <f t="array" aca="1" ref="I7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3" spans="1:9" x14ac:dyDescent="0.25">
      <c r="A793" s="15">
        <f t="shared" si="12"/>
        <v>792</v>
      </c>
      <c r="B793" s="15" t="s">
        <v>100</v>
      </c>
      <c r="C793" s="15" t="str" cm="1">
        <f t="array" ref="C793">IFERROR(_xlfn.XLOOKUP(B793, tblPeople[PersonID], tblPeople[PersonName], ""), "")</f>
        <v>John Muriithi</v>
      </c>
      <c r="D793" s="15" t="s">
        <v>28</v>
      </c>
      <c r="E793" s="16" t="str">
        <f>IFERROR(_xlfn.XLOOKUP(D793, tblCourses[CourseID], tblCourses[CourseName], ""), "")</f>
        <v>DHC-8 100/200/300 with PWC 120/120A/121/123B/C/D/E Series Engines(Refresher)</v>
      </c>
      <c r="F793" s="17">
        <v>45009</v>
      </c>
      <c r="G793" s="17" t="str" cm="1">
        <f t="array" ref="G7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3" s="15" t="str">
        <f ca="1">IF(OR(tblTraining[[#This Row],[Status]]="Renewed",tblTraining[[#This Row],[NextDueDate]]=""),"",tblTraining[[#This Row],[NextDueDate]]-TODAY())</f>
        <v/>
      </c>
      <c r="I793" s="15" t="str" cm="1">
        <f t="array" aca="1" ref="I7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94" spans="1:9" x14ac:dyDescent="0.25">
      <c r="A794" s="15">
        <f t="shared" si="12"/>
        <v>793</v>
      </c>
      <c r="B794" s="15" t="s">
        <v>97</v>
      </c>
      <c r="C794" s="15" t="str" cm="1">
        <f t="array" ref="C794">IFERROR(_xlfn.XLOOKUP(B794, tblPeople[PersonID], tblPeople[PersonName], ""), "")</f>
        <v>Thomas Wambunya</v>
      </c>
      <c r="D794" s="15" t="s">
        <v>24</v>
      </c>
      <c r="E794" s="16" t="str">
        <f>IFERROR(_xlfn.XLOOKUP(D794, tblCourses[CourseID], tblCourses[CourseName], ""), "")</f>
        <v>Human Factors in Aviation (Initial)</v>
      </c>
      <c r="F794" s="17">
        <v>43237</v>
      </c>
      <c r="G794" s="17" t="str" cm="1">
        <f t="array" ref="G7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4" s="15" t="str">
        <f ca="1">IF(OR(tblTraining[[#This Row],[Status]]="Renewed",tblTraining[[#This Row],[NextDueDate]]=""),"",tblTraining[[#This Row],[NextDueDate]]-TODAY())</f>
        <v/>
      </c>
      <c r="I794" s="15" t="str" cm="1">
        <f t="array" aca="1" ref="I7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5" spans="1:9" x14ac:dyDescent="0.25">
      <c r="A795" s="15">
        <f t="shared" si="12"/>
        <v>794</v>
      </c>
      <c r="B795" s="15" t="s">
        <v>97</v>
      </c>
      <c r="C795" s="15" t="str" cm="1">
        <f t="array" ref="C795">IFERROR(_xlfn.XLOOKUP(B795, tblPeople[PersonID], tblPeople[PersonName], ""), "")</f>
        <v>Thomas Wambunya</v>
      </c>
      <c r="D795" s="15" t="s">
        <v>22</v>
      </c>
      <c r="E795" s="16" t="str">
        <f>IFERROR(_xlfn.XLOOKUP(D795, tblCourses[CourseID], tblCourses[CourseName], ""), "")</f>
        <v>Human Factors in Aviation (Refresher)</v>
      </c>
      <c r="F795" s="17">
        <v>43237</v>
      </c>
      <c r="G795" s="17" t="str" cm="1">
        <f t="array" ref="G7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5" s="15" t="str">
        <f ca="1">IF(OR(tblTraining[[#This Row],[Status]]="Renewed",tblTraining[[#This Row],[NextDueDate]]=""),"",tblTraining[[#This Row],[NextDueDate]]-TODAY())</f>
        <v/>
      </c>
      <c r="I795" s="15" t="str" cm="1">
        <f t="array" aca="1" ref="I7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96" spans="1:9" x14ac:dyDescent="0.25">
      <c r="A796" s="15">
        <f t="shared" si="12"/>
        <v>795</v>
      </c>
      <c r="B796" s="15" t="s">
        <v>97</v>
      </c>
      <c r="C796" s="15" t="str" cm="1">
        <f t="array" ref="C796">IFERROR(_xlfn.XLOOKUP(B796, tblPeople[PersonID], tblPeople[PersonName], ""), "")</f>
        <v>Thomas Wambunya</v>
      </c>
      <c r="D796" s="15" t="s">
        <v>20</v>
      </c>
      <c r="E796" s="16" t="str">
        <f>IFERROR(_xlfn.XLOOKUP(D796, tblCourses[CourseID], tblCourses[CourseName], ""), "")</f>
        <v>Safety Management Systems (Initial)</v>
      </c>
      <c r="F796" s="17">
        <v>43201</v>
      </c>
      <c r="G796" s="17" t="str" cm="1">
        <f t="array" ref="G7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6" s="15" t="str">
        <f ca="1">IF(OR(tblTraining[[#This Row],[Status]]="Renewed",tblTraining[[#This Row],[NextDueDate]]=""),"",tblTraining[[#This Row],[NextDueDate]]-TODAY())</f>
        <v/>
      </c>
      <c r="I796" s="15" t="str" cm="1">
        <f t="array" aca="1" ref="I7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7" spans="1:9" x14ac:dyDescent="0.25">
      <c r="A797" s="15">
        <f t="shared" si="12"/>
        <v>796</v>
      </c>
      <c r="B797" s="15" t="s">
        <v>97</v>
      </c>
      <c r="C797" s="15" t="str" cm="1">
        <f t="array" ref="C797">IFERROR(_xlfn.XLOOKUP(B797, tblPeople[PersonID], tblPeople[PersonName], ""), "")</f>
        <v>Thomas Wambunya</v>
      </c>
      <c r="D797" s="15" t="s">
        <v>231</v>
      </c>
      <c r="E797" s="16" t="str">
        <f>IFERROR(_xlfn.XLOOKUP(D797, tblCourses[CourseID], tblCourses[CourseName], ""), "")</f>
        <v>First Aid Training (Initial)</v>
      </c>
      <c r="F797" s="17">
        <v>43707</v>
      </c>
      <c r="G797" s="17" t="str" cm="1">
        <f t="array" ref="G7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7" s="15" t="str">
        <f ca="1">IF(OR(tblTraining[[#This Row],[Status]]="Renewed",tblTraining[[#This Row],[NextDueDate]]=""),"",tblTraining[[#This Row],[NextDueDate]]-TODAY())</f>
        <v/>
      </c>
      <c r="I797" s="15" t="str" cm="1">
        <f t="array" aca="1" ref="I7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8" spans="1:9" x14ac:dyDescent="0.25">
      <c r="A798" s="15">
        <f t="shared" si="12"/>
        <v>797</v>
      </c>
      <c r="B798" s="15" t="s">
        <v>97</v>
      </c>
      <c r="C798" s="15" t="str" cm="1">
        <f t="array" ref="C798">IFERROR(_xlfn.XLOOKUP(B798, tblPeople[PersonID], tblPeople[PersonName], ""), "")</f>
        <v>Thomas Wambunya</v>
      </c>
      <c r="D798" s="15" t="s">
        <v>232</v>
      </c>
      <c r="E798" s="16" t="str">
        <f>IFERROR(_xlfn.XLOOKUP(D798, tblCourses[CourseID], tblCourses[CourseName], ""), "")</f>
        <v>First Aid Training (Refresher)</v>
      </c>
      <c r="F798" s="17">
        <v>43707</v>
      </c>
      <c r="G798" s="17" cm="1">
        <f t="array" ref="G7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44803</v>
      </c>
      <c r="H798" s="15">
        <f ca="1">IF(OR(tblTraining[[#This Row],[Status]]="Renewed",tblTraining[[#This Row],[NextDueDate]]=""),"",tblTraining[[#This Row],[NextDueDate]]-TODAY())</f>
        <v>-1483</v>
      </c>
      <c r="I798" s="15" t="str" cm="1">
        <f t="array" aca="1" ref="I7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799" spans="1:9" x14ac:dyDescent="0.25">
      <c r="A799" s="15">
        <f t="shared" si="12"/>
        <v>798</v>
      </c>
      <c r="B799" s="15" t="s">
        <v>107</v>
      </c>
      <c r="C799" s="15" t="str" cm="1">
        <f t="array" ref="C799">IFERROR(_xlfn.XLOOKUP(B799, tblPeople[PersonID], tblPeople[PersonName], ""), "")</f>
        <v>Julius Nyawira</v>
      </c>
      <c r="D799" s="15" t="s">
        <v>29</v>
      </c>
      <c r="E799" s="16" t="str">
        <f>IFERROR(_xlfn.XLOOKUP(D799, tblCourses[CourseID], tblCourses[CourseName], ""), "")</f>
        <v>DHC-8 100/200/300 with PWC 120/120A/121/123B/C/D/E Series Engines(Initial)</v>
      </c>
      <c r="F799" s="17">
        <v>43336</v>
      </c>
      <c r="G799" s="17" t="str" cm="1">
        <f t="array" ref="G7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9" s="15" t="str">
        <f ca="1">IF(OR(tblTraining[[#This Row],[Status]]="Renewed",tblTraining[[#This Row],[NextDueDate]]=""),"",tblTraining[[#This Row],[NextDueDate]]-TODAY())</f>
        <v/>
      </c>
      <c r="I799" s="15" t="str" cm="1">
        <f t="array" aca="1" ref="I7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0" spans="1:9" x14ac:dyDescent="0.25">
      <c r="A800" s="15">
        <f t="shared" si="12"/>
        <v>799</v>
      </c>
      <c r="B800" s="15" t="s">
        <v>107</v>
      </c>
      <c r="C800" s="15" t="str" cm="1">
        <f t="array" ref="C800">IFERROR(_xlfn.XLOOKUP(B800, tblPeople[PersonID], tblPeople[PersonName], ""), "")</f>
        <v>Julius Nyawira</v>
      </c>
      <c r="D800" s="15" t="s">
        <v>27</v>
      </c>
      <c r="E800" s="16" t="str">
        <f>IFERROR(_xlfn.XLOOKUP(D800, tblCourses[CourseID], tblCourses[CourseName], ""), "")</f>
        <v>Pratt &amp; Whitney Canada PT6A Engine With P&amp;WC PT6A
20/ 27/ 41/ 42/ 60A/ 67D/ 112/ 114A/ 140 (Initial)</v>
      </c>
      <c r="F800" s="17">
        <v>42951</v>
      </c>
      <c r="G800" s="17" t="str" cm="1">
        <f t="array" ref="G8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0" s="15" t="str">
        <f ca="1">IF(OR(tblTraining[[#This Row],[Status]]="Renewed",tblTraining[[#This Row],[NextDueDate]]=""),"",tblTraining[[#This Row],[NextDueDate]]-TODAY())</f>
        <v/>
      </c>
      <c r="I800" s="15" t="str" cm="1">
        <f t="array" aca="1" ref="I8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01" spans="1:9" x14ac:dyDescent="0.25">
      <c r="A801" s="15">
        <f t="shared" si="12"/>
        <v>800</v>
      </c>
      <c r="B801" s="15" t="s">
        <v>107</v>
      </c>
      <c r="C801" s="15" t="str" cm="1">
        <f t="array" ref="C801">IFERROR(_xlfn.XLOOKUP(B801, tblPeople[PersonID], tblPeople[PersonName], ""), "")</f>
        <v>Julius Nyawira</v>
      </c>
      <c r="D801" s="15" t="s">
        <v>24</v>
      </c>
      <c r="E801" s="16" t="str">
        <f>IFERROR(_xlfn.XLOOKUP(D801, tblCourses[CourseID], tblCourses[CourseName], ""), "")</f>
        <v>Human Factors in Aviation (Initial)</v>
      </c>
      <c r="F801" s="17">
        <v>43238</v>
      </c>
      <c r="G801" s="17" t="str" cm="1">
        <f t="array" ref="G8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1" s="15" t="str">
        <f ca="1">IF(OR(tblTraining[[#This Row],[Status]]="Renewed",tblTraining[[#This Row],[NextDueDate]]=""),"",tblTraining[[#This Row],[NextDueDate]]-TODAY())</f>
        <v/>
      </c>
      <c r="I801" s="15" t="str" cm="1">
        <f t="array" aca="1" ref="I8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2" spans="1:9" x14ac:dyDescent="0.25">
      <c r="A802" s="15">
        <f t="shared" si="12"/>
        <v>801</v>
      </c>
      <c r="B802" s="15" t="s">
        <v>107</v>
      </c>
      <c r="C802" s="15" t="str" cm="1">
        <f t="array" ref="C802">IFERROR(_xlfn.XLOOKUP(B802, tblPeople[PersonID], tblPeople[PersonName], ""), "")</f>
        <v>Julius Nyawira</v>
      </c>
      <c r="D802" s="15" t="s">
        <v>22</v>
      </c>
      <c r="E802" s="16" t="str">
        <f>IFERROR(_xlfn.XLOOKUP(D802, tblCourses[CourseID], tblCourses[CourseName], ""), "")</f>
        <v>Human Factors in Aviation (Refresher)</v>
      </c>
      <c r="F802" s="17">
        <v>43238</v>
      </c>
      <c r="G802" s="17" t="str" cm="1">
        <f t="array" ref="G8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2" s="15" t="str">
        <f ca="1">IF(OR(tblTraining[[#This Row],[Status]]="Renewed",tblTraining[[#This Row],[NextDueDate]]=""),"",tblTraining[[#This Row],[NextDueDate]]-TODAY())</f>
        <v/>
      </c>
      <c r="I802" s="15" t="str" cm="1">
        <f t="array" aca="1" ref="I8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03" spans="1:9" x14ac:dyDescent="0.25">
      <c r="A803" s="15">
        <f t="shared" si="12"/>
        <v>802</v>
      </c>
      <c r="B803" s="15" t="s">
        <v>107</v>
      </c>
      <c r="C803" s="15" t="str" cm="1">
        <f t="array" ref="C803">IFERROR(_xlfn.XLOOKUP(B803, tblPeople[PersonID], tblPeople[PersonName], ""), "")</f>
        <v>Julius Nyawira</v>
      </c>
      <c r="D803" s="15" t="s">
        <v>20</v>
      </c>
      <c r="E803" s="16" t="str">
        <f>IFERROR(_xlfn.XLOOKUP(D803, tblCourses[CourseID], tblCourses[CourseName], ""), "")</f>
        <v>Safety Management Systems (Initial)</v>
      </c>
      <c r="F803" s="17">
        <v>43201</v>
      </c>
      <c r="G803" s="17" t="str" cm="1">
        <f t="array" ref="G8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3" s="15" t="str">
        <f ca="1">IF(OR(tblTraining[[#This Row],[Status]]="Renewed",tblTraining[[#This Row],[NextDueDate]]=""),"",tblTraining[[#This Row],[NextDueDate]]-TODAY())</f>
        <v/>
      </c>
      <c r="I803" s="15" t="str" cm="1">
        <f t="array" aca="1" ref="I8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4" spans="1:9" x14ac:dyDescent="0.25">
      <c r="A804" s="15">
        <f t="shared" si="12"/>
        <v>803</v>
      </c>
      <c r="B804" s="15" t="s">
        <v>105</v>
      </c>
      <c r="C804" s="15" t="str" cm="1">
        <f t="array" ref="C804">IFERROR(_xlfn.XLOOKUP(B804, tblPeople[PersonID], tblPeople[PersonName], ""), "")</f>
        <v>Fred Magotsi</v>
      </c>
      <c r="D804" s="15" t="s">
        <v>28</v>
      </c>
      <c r="E804" s="16" t="str">
        <f>IFERROR(_xlfn.XLOOKUP(D804, tblCourses[CourseID], tblCourses[CourseName], ""), "")</f>
        <v>DHC-8 100/200/300 with PWC 120/120A/121/123B/C/D/E Series Engines(Refresher)</v>
      </c>
      <c r="F804" s="17">
        <v>43588</v>
      </c>
      <c r="G804" s="17" t="str" cm="1">
        <f t="array" ref="G8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4" s="15" t="str">
        <f ca="1">IF(OR(tblTraining[[#This Row],[Status]]="Renewed",tblTraining[[#This Row],[NextDueDate]]=""),"",tblTraining[[#This Row],[NextDueDate]]-TODAY())</f>
        <v/>
      </c>
      <c r="I804" s="15" t="str" cm="1">
        <f t="array" aca="1" ref="I8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05" spans="1:9" x14ac:dyDescent="0.25">
      <c r="A805" s="15">
        <f t="shared" si="12"/>
        <v>804</v>
      </c>
      <c r="B805" s="15" t="s">
        <v>105</v>
      </c>
      <c r="C805" s="15" t="str" cm="1">
        <f t="array" ref="C805">IFERROR(_xlfn.XLOOKUP(B805, tblPeople[PersonID], tblPeople[PersonName], ""), "")</f>
        <v>Fred Magotsi</v>
      </c>
      <c r="D805" s="15" t="s">
        <v>376</v>
      </c>
      <c r="E805" s="16" t="str">
        <f>IFERROR(_xlfn.XLOOKUP(D805, tblCourses[CourseID], tblCourses[CourseName], ""), "")</f>
        <v>WinAir Version 7</v>
      </c>
      <c r="F805" s="17">
        <v>43805</v>
      </c>
      <c r="G805" s="17" t="str" cm="1">
        <f t="array" ref="G8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5" s="15" t="str">
        <f ca="1">IF(OR(tblTraining[[#This Row],[Status]]="Renewed",tblTraining[[#This Row],[NextDueDate]]=""),"",tblTraining[[#This Row],[NextDueDate]]-TODAY())</f>
        <v/>
      </c>
      <c r="I805" s="15" t="str" cm="1">
        <f t="array" aca="1" ref="I8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6" spans="1:9" x14ac:dyDescent="0.25">
      <c r="A806" s="15">
        <f t="shared" si="12"/>
        <v>805</v>
      </c>
      <c r="B806" s="15" t="s">
        <v>105</v>
      </c>
      <c r="C806" s="15" t="str" cm="1">
        <f t="array" ref="C806">IFERROR(_xlfn.XLOOKUP(B806, tblPeople[PersonID], tblPeople[PersonName], ""), "")</f>
        <v>Fred Magotsi</v>
      </c>
      <c r="D806" s="15" t="s">
        <v>20</v>
      </c>
      <c r="E806" s="16" t="str">
        <f>IFERROR(_xlfn.XLOOKUP(D806, tblCourses[CourseID], tblCourses[CourseName], ""), "")</f>
        <v>Safety Management Systems (Initial)</v>
      </c>
      <c r="F806" s="17">
        <v>42879</v>
      </c>
      <c r="G806" s="17" t="str" cm="1">
        <f t="array" ref="G8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6" s="15" t="str">
        <f ca="1">IF(OR(tblTraining[[#This Row],[Status]]="Renewed",tblTraining[[#This Row],[NextDueDate]]=""),"",tblTraining[[#This Row],[NextDueDate]]-TODAY())</f>
        <v/>
      </c>
      <c r="I806" s="15" t="str" cm="1">
        <f t="array" aca="1" ref="I8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7" spans="1:9" x14ac:dyDescent="0.25">
      <c r="A807" s="15">
        <f t="shared" si="12"/>
        <v>806</v>
      </c>
      <c r="B807" s="15" t="s">
        <v>105</v>
      </c>
      <c r="C807" s="15" t="str" cm="1">
        <f t="array" ref="C807">IFERROR(_xlfn.XLOOKUP(B807, tblPeople[PersonID], tblPeople[PersonName], ""), "")</f>
        <v>Fred Magotsi</v>
      </c>
      <c r="D807" s="15" t="s">
        <v>17</v>
      </c>
      <c r="E807" s="16" t="str">
        <f>IFERROR(_xlfn.XLOOKUP(D807, tblCourses[CourseID], tblCourses[CourseName], ""), "")</f>
        <v>Safety Management Systems (Refresher)</v>
      </c>
      <c r="F807" s="17">
        <v>43602</v>
      </c>
      <c r="G807" s="17" t="str" cm="1">
        <f t="array" ref="G8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7" s="15" t="str">
        <f ca="1">IF(OR(tblTraining[[#This Row],[Status]]="Renewed",tblTraining[[#This Row],[NextDueDate]]=""),"",tblTraining[[#This Row],[NextDueDate]]-TODAY())</f>
        <v/>
      </c>
      <c r="I807" s="15" t="str" cm="1">
        <f t="array" aca="1" ref="I8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08" spans="1:9" x14ac:dyDescent="0.25">
      <c r="A808" s="15">
        <f t="shared" si="12"/>
        <v>807</v>
      </c>
      <c r="B808" s="15" t="s">
        <v>83</v>
      </c>
      <c r="C808" s="15" t="str" cm="1">
        <f t="array" ref="C808">IFERROR(_xlfn.XLOOKUP(B808, tblPeople[PersonID], tblPeople[PersonName], ""), "")</f>
        <v>Wycliffe Kanana</v>
      </c>
      <c r="D808" s="15" t="s">
        <v>231</v>
      </c>
      <c r="E808" s="16" t="str">
        <f>IFERROR(_xlfn.XLOOKUP(D808, tblCourses[CourseID], tblCourses[CourseName], ""), "")</f>
        <v>First Aid Training (Initial)</v>
      </c>
      <c r="F808" s="17">
        <v>43797</v>
      </c>
      <c r="G808" s="17" t="str" cm="1">
        <f t="array" ref="G8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8" s="15" t="str">
        <f ca="1">IF(OR(tblTraining[[#This Row],[Status]]="Renewed",tblTraining[[#This Row],[NextDueDate]]=""),"",tblTraining[[#This Row],[NextDueDate]]-TODAY())</f>
        <v/>
      </c>
      <c r="I808" s="15" t="str" cm="1">
        <f t="array" aca="1" ref="I8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9" spans="1:9" x14ac:dyDescent="0.25">
      <c r="A809" s="15">
        <f t="shared" si="12"/>
        <v>808</v>
      </c>
      <c r="B809" s="15" t="s">
        <v>83</v>
      </c>
      <c r="C809" s="15" t="str" cm="1">
        <f t="array" ref="C809">IFERROR(_xlfn.XLOOKUP(B809, tblPeople[PersonID], tblPeople[PersonName], ""), "")</f>
        <v>Wycliffe Kanana</v>
      </c>
      <c r="D809" s="15" t="s">
        <v>232</v>
      </c>
      <c r="E809" s="16" t="str">
        <f>IFERROR(_xlfn.XLOOKUP(D809, tblCourses[CourseID], tblCourses[CourseName], ""), "")</f>
        <v>First Aid Training (Refresher)</v>
      </c>
      <c r="F809" s="17">
        <v>43797</v>
      </c>
      <c r="G809" s="17" t="str" cm="1">
        <f t="array" ref="G8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9" s="15" t="str">
        <f ca="1">IF(OR(tblTraining[[#This Row],[Status]]="Renewed",tblTraining[[#This Row],[NextDueDate]]=""),"",tblTraining[[#This Row],[NextDueDate]]-TODAY())</f>
        <v/>
      </c>
      <c r="I809" s="15" t="str" cm="1">
        <f t="array" aca="1" ref="I8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10" spans="1:9" x14ac:dyDescent="0.25">
      <c r="A810" s="15">
        <f t="shared" si="12"/>
        <v>809</v>
      </c>
      <c r="B810" s="15" t="s">
        <v>83</v>
      </c>
      <c r="C810" s="15" t="str" cm="1">
        <f t="array" ref="C810">IFERROR(_xlfn.XLOOKUP(B810, tblPeople[PersonID], tblPeople[PersonName], ""), "")</f>
        <v>Wycliffe Kanana</v>
      </c>
      <c r="D810" s="15" t="s">
        <v>20</v>
      </c>
      <c r="E810" s="16" t="str">
        <f>IFERROR(_xlfn.XLOOKUP(D810, tblCourses[CourseID], tblCourses[CourseName], ""), "")</f>
        <v>Safety Management Systems (Initial)</v>
      </c>
      <c r="F810" s="17">
        <v>43859</v>
      </c>
      <c r="G810" s="17" t="str" cm="1">
        <f t="array" ref="G8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0" s="15" t="str">
        <f ca="1">IF(OR(tblTraining[[#This Row],[Status]]="Renewed",tblTraining[[#This Row],[NextDueDate]]=""),"",tblTraining[[#This Row],[NextDueDate]]-TODAY())</f>
        <v/>
      </c>
      <c r="I810" s="15" t="str" cm="1">
        <f t="array" aca="1" ref="I8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1" spans="1:9" x14ac:dyDescent="0.25">
      <c r="A811" s="15">
        <f t="shared" si="12"/>
        <v>810</v>
      </c>
      <c r="B811" s="15" t="s">
        <v>161</v>
      </c>
      <c r="C811" s="15" t="str" cm="1">
        <f t="array" ref="C811">IFERROR(_xlfn.XLOOKUP(B811, tblPeople[PersonID], tblPeople[PersonName], ""), "")</f>
        <v>Francis Omondi</v>
      </c>
      <c r="D811" s="15" t="s">
        <v>20</v>
      </c>
      <c r="E811" s="16" t="str">
        <f>IFERROR(_xlfn.XLOOKUP(D811, tblCourses[CourseID], tblCourses[CourseName], ""), "")</f>
        <v>Safety Management Systems (Initial)</v>
      </c>
      <c r="F811" s="17">
        <v>43859</v>
      </c>
      <c r="G811" s="17" t="str" cm="1">
        <f t="array" ref="G8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1" s="15" t="str">
        <f ca="1">IF(OR(tblTraining[[#This Row],[Status]]="Renewed",tblTraining[[#This Row],[NextDueDate]]=""),"",tblTraining[[#This Row],[NextDueDate]]-TODAY())</f>
        <v/>
      </c>
      <c r="I811" s="15" t="str" cm="1">
        <f t="array" aca="1" ref="I8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2" spans="1:9" x14ac:dyDescent="0.25">
      <c r="A812" s="15">
        <f t="shared" si="12"/>
        <v>811</v>
      </c>
      <c r="B812" s="15" t="s">
        <v>118</v>
      </c>
      <c r="C812" s="15" t="str" cm="1">
        <f t="array" ref="C812">IFERROR(_xlfn.XLOOKUP(B812, tblPeople[PersonID], tblPeople[PersonName], ""), "")</f>
        <v>Michael Olunga</v>
      </c>
      <c r="D812" s="15" t="s">
        <v>20</v>
      </c>
      <c r="E812" s="16" t="str">
        <f>IFERROR(_xlfn.XLOOKUP(D812, tblCourses[CourseID], tblCourses[CourseName], ""), "")</f>
        <v>Safety Management Systems (Initial)</v>
      </c>
      <c r="F812" s="17">
        <v>43699</v>
      </c>
      <c r="G812" s="17" t="str" cm="1">
        <f t="array" ref="G8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2" s="15" t="str">
        <f ca="1">IF(OR(tblTraining[[#This Row],[Status]]="Renewed",tblTraining[[#This Row],[NextDueDate]]=""),"",tblTraining[[#This Row],[NextDueDate]]-TODAY())</f>
        <v/>
      </c>
      <c r="I812" s="15" t="str" cm="1">
        <f t="array" aca="1" ref="I8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3" spans="1:9" x14ac:dyDescent="0.25">
      <c r="A813" s="15">
        <f t="shared" si="12"/>
        <v>812</v>
      </c>
      <c r="B813" s="15" t="s">
        <v>104</v>
      </c>
      <c r="C813" s="15" t="str" cm="1">
        <f t="array" ref="C813">IFERROR(_xlfn.XLOOKUP(B813, tblPeople[PersonID], tblPeople[PersonName], ""), "")</f>
        <v>Douglas Hurgins</v>
      </c>
      <c r="D813" s="15" t="s">
        <v>24</v>
      </c>
      <c r="E813" s="16" t="str">
        <f>IFERROR(_xlfn.XLOOKUP(D813, tblCourses[CourseID], tblCourses[CourseName], ""), "")</f>
        <v>Human Factors in Aviation (Initial)</v>
      </c>
      <c r="F813" s="17">
        <v>43636</v>
      </c>
      <c r="G813" s="17" t="str" cm="1">
        <f t="array" ref="G8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3" s="15" t="str">
        <f ca="1">IF(OR(tblTraining[[#This Row],[Status]]="Renewed",tblTraining[[#This Row],[NextDueDate]]=""),"",tblTraining[[#This Row],[NextDueDate]]-TODAY())</f>
        <v/>
      </c>
      <c r="I813" s="15" t="str" cm="1">
        <f t="array" aca="1" ref="I8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4" spans="1:9" x14ac:dyDescent="0.25">
      <c r="A814" s="15">
        <f t="shared" si="12"/>
        <v>813</v>
      </c>
      <c r="B814" s="15" t="s">
        <v>104</v>
      </c>
      <c r="C814" s="15" t="str" cm="1">
        <f t="array" ref="C814">IFERROR(_xlfn.XLOOKUP(B814, tblPeople[PersonID], tblPeople[PersonName], ""), "")</f>
        <v>Douglas Hurgins</v>
      </c>
      <c r="D814" s="15" t="s">
        <v>231</v>
      </c>
      <c r="E814" s="16" t="str">
        <f>IFERROR(_xlfn.XLOOKUP(D814, tblCourses[CourseID], tblCourses[CourseName], ""), "")</f>
        <v>First Aid Training (Initial)</v>
      </c>
      <c r="F814" s="17">
        <v>43797</v>
      </c>
      <c r="G814" s="17" t="str" cm="1">
        <f t="array" ref="G8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4" s="15" t="str">
        <f ca="1">IF(OR(tblTraining[[#This Row],[Status]]="Renewed",tblTraining[[#This Row],[NextDueDate]]=""),"",tblTraining[[#This Row],[NextDueDate]]-TODAY())</f>
        <v/>
      </c>
      <c r="I814" s="15" t="str" cm="1">
        <f t="array" aca="1" ref="I8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5" spans="1:9" x14ac:dyDescent="0.25">
      <c r="A815" s="15">
        <f t="shared" si="12"/>
        <v>814</v>
      </c>
      <c r="B815" s="15" t="s">
        <v>104</v>
      </c>
      <c r="C815" s="15" t="str" cm="1">
        <f t="array" ref="C815">IFERROR(_xlfn.XLOOKUP(B815, tblPeople[PersonID], tblPeople[PersonName], ""), "")</f>
        <v>Douglas Hurgins</v>
      </c>
      <c r="D815" s="15" t="s">
        <v>232</v>
      </c>
      <c r="E815" s="16" t="str">
        <f>IFERROR(_xlfn.XLOOKUP(D815, tblCourses[CourseID], tblCourses[CourseName], ""), "")</f>
        <v>First Aid Training (Refresher)</v>
      </c>
      <c r="F815" s="17">
        <v>43797</v>
      </c>
      <c r="G815" s="17" cm="1">
        <f t="array" ref="G8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44893</v>
      </c>
      <c r="H815" s="15">
        <f ca="1">IF(OR(tblTraining[[#This Row],[Status]]="Renewed",tblTraining[[#This Row],[NextDueDate]]=""),"",tblTraining[[#This Row],[NextDueDate]]-TODAY())</f>
        <v>-1393</v>
      </c>
      <c r="I815" s="15" t="str" cm="1">
        <f t="array" aca="1" ref="I8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816" spans="1:9" x14ac:dyDescent="0.25">
      <c r="A816" s="15">
        <f t="shared" si="12"/>
        <v>815</v>
      </c>
      <c r="B816" s="15" t="s">
        <v>104</v>
      </c>
      <c r="C816" s="15" t="str" cm="1">
        <f t="array" ref="C816">IFERROR(_xlfn.XLOOKUP(B816, tblPeople[PersonID], tblPeople[PersonName], ""), "")</f>
        <v>Douglas Hurgins</v>
      </c>
      <c r="D816" s="15" t="s">
        <v>20</v>
      </c>
      <c r="E816" s="16" t="str">
        <f>IFERROR(_xlfn.XLOOKUP(D816, tblCourses[CourseID], tblCourses[CourseName], ""), "")</f>
        <v>Safety Management Systems (Initial)</v>
      </c>
      <c r="F816" s="17">
        <v>43699</v>
      </c>
      <c r="G816" s="17" t="str" cm="1">
        <f t="array" ref="G8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6" s="15" t="str">
        <f ca="1">IF(OR(tblTraining[[#This Row],[Status]]="Renewed",tblTraining[[#This Row],[NextDueDate]]=""),"",tblTraining[[#This Row],[NextDueDate]]-TODAY())</f>
        <v/>
      </c>
      <c r="I816" s="15" t="str" cm="1">
        <f t="array" aca="1" ref="I8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7" spans="1:9" x14ac:dyDescent="0.25">
      <c r="A817" s="15">
        <f t="shared" si="12"/>
        <v>816</v>
      </c>
      <c r="B817" s="15" t="s">
        <v>214</v>
      </c>
      <c r="C817" s="15" t="str" cm="1">
        <f t="array" ref="C817">IFERROR(_xlfn.XLOOKUP(B817, tblPeople[PersonID], tblPeople[PersonName], ""), "")</f>
        <v xml:space="preserve">Edwin Kemei </v>
      </c>
      <c r="D817" s="15" t="s">
        <v>20</v>
      </c>
      <c r="E817" s="16" t="str">
        <f>IFERROR(_xlfn.XLOOKUP(D817, tblCourses[CourseID], tblCourses[CourseName], ""), "")</f>
        <v>Safety Management Systems (Initial)</v>
      </c>
      <c r="F817" s="17">
        <v>43699</v>
      </c>
      <c r="G817" s="17" t="str" cm="1">
        <f t="array" ref="G8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7" s="15" t="str">
        <f ca="1">IF(OR(tblTraining[[#This Row],[Status]]="Renewed",tblTraining[[#This Row],[NextDueDate]]=""),"",tblTraining[[#This Row],[NextDueDate]]-TODAY())</f>
        <v/>
      </c>
      <c r="I817" s="15" t="str" cm="1">
        <f t="array" aca="1" ref="I8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8" spans="1:9" x14ac:dyDescent="0.25">
      <c r="A818" s="15">
        <f t="shared" si="12"/>
        <v>817</v>
      </c>
      <c r="B818" s="15" t="s">
        <v>214</v>
      </c>
      <c r="C818" s="15" t="str" cm="1">
        <f t="array" ref="C818">IFERROR(_xlfn.XLOOKUP(B818, tblPeople[PersonID], tblPeople[PersonName], ""), "")</f>
        <v xml:space="preserve">Edwin Kemei </v>
      </c>
      <c r="D818" s="15" t="s">
        <v>24</v>
      </c>
      <c r="E818" s="16" t="str">
        <f>IFERROR(_xlfn.XLOOKUP(D818, tblCourses[CourseID], tblCourses[CourseName], ""), "")</f>
        <v>Human Factors in Aviation (Initial)</v>
      </c>
      <c r="F818" s="17">
        <v>43853</v>
      </c>
      <c r="G818" s="17" t="str" cm="1">
        <f t="array" ref="G8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8" s="15" t="str">
        <f ca="1">IF(OR(tblTraining[[#This Row],[Status]]="Renewed",tblTraining[[#This Row],[NextDueDate]]=""),"",tblTraining[[#This Row],[NextDueDate]]-TODAY())</f>
        <v/>
      </c>
      <c r="I818" s="15" t="str" cm="1">
        <f t="array" aca="1" ref="I8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9" spans="1:9" x14ac:dyDescent="0.25">
      <c r="A819" s="15">
        <f t="shared" si="12"/>
        <v>818</v>
      </c>
      <c r="B819" s="15" t="s">
        <v>157</v>
      </c>
      <c r="C819" s="15" t="str" cm="1">
        <f t="array" ref="C819">IFERROR(_xlfn.XLOOKUP(B819, tblPeople[PersonID], tblPeople[PersonName], ""), "")</f>
        <v>Stephen Mutambu</v>
      </c>
      <c r="D819" s="15" t="s">
        <v>20</v>
      </c>
      <c r="E819" s="16" t="str">
        <f>IFERROR(_xlfn.XLOOKUP(D819, tblCourses[CourseID], tblCourses[CourseName], ""), "")</f>
        <v>Safety Management Systems (Initial)</v>
      </c>
      <c r="F819" s="17">
        <v>44070</v>
      </c>
      <c r="G819" s="17" t="str" cm="1">
        <f t="array" ref="G8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9" s="15" t="str">
        <f ca="1">IF(OR(tblTraining[[#This Row],[Status]]="Renewed",tblTraining[[#This Row],[NextDueDate]]=""),"",tblTraining[[#This Row],[NextDueDate]]-TODAY())</f>
        <v/>
      </c>
      <c r="I819" s="15" t="str" cm="1">
        <f t="array" aca="1" ref="I8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0" spans="1:9" x14ac:dyDescent="0.25">
      <c r="A820" s="15">
        <f t="shared" si="12"/>
        <v>819</v>
      </c>
      <c r="B820" s="15" t="s">
        <v>157</v>
      </c>
      <c r="C820" s="15" t="str" cm="1">
        <f t="array" ref="C820">IFERROR(_xlfn.XLOOKUP(B820, tblPeople[PersonID], tblPeople[PersonName], ""), "")</f>
        <v>Stephen Mutambu</v>
      </c>
      <c r="D820" s="15" t="s">
        <v>24</v>
      </c>
      <c r="E820" s="16" t="str">
        <f>IFERROR(_xlfn.XLOOKUP(D820, tblCourses[CourseID], tblCourses[CourseName], ""), "")</f>
        <v>Human Factors in Aviation (Initial)</v>
      </c>
      <c r="F820" s="17">
        <v>44205</v>
      </c>
      <c r="G820" s="17" t="str" cm="1">
        <f t="array" ref="G8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0" s="15" t="str">
        <f ca="1">IF(OR(tblTraining[[#This Row],[Status]]="Renewed",tblTraining[[#This Row],[NextDueDate]]=""),"",tblTraining[[#This Row],[NextDueDate]]-TODAY())</f>
        <v/>
      </c>
      <c r="I820" s="15" t="str" cm="1">
        <f t="array" aca="1" ref="I8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1" spans="1:9" x14ac:dyDescent="0.25">
      <c r="A821" s="15">
        <f t="shared" si="12"/>
        <v>820</v>
      </c>
      <c r="B821" s="15" t="s">
        <v>113</v>
      </c>
      <c r="C821" s="15" t="str" cm="1">
        <f t="array" ref="C821">IFERROR(_xlfn.XLOOKUP(B821, tblPeople[PersonID], tblPeople[PersonName], ""), "")</f>
        <v>Ann Mwangi</v>
      </c>
      <c r="D821" s="15" t="s">
        <v>376</v>
      </c>
      <c r="E821" s="16" t="str">
        <f>IFERROR(_xlfn.XLOOKUP(D821, tblCourses[CourseID], tblCourses[CourseName], ""), "")</f>
        <v>WinAir Version 7</v>
      </c>
      <c r="F821" s="17">
        <v>43805</v>
      </c>
      <c r="G821" s="17" t="str" cm="1">
        <f t="array" ref="G8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1" s="15" t="str">
        <f ca="1">IF(OR(tblTraining[[#This Row],[Status]]="Renewed",tblTraining[[#This Row],[NextDueDate]]=""),"",tblTraining[[#This Row],[NextDueDate]]-TODAY())</f>
        <v/>
      </c>
      <c r="I821" s="15" t="str" cm="1">
        <f t="array" aca="1" ref="I8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2" spans="1:9" x14ac:dyDescent="0.25">
      <c r="A822" s="15">
        <f t="shared" si="12"/>
        <v>821</v>
      </c>
      <c r="B822" s="15" t="s">
        <v>361</v>
      </c>
      <c r="C822" s="15" t="str" cm="1">
        <f t="array" ref="C822">IFERROR(_xlfn.XLOOKUP(B822, tblPeople[PersonID], tblPeople[PersonName], ""), "")</f>
        <v>Jackline Muembu</v>
      </c>
      <c r="D822" s="15" t="s">
        <v>20</v>
      </c>
      <c r="E822" s="16" t="str">
        <f>IFERROR(_xlfn.XLOOKUP(D822, tblCourses[CourseID], tblCourses[CourseName], ""), "")</f>
        <v>Safety Management Systems (Initial)</v>
      </c>
      <c r="F822" s="17">
        <v>43628</v>
      </c>
      <c r="G822" s="17" t="str" cm="1">
        <f t="array" ref="G8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2" s="15" t="str">
        <f ca="1">IF(OR(tblTraining[[#This Row],[Status]]="Renewed",tblTraining[[#This Row],[NextDueDate]]=""),"",tblTraining[[#This Row],[NextDueDate]]-TODAY())</f>
        <v/>
      </c>
      <c r="I822" s="15" t="str" cm="1">
        <f t="array" aca="1" ref="I8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23" spans="1:9" x14ac:dyDescent="0.25">
      <c r="A823" s="15">
        <f t="shared" si="12"/>
        <v>822</v>
      </c>
      <c r="B823" s="15" t="s">
        <v>361</v>
      </c>
      <c r="C823" s="15" t="str" cm="1">
        <f t="array" ref="C823">IFERROR(_xlfn.XLOOKUP(B823, tblPeople[PersonID], tblPeople[PersonName], ""), "")</f>
        <v>Jackline Muembu</v>
      </c>
      <c r="D823" s="15" t="s">
        <v>17</v>
      </c>
      <c r="E823" s="16" t="str">
        <f>IFERROR(_xlfn.XLOOKUP(D823, tblCourses[CourseID], tblCourses[CourseName], ""), "")</f>
        <v>Safety Management Systems (Refresher)</v>
      </c>
      <c r="F823" s="17">
        <v>43628</v>
      </c>
      <c r="G823" s="17" t="str" cm="1">
        <f t="array" ref="G8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3" s="15" t="str">
        <f ca="1">IF(OR(tblTraining[[#This Row],[Status]]="Renewed",tblTraining[[#This Row],[NextDueDate]]=""),"",tblTraining[[#This Row],[NextDueDate]]-TODAY())</f>
        <v/>
      </c>
      <c r="I823" s="15" t="str" cm="1">
        <f t="array" aca="1" ref="I8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24" spans="1:9" x14ac:dyDescent="0.25">
      <c r="A824" s="15">
        <f t="shared" si="12"/>
        <v>823</v>
      </c>
      <c r="B824" s="15" t="s">
        <v>274</v>
      </c>
      <c r="C824" s="15" t="str" cm="1">
        <f t="array" ref="C824">IFERROR(_xlfn.XLOOKUP(B824, tblPeople[PersonID], tblPeople[PersonName], ""), "")</f>
        <v>Dorine Edna</v>
      </c>
      <c r="D824" s="15" t="s">
        <v>126</v>
      </c>
      <c r="E824" s="16" t="str">
        <f>IFERROR(_xlfn.XLOOKUP(D824, tblCourses[CourseID], tblCourses[CourseName], ""), "")</f>
        <v>Maintenance Indoctrination</v>
      </c>
      <c r="F824" s="17">
        <v>45973</v>
      </c>
      <c r="G824" s="17" t="str" cm="1">
        <f t="array" ref="G8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4" s="15" t="str">
        <f ca="1">IF(OR(tblTraining[[#This Row],[Status]]="Renewed",tblTraining[[#This Row],[NextDueDate]]=""),"",tblTraining[[#This Row],[NextDueDate]]-TODAY())</f>
        <v/>
      </c>
      <c r="I824" s="15" t="str" cm="1">
        <f t="array" aca="1" ref="I8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5" spans="1:9" x14ac:dyDescent="0.25">
      <c r="A825" s="15">
        <f t="shared" si="12"/>
        <v>824</v>
      </c>
      <c r="B825" s="15" t="s">
        <v>361</v>
      </c>
      <c r="C825" s="15" t="str" cm="1">
        <f t="array" ref="C825">IFERROR(_xlfn.XLOOKUP(B825, tblPeople[PersonID], tblPeople[PersonName], ""), "")</f>
        <v>Jackline Muembu</v>
      </c>
      <c r="D825" s="15" t="s">
        <v>126</v>
      </c>
      <c r="E825" s="16" t="str">
        <f>IFERROR(_xlfn.XLOOKUP(D825, tblCourses[CourseID], tblCourses[CourseName], ""), "")</f>
        <v>Maintenance Indoctrination</v>
      </c>
      <c r="F825" s="17">
        <v>45973</v>
      </c>
      <c r="G825" s="17" t="str" cm="1">
        <f t="array" ref="G8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5" s="15" t="str">
        <f ca="1">IF(OR(tblTraining[[#This Row],[Status]]="Renewed",tblTraining[[#This Row],[NextDueDate]]=""),"",tblTraining[[#This Row],[NextDueDate]]-TODAY())</f>
        <v/>
      </c>
      <c r="I825" s="15" t="str" cm="1">
        <f t="array" aca="1" ref="I8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6" spans="1:9" x14ac:dyDescent="0.25">
      <c r="A826" s="15">
        <f t="shared" si="12"/>
        <v>825</v>
      </c>
      <c r="B826" s="15" t="s">
        <v>274</v>
      </c>
      <c r="C826" s="15" t="str" cm="1">
        <f t="array" ref="C826">IFERROR(_xlfn.XLOOKUP(B826, tblPeople[PersonID], tblPeople[PersonName], ""), "")</f>
        <v>Dorine Edna</v>
      </c>
      <c r="D826" s="15" t="s">
        <v>360</v>
      </c>
      <c r="E826" s="16" t="str">
        <f>IFERROR(_xlfn.XLOOKUP(D826, tblCourses[CourseID], tblCourses[CourseName], ""), "")</f>
        <v>Maintenance Procedures &amp; Standard Maintenance Practices (Initial)</v>
      </c>
      <c r="F826" s="17">
        <v>45973</v>
      </c>
      <c r="G826" s="17" t="str" cm="1">
        <f t="array" ref="G8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6" s="15" t="str">
        <f ca="1">IF(OR(tblTraining[[#This Row],[Status]]="Renewed",tblTraining[[#This Row],[NextDueDate]]=""),"",tblTraining[[#This Row],[NextDueDate]]-TODAY())</f>
        <v/>
      </c>
      <c r="I826" s="15" t="str" cm="1">
        <f t="array" aca="1" ref="I8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7" spans="1:9" x14ac:dyDescent="0.25">
      <c r="A827" s="15">
        <f t="shared" si="12"/>
        <v>826</v>
      </c>
      <c r="B827" s="15" t="s">
        <v>274</v>
      </c>
      <c r="C827" s="15" t="str" cm="1">
        <f t="array" ref="C827">IFERROR(_xlfn.XLOOKUP(B827, tblPeople[PersonID], tblPeople[PersonName], ""), "")</f>
        <v>Dorine Edna</v>
      </c>
      <c r="D827" s="15" t="s">
        <v>202</v>
      </c>
      <c r="E827" s="16" t="str">
        <f>IFERROR(_xlfn.XLOOKUP(D827, tblCourses[CourseID], tblCourses[CourseName], ""), "")</f>
        <v>Maintenance Procedures &amp; Standard Maintenance Practices (Refresher)</v>
      </c>
      <c r="F827" s="17">
        <v>45973</v>
      </c>
      <c r="G827" s="17" cm="1">
        <f t="array" ref="G8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46703</v>
      </c>
      <c r="H827" s="15">
        <f ca="1">IF(OR(tblTraining[[#This Row],[Status]]="Renewed",tblTraining[[#This Row],[NextDueDate]]=""),"",tblTraining[[#This Row],[NextDueDate]]-TODAY())</f>
        <v>417</v>
      </c>
      <c r="I827" s="15" t="str" cm="1">
        <f t="array" aca="1" ref="I8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8" spans="1:9" x14ac:dyDescent="0.25">
      <c r="A828" s="15">
        <f t="shared" si="12"/>
        <v>827</v>
      </c>
      <c r="B828" s="15" t="s">
        <v>361</v>
      </c>
      <c r="C828" s="15" t="str" cm="1">
        <f t="array" ref="C828">IFERROR(_xlfn.XLOOKUP(B828, tblPeople[PersonID], tblPeople[PersonName], ""), "")</f>
        <v>Jackline Muembu</v>
      </c>
      <c r="D828" s="15" t="s">
        <v>360</v>
      </c>
      <c r="E828" s="16" t="str">
        <f>IFERROR(_xlfn.XLOOKUP(D828, tblCourses[CourseID], tblCourses[CourseName], ""), "")</f>
        <v>Maintenance Procedures &amp; Standard Maintenance Practices (Initial)</v>
      </c>
      <c r="F828" s="17">
        <v>45973</v>
      </c>
      <c r="G828" s="17" t="str" cm="1">
        <f t="array" ref="G8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8" s="15" t="str">
        <f ca="1">IF(OR(tblTraining[[#This Row],[Status]]="Renewed",tblTraining[[#This Row],[NextDueDate]]=""),"",tblTraining[[#This Row],[NextDueDate]]-TODAY())</f>
        <v/>
      </c>
      <c r="I828" s="15" t="str" cm="1">
        <f t="array" aca="1" ref="I8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9" spans="1:9" x14ac:dyDescent="0.25">
      <c r="A829" s="15">
        <f t="shared" si="12"/>
        <v>828</v>
      </c>
      <c r="B829" s="15" t="s">
        <v>361</v>
      </c>
      <c r="C829" s="15" t="str" cm="1">
        <f t="array" ref="C829">IFERROR(_xlfn.XLOOKUP(B829, tblPeople[PersonID], tblPeople[PersonName], ""), "")</f>
        <v>Jackline Muembu</v>
      </c>
      <c r="D829" s="15" t="s">
        <v>202</v>
      </c>
      <c r="E829" s="16" t="str">
        <f>IFERROR(_xlfn.XLOOKUP(D829, tblCourses[CourseID], tblCourses[CourseName], ""), "")</f>
        <v>Maintenance Procedures &amp; Standard Maintenance Practices (Refresher)</v>
      </c>
      <c r="F829" s="17">
        <v>45973</v>
      </c>
      <c r="G829" s="17" cm="1">
        <f t="array" ref="G8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46703</v>
      </c>
      <c r="H829" s="15">
        <f ca="1">IF(OR(tblTraining[[#This Row],[Status]]="Renewed",tblTraining[[#This Row],[NextDueDate]]=""),"",tblTraining[[#This Row],[NextDueDate]]-TODAY())</f>
        <v>417</v>
      </c>
      <c r="I829" s="15" t="str" cm="1">
        <f t="array" aca="1" ref="I8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0" spans="1:9" x14ac:dyDescent="0.25">
      <c r="A830" s="15">
        <f t="shared" si="12"/>
        <v>829</v>
      </c>
      <c r="B830" s="15" t="s">
        <v>274</v>
      </c>
      <c r="C830" s="15" t="str" cm="1">
        <f t="array" ref="C830">IFERROR(_xlfn.XLOOKUP(B830, tblPeople[PersonID], tblPeople[PersonName], ""), "")</f>
        <v>Dorine Edna</v>
      </c>
      <c r="D830" s="15" t="s">
        <v>176</v>
      </c>
      <c r="E830" s="16" t="str">
        <f>IFERROR(_xlfn.XLOOKUP(D830, tblCourses[CourseID], tblCourses[CourseName], ""), "")</f>
        <v>Aviation Technical Records &amp; Stores Management (TRS)</v>
      </c>
      <c r="F830" s="17">
        <v>43616</v>
      </c>
      <c r="G830" s="17" t="str" cm="1">
        <f t="array" ref="G8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0" s="15" t="str">
        <f ca="1">IF(OR(tblTraining[[#This Row],[Status]]="Renewed",tblTraining[[#This Row],[NextDueDate]]=""),"",tblTraining[[#This Row],[NextDueDate]]-TODAY())</f>
        <v/>
      </c>
      <c r="I830" s="15" t="str" cm="1">
        <f t="array" aca="1" ref="I8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1" spans="1:9" x14ac:dyDescent="0.25">
      <c r="A831" s="15">
        <f t="shared" si="12"/>
        <v>830</v>
      </c>
      <c r="B831" s="15" t="s">
        <v>103</v>
      </c>
      <c r="C831" s="15" t="str" cm="1">
        <f t="array" ref="C831">IFERROR(_xlfn.XLOOKUP(B831, tblPeople[PersonID], tblPeople[PersonName], ""), "")</f>
        <v>Smith Harun</v>
      </c>
      <c r="D831" s="15" t="s">
        <v>17</v>
      </c>
      <c r="E831" s="16" t="str">
        <f>IFERROR(_xlfn.XLOOKUP(D831, tblCourses[CourseID], tblCourses[CourseName], ""), "")</f>
        <v>Safety Management Systems (Refresher)</v>
      </c>
      <c r="F831" s="17">
        <v>44369</v>
      </c>
      <c r="G831" s="17" t="str" cm="1">
        <f t="array" ref="G8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1" s="15" t="str">
        <f ca="1">IF(OR(tblTraining[[#This Row],[Status]]="Renewed",tblTraining[[#This Row],[NextDueDate]]=""),"",tblTraining[[#This Row],[NextDueDate]]-TODAY())</f>
        <v/>
      </c>
      <c r="I831" s="15" t="str" cm="1">
        <f t="array" aca="1" ref="I8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2" spans="1:9" x14ac:dyDescent="0.25">
      <c r="A832" s="15">
        <f t="shared" si="12"/>
        <v>831</v>
      </c>
      <c r="B832" s="15" t="s">
        <v>105</v>
      </c>
      <c r="C832" s="15" t="str" cm="1">
        <f t="array" ref="C832">IFERROR(_xlfn.XLOOKUP(B832, tblPeople[PersonID], tblPeople[PersonName], ""), "")</f>
        <v>Fred Magotsi</v>
      </c>
      <c r="D832" s="15" t="s">
        <v>17</v>
      </c>
      <c r="E832" s="16" t="str">
        <f>IFERROR(_xlfn.XLOOKUP(D832, tblCourses[CourseID], tblCourses[CourseName], ""), "")</f>
        <v>Safety Management Systems (Refresher)</v>
      </c>
      <c r="F832" s="17">
        <v>44369</v>
      </c>
      <c r="G832" s="17" t="str" cm="1">
        <f t="array" ref="G8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2" s="15" t="str">
        <f ca="1">IF(OR(tblTraining[[#This Row],[Status]]="Renewed",tblTraining[[#This Row],[NextDueDate]]=""),"",tblTraining[[#This Row],[NextDueDate]]-TODAY())</f>
        <v/>
      </c>
      <c r="I832" s="15" t="str" cm="1">
        <f t="array" aca="1" ref="I8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3" spans="1:9" x14ac:dyDescent="0.25">
      <c r="A833" s="15">
        <f t="shared" si="12"/>
        <v>832</v>
      </c>
      <c r="B833" s="15" t="s">
        <v>106</v>
      </c>
      <c r="C833" s="15" t="str" cm="1">
        <f t="array" ref="C833">IFERROR(_xlfn.XLOOKUP(B833, tblPeople[PersonID], tblPeople[PersonName], ""), "")</f>
        <v>James Mugo</v>
      </c>
      <c r="D833" s="15" t="s">
        <v>17</v>
      </c>
      <c r="E833" s="16" t="str">
        <f>IFERROR(_xlfn.XLOOKUP(D833, tblCourses[CourseID], tblCourses[CourseName], ""), "")</f>
        <v>Safety Management Systems (Refresher)</v>
      </c>
      <c r="F833" s="17">
        <v>44369</v>
      </c>
      <c r="G833" s="17" t="str" cm="1">
        <f t="array" ref="G8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3" s="15" t="str">
        <f ca="1">IF(OR(tblTraining[[#This Row],[Status]]="Renewed",tblTraining[[#This Row],[NextDueDate]]=""),"",tblTraining[[#This Row],[NextDueDate]]-TODAY())</f>
        <v/>
      </c>
      <c r="I833" s="15" t="str" cm="1">
        <f t="array" aca="1" ref="I8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4" spans="1:9" x14ac:dyDescent="0.25">
      <c r="A834" s="15">
        <f t="shared" si="12"/>
        <v>833</v>
      </c>
      <c r="B834" s="15" t="s">
        <v>106</v>
      </c>
      <c r="C834" s="15" t="str" cm="1">
        <f t="array" ref="C834">IFERROR(_xlfn.XLOOKUP(B834, tblPeople[PersonID], tblPeople[PersonName], ""), "")</f>
        <v>James Mugo</v>
      </c>
      <c r="D834" s="15" t="s">
        <v>22</v>
      </c>
      <c r="E834" s="16" t="str">
        <f>IFERROR(_xlfn.XLOOKUP(D834, tblCourses[CourseID], tblCourses[CourseName], ""), "")</f>
        <v>Human Factors in Aviation (Refresher)</v>
      </c>
      <c r="F834" s="17">
        <v>44397</v>
      </c>
      <c r="G834" s="17" t="str" cm="1">
        <f t="array" ref="G8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4" s="15" t="str">
        <f ca="1">IF(OR(tblTraining[[#This Row],[Status]]="Renewed",tblTraining[[#This Row],[NextDueDate]]=""),"",tblTraining[[#This Row],[NextDueDate]]-TODAY())</f>
        <v/>
      </c>
      <c r="I834" s="15" t="str" cm="1">
        <f t="array" aca="1" ref="I8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5" spans="1:9" x14ac:dyDescent="0.25">
      <c r="A835" s="15">
        <f t="shared" si="12"/>
        <v>834</v>
      </c>
      <c r="B835" s="15" t="s">
        <v>85</v>
      </c>
      <c r="C835" s="15" t="str" cm="1">
        <f t="array" ref="C835">IFERROR(_xlfn.XLOOKUP(B835, tblPeople[PersonID], tblPeople[PersonName], ""), "")</f>
        <v>Titus Shunza</v>
      </c>
      <c r="D835" s="15" t="s">
        <v>24</v>
      </c>
      <c r="E835" s="16" t="str">
        <f>IFERROR(_xlfn.XLOOKUP(D835, tblCourses[CourseID], tblCourses[CourseName], ""), "")</f>
        <v>Human Factors in Aviation (Initial)</v>
      </c>
      <c r="F835" s="17">
        <v>44010</v>
      </c>
      <c r="G835" s="17" t="str" cm="1">
        <f t="array" ref="G8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5" s="15" t="str">
        <f ca="1">IF(OR(tblTraining[[#This Row],[Status]]="Renewed",tblTraining[[#This Row],[NextDueDate]]=""),"",tblTraining[[#This Row],[NextDueDate]]-TODAY())</f>
        <v/>
      </c>
      <c r="I835" s="15" t="str" cm="1">
        <f t="array" aca="1" ref="I8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6" spans="1:9" x14ac:dyDescent="0.25">
      <c r="A836" s="15">
        <f t="shared" ref="A836:A899" si="13">A835+1</f>
        <v>835</v>
      </c>
      <c r="B836" s="15" t="s">
        <v>85</v>
      </c>
      <c r="C836" s="15" t="str" cm="1">
        <f t="array" ref="C836">IFERROR(_xlfn.XLOOKUP(B836, tblPeople[PersonID], tblPeople[PersonName], ""), "")</f>
        <v>Titus Shunza</v>
      </c>
      <c r="D836" s="15" t="s">
        <v>27</v>
      </c>
      <c r="E836" s="16" t="str">
        <f>IFERROR(_xlfn.XLOOKUP(D836, tblCourses[CourseID], tblCourses[CourseName], ""), "")</f>
        <v>Pratt &amp; Whitney Canada PT6A Engine With P&amp;WC PT6A
20/ 27/ 41/ 42/ 60A/ 67D/ 112/ 114A/ 140 (Initial)</v>
      </c>
      <c r="F836" s="17">
        <v>43890</v>
      </c>
      <c r="G836" s="17" t="str" cm="1">
        <f t="array" ref="G8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6" s="15" t="str">
        <f ca="1">IF(OR(tblTraining[[#This Row],[Status]]="Renewed",tblTraining[[#This Row],[NextDueDate]]=""),"",tblTraining[[#This Row],[NextDueDate]]-TODAY())</f>
        <v/>
      </c>
      <c r="I836" s="15" t="str" cm="1">
        <f t="array" aca="1" ref="I8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7" spans="1:9" x14ac:dyDescent="0.25">
      <c r="A837" s="15">
        <f t="shared" si="13"/>
        <v>836</v>
      </c>
      <c r="B837" s="15" t="s">
        <v>85</v>
      </c>
      <c r="C837" s="15" t="str" cm="1">
        <f t="array" ref="C837">IFERROR(_xlfn.XLOOKUP(B837, tblPeople[PersonID], tblPeople[PersonName], ""), "")</f>
        <v>Titus Shunza</v>
      </c>
      <c r="D837" s="15" t="s">
        <v>32</v>
      </c>
      <c r="E837" s="16" t="str">
        <f>IFERROR(_xlfn.XLOOKUP(D837, tblCourses[CourseID], tblCourses[CourseName], ""), "")</f>
        <v>Dangerous Goods Regulations (CBTA 7.3) (Initial)</v>
      </c>
      <c r="F837" s="17">
        <v>43978</v>
      </c>
      <c r="G837" s="17" t="str" cm="1">
        <f t="array" ref="G8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7" s="15" t="str">
        <f ca="1">IF(OR(tblTraining[[#This Row],[Status]]="Renewed",tblTraining[[#This Row],[NextDueDate]]=""),"",tblTraining[[#This Row],[NextDueDate]]-TODAY())</f>
        <v/>
      </c>
      <c r="I837" s="15" t="str" cm="1">
        <f t="array" aca="1" ref="I8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8" spans="1:9" x14ac:dyDescent="0.25">
      <c r="A838" s="15">
        <f t="shared" si="13"/>
        <v>837</v>
      </c>
      <c r="B838" s="15" t="s">
        <v>85</v>
      </c>
      <c r="C838" s="15" t="str" cm="1">
        <f t="array" ref="C838">IFERROR(_xlfn.XLOOKUP(B838, tblPeople[PersonID], tblPeople[PersonName], ""), "")</f>
        <v>Titus Shunza</v>
      </c>
      <c r="D838" s="15" t="s">
        <v>29</v>
      </c>
      <c r="E838" s="16" t="str">
        <f>IFERROR(_xlfn.XLOOKUP(D838, tblCourses[CourseID], tblCourses[CourseName], ""), "")</f>
        <v>DHC-8 100/200/300 with PWC 120/120A/121/123B/C/D/E Series Engines(Initial)</v>
      </c>
      <c r="F838" s="17">
        <v>43158</v>
      </c>
      <c r="G838" s="17" t="str" cm="1">
        <f t="array" ref="G8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8" s="15" t="str">
        <f ca="1">IF(OR(tblTraining[[#This Row],[Status]]="Renewed",tblTraining[[#This Row],[NextDueDate]]=""),"",tblTraining[[#This Row],[NextDueDate]]-TODAY())</f>
        <v/>
      </c>
      <c r="I838" s="15" t="str" cm="1">
        <f t="array" aca="1" ref="I8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9" spans="1:9" x14ac:dyDescent="0.25">
      <c r="A839" s="15">
        <f t="shared" si="13"/>
        <v>838</v>
      </c>
      <c r="B839" s="15" t="s">
        <v>85</v>
      </c>
      <c r="C839" s="15" t="str" cm="1">
        <f t="array" ref="C839">IFERROR(_xlfn.XLOOKUP(B839, tblPeople[PersonID], tblPeople[PersonName], ""), "")</f>
        <v>Titus Shunza</v>
      </c>
      <c r="D839" s="15" t="s">
        <v>181</v>
      </c>
      <c r="E839" s="16" t="str">
        <f>IFERROR(_xlfn.XLOOKUP(D839, tblCourses[CourseID], tblCourses[CourseName], ""), "")</f>
        <v>Cessna 208 Series (Caravan) With P&amp;WC PT6A-114/ -114A/ -140 Engines (Initial)</v>
      </c>
      <c r="F839" s="17">
        <v>43890</v>
      </c>
      <c r="G839" s="17" t="str" cm="1">
        <f t="array" ref="G8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9" s="15" t="str">
        <f ca="1">IF(OR(tblTraining[[#This Row],[Status]]="Renewed",tblTraining[[#This Row],[NextDueDate]]=""),"",tblTraining[[#This Row],[NextDueDate]]-TODAY())</f>
        <v/>
      </c>
      <c r="I839" s="15" t="str" cm="1">
        <f t="array" aca="1" ref="I8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0" spans="1:9" x14ac:dyDescent="0.25">
      <c r="A840" s="15">
        <f t="shared" si="13"/>
        <v>839</v>
      </c>
      <c r="B840" s="15" t="s">
        <v>85</v>
      </c>
      <c r="C840" s="15" t="str" cm="1">
        <f t="array" ref="C840">IFERROR(_xlfn.XLOOKUP(B840, tblPeople[PersonID], tblPeople[PersonName], ""), "")</f>
        <v>Titus Shunza</v>
      </c>
      <c r="D840" s="15" t="s">
        <v>28</v>
      </c>
      <c r="E840" s="16" t="str">
        <f>IFERROR(_xlfn.XLOOKUP(D840, tblCourses[CourseID], tblCourses[CourseName], ""), "")</f>
        <v>DHC-8 100/200/300 with PWC 120/120A/121/123B/C/D/E Series Engines(Refresher)</v>
      </c>
      <c r="F840" s="17">
        <v>45135</v>
      </c>
      <c r="G840" s="17" t="str" cm="1">
        <f t="array" ref="G8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0" s="15" t="str">
        <f ca="1">IF(OR(tblTraining[[#This Row],[Status]]="Renewed",tblTraining[[#This Row],[NextDueDate]]=""),"",tblTraining[[#This Row],[NextDueDate]]-TODAY())</f>
        <v/>
      </c>
      <c r="I840" s="15" t="str" cm="1">
        <f t="array" aca="1" ref="I8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1" spans="1:9" x14ac:dyDescent="0.25">
      <c r="A841" s="15">
        <f t="shared" si="13"/>
        <v>840</v>
      </c>
      <c r="B841" s="15" t="s">
        <v>85</v>
      </c>
      <c r="C841" s="15" t="str" cm="1">
        <f t="array" ref="C841">IFERROR(_xlfn.XLOOKUP(B841, tblPeople[PersonID], tblPeople[PersonName], ""), "")</f>
        <v>Titus Shunza</v>
      </c>
      <c r="D841" s="15" t="s">
        <v>182</v>
      </c>
      <c r="E841" s="16" t="str">
        <f>IFERROR(_xlfn.XLOOKUP(D841, tblCourses[CourseID], tblCourses[CourseName], ""), "")</f>
        <v>Cessna 208 Series (Caravan) With P&amp;WC PT6A-114/ -114A/ -140 Engines (Refresher)</v>
      </c>
      <c r="F841" s="17">
        <v>44596</v>
      </c>
      <c r="G841" s="17" t="str" cm="1">
        <f t="array" ref="G8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1" s="15" t="str">
        <f ca="1">IF(OR(tblTraining[[#This Row],[Status]]="Renewed",tblTraining[[#This Row],[NextDueDate]]=""),"",tblTraining[[#This Row],[NextDueDate]]-TODAY())</f>
        <v/>
      </c>
      <c r="I841" s="15" t="str" cm="1">
        <f t="array" aca="1" ref="I8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2" spans="1:9" x14ac:dyDescent="0.25">
      <c r="A842" s="15">
        <f t="shared" si="13"/>
        <v>841</v>
      </c>
      <c r="B842" s="15" t="s">
        <v>101</v>
      </c>
      <c r="C842" s="15" t="str" cm="1">
        <f t="array" ref="C842">IFERROR(_xlfn.XLOOKUP(B842, tblPeople[PersonID], tblPeople[PersonName], ""), "")</f>
        <v>Paul Mzera</v>
      </c>
      <c r="D842" s="15" t="s">
        <v>29</v>
      </c>
      <c r="E842" s="16" t="str">
        <f>IFERROR(_xlfn.XLOOKUP(D842, tblCourses[CourseID], tblCourses[CourseName], ""), "")</f>
        <v>DHC-8 100/200/300 with PWC 120/120A/121/123B/C/D/E Series Engines(Initial)</v>
      </c>
      <c r="F842" s="17">
        <v>44869</v>
      </c>
      <c r="G842" s="17" t="str" cm="1">
        <f t="array" ref="G8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2" s="15" t="str">
        <f ca="1">IF(OR(tblTraining[[#This Row],[Status]]="Renewed",tblTraining[[#This Row],[NextDueDate]]=""),"",tblTraining[[#This Row],[NextDueDate]]-TODAY())</f>
        <v/>
      </c>
      <c r="I842" s="15" t="str" cm="1">
        <f t="array" aca="1" ref="I8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3" spans="1:9" x14ac:dyDescent="0.25">
      <c r="A843" s="15">
        <f t="shared" si="13"/>
        <v>842</v>
      </c>
      <c r="B843" s="15" t="s">
        <v>101</v>
      </c>
      <c r="C843" s="15" t="str" cm="1">
        <f t="array" ref="C843">IFERROR(_xlfn.XLOOKUP(B843, tblPeople[PersonID], tblPeople[PersonName], ""), "")</f>
        <v>Paul Mzera</v>
      </c>
      <c r="D843" s="15" t="s">
        <v>27</v>
      </c>
      <c r="E843" s="16" t="str">
        <f>IFERROR(_xlfn.XLOOKUP(D843, tblCourses[CourseID], tblCourses[CourseName], ""), "")</f>
        <v>Pratt &amp; Whitney Canada PT6A Engine With P&amp;WC PT6A
20/ 27/ 41/ 42/ 60A/ 67D/ 112/ 114A/ 140 (Initial)</v>
      </c>
      <c r="F843" s="17">
        <v>43798</v>
      </c>
      <c r="G843" s="17" t="str" cm="1">
        <f t="array" ref="G8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3" s="15" t="str">
        <f ca="1">IF(OR(tblTraining[[#This Row],[Status]]="Renewed",tblTraining[[#This Row],[NextDueDate]]=""),"",tblTraining[[#This Row],[NextDueDate]]-TODAY())</f>
        <v/>
      </c>
      <c r="I843" s="15" t="str" cm="1">
        <f t="array" aca="1" ref="I8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4" spans="1:9" x14ac:dyDescent="0.25">
      <c r="A844" s="15">
        <f t="shared" si="13"/>
        <v>843</v>
      </c>
      <c r="B844" s="15" t="s">
        <v>101</v>
      </c>
      <c r="C844" s="15" t="str" cm="1">
        <f t="array" ref="C844">IFERROR(_xlfn.XLOOKUP(B844, tblPeople[PersonID], tblPeople[PersonName], ""), "")</f>
        <v>Paul Mzera</v>
      </c>
      <c r="D844" s="15" t="s">
        <v>181</v>
      </c>
      <c r="E844" s="16" t="str">
        <f>IFERROR(_xlfn.XLOOKUP(D844, tblCourses[CourseID], tblCourses[CourseName], ""), "")</f>
        <v>Cessna 208 Series (Caravan) With P&amp;WC PT6A-114/ -114A/ -140 Engines (Initial)</v>
      </c>
      <c r="F844" s="17">
        <v>43798</v>
      </c>
      <c r="G844" s="17" t="str" cm="1">
        <f t="array" ref="G8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4" s="15" t="str">
        <f ca="1">IF(OR(tblTraining[[#This Row],[Status]]="Renewed",tblTraining[[#This Row],[NextDueDate]]=""),"",tblTraining[[#This Row],[NextDueDate]]-TODAY())</f>
        <v/>
      </c>
      <c r="I844" s="15" t="str" cm="1">
        <f t="array" aca="1" ref="I8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5" spans="1:9" x14ac:dyDescent="0.25">
      <c r="A845" s="15">
        <f t="shared" si="13"/>
        <v>844</v>
      </c>
      <c r="B845" s="15" t="s">
        <v>100</v>
      </c>
      <c r="C845" s="15" t="str" cm="1">
        <f t="array" ref="C845">IFERROR(_xlfn.XLOOKUP(B845, tblPeople[PersonID], tblPeople[PersonName], ""), "")</f>
        <v>John Muriithi</v>
      </c>
      <c r="D845" s="15" t="s">
        <v>32</v>
      </c>
      <c r="E845" s="16" t="str">
        <f>IFERROR(_xlfn.XLOOKUP(D845, tblCourses[CourseID], tblCourses[CourseName], ""), "")</f>
        <v>Dangerous Goods Regulations (CBTA 7.3) (Initial)</v>
      </c>
      <c r="F845" s="17">
        <v>44109</v>
      </c>
      <c r="G845" s="17" t="str" cm="1">
        <f t="array" ref="G8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5" s="15" t="str">
        <f ca="1">IF(OR(tblTraining[[#This Row],[Status]]="Renewed",tblTraining[[#This Row],[NextDueDate]]=""),"",tblTraining[[#This Row],[NextDueDate]]-TODAY())</f>
        <v/>
      </c>
      <c r="I845" s="15" t="str" cm="1">
        <f t="array" aca="1" ref="I8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6" spans="1:9" x14ac:dyDescent="0.25">
      <c r="A846" s="15">
        <f t="shared" si="13"/>
        <v>845</v>
      </c>
      <c r="B846" s="15" t="s">
        <v>100</v>
      </c>
      <c r="C846" s="15" t="str" cm="1">
        <f t="array" ref="C846">IFERROR(_xlfn.XLOOKUP(B846, tblPeople[PersonID], tblPeople[PersonName], ""), "")</f>
        <v>John Muriithi</v>
      </c>
      <c r="D846" s="15" t="s">
        <v>376</v>
      </c>
      <c r="E846" s="16" t="str">
        <f>IFERROR(_xlfn.XLOOKUP(D846, tblCourses[CourseID], tblCourses[CourseName], ""), "")</f>
        <v>WinAir Version 7</v>
      </c>
      <c r="F846" s="17">
        <v>43805</v>
      </c>
      <c r="G846" s="17" t="str" cm="1">
        <f t="array" ref="G8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6" s="15" t="str">
        <f ca="1">IF(OR(tblTraining[[#This Row],[Status]]="Renewed",tblTraining[[#This Row],[NextDueDate]]=""),"",tblTraining[[#This Row],[NextDueDate]]-TODAY())</f>
        <v/>
      </c>
      <c r="I846" s="15" t="str" cm="1">
        <f t="array" aca="1" ref="I8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7" spans="1:9" x14ac:dyDescent="0.25">
      <c r="A847" s="15">
        <f t="shared" si="13"/>
        <v>846</v>
      </c>
      <c r="B847" s="15" t="s">
        <v>150</v>
      </c>
      <c r="C847" s="15" t="str" cm="1">
        <f t="array" ref="C847">IFERROR(_xlfn.XLOOKUP(B847, tblPeople[PersonID], tblPeople[PersonName], ""), "")</f>
        <v>Kea Kazungu</v>
      </c>
      <c r="D847" s="15" t="s">
        <v>25</v>
      </c>
      <c r="E847" s="16" t="str">
        <f>IFERROR(_xlfn.XLOOKUP(D847, tblCourses[CourseID], tblCourses[CourseName], ""), "")</f>
        <v>Pratt &amp; Whitney Canada PT6A Engine With P&amp;WC PT6A
20/ 27/ 41/ 42/ 60A/ 67D/ 112/ 114A/ 140 (Refresher)</v>
      </c>
      <c r="F847" s="17">
        <v>44488</v>
      </c>
      <c r="G847" s="17" t="str" cm="1">
        <f t="array" ref="G8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7" s="15" t="str">
        <f ca="1">IF(OR(tblTraining[[#This Row],[Status]]="Renewed",tblTraining[[#This Row],[NextDueDate]]=""),"",tblTraining[[#This Row],[NextDueDate]]-TODAY())</f>
        <v/>
      </c>
      <c r="I847" s="15" t="str" cm="1">
        <f t="array" aca="1" ref="I8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8" spans="1:9" x14ac:dyDescent="0.25">
      <c r="A848" s="15">
        <f t="shared" si="13"/>
        <v>847</v>
      </c>
      <c r="B848" s="15" t="s">
        <v>150</v>
      </c>
      <c r="C848" s="15" t="str" cm="1">
        <f t="array" ref="C848">IFERROR(_xlfn.XLOOKUP(B848, tblPeople[PersonID], tblPeople[PersonName], ""), "")</f>
        <v>Kea Kazungu</v>
      </c>
      <c r="D848" s="15" t="s">
        <v>182</v>
      </c>
      <c r="E848" s="16" t="str">
        <f>IFERROR(_xlfn.XLOOKUP(D848, tblCourses[CourseID], tblCourses[CourseName], ""), "")</f>
        <v>Cessna 208 Series (Caravan) With P&amp;WC PT6A-114/ -114A/ -140 Engines (Refresher)</v>
      </c>
      <c r="F848" s="17">
        <v>44595</v>
      </c>
      <c r="G848" s="17" t="str" cm="1">
        <f t="array" ref="G8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8" s="15" t="str">
        <f ca="1">IF(OR(tblTraining[[#This Row],[Status]]="Renewed",tblTraining[[#This Row],[NextDueDate]]=""),"",tblTraining[[#This Row],[NextDueDate]]-TODAY())</f>
        <v/>
      </c>
      <c r="I848" s="15" t="str" cm="1">
        <f t="array" aca="1" ref="I8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9" spans="1:9" x14ac:dyDescent="0.25">
      <c r="A849" s="15">
        <f t="shared" si="13"/>
        <v>848</v>
      </c>
      <c r="B849" s="15" t="s">
        <v>150</v>
      </c>
      <c r="C849" s="15" t="str" cm="1">
        <f t="array" ref="C849">IFERROR(_xlfn.XLOOKUP(B849, tblPeople[PersonID], tblPeople[PersonName], ""), "")</f>
        <v>Kea Kazungu</v>
      </c>
      <c r="D849" s="15" t="s">
        <v>238</v>
      </c>
      <c r="E849" s="16" t="str">
        <f>IFERROR(_xlfn.XLOOKUP(D849, tblCourses[CourseID], tblCourses[CourseName], ""), "")</f>
        <v>Crew Resource Management (Initial)</v>
      </c>
      <c r="F849" s="17">
        <v>43857</v>
      </c>
      <c r="G849" s="17" t="str" cm="1">
        <f t="array" ref="G8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9" s="15" t="str">
        <f ca="1">IF(OR(tblTraining[[#This Row],[Status]]="Renewed",tblTraining[[#This Row],[NextDueDate]]=""),"",tblTraining[[#This Row],[NextDueDate]]-TODAY())</f>
        <v/>
      </c>
      <c r="I849" s="15" t="str" cm="1">
        <f t="array" aca="1" ref="I8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0" spans="1:9" x14ac:dyDescent="0.25">
      <c r="A850" s="15">
        <f t="shared" si="13"/>
        <v>849</v>
      </c>
      <c r="B850" s="15" t="s">
        <v>166</v>
      </c>
      <c r="C850" s="15" t="str" cm="1">
        <f t="array" ref="C850">IFERROR(_xlfn.XLOOKUP(B850, tblPeople[PersonID], tblPeople[PersonName], ""), "")</f>
        <v>Hannah Wambui</v>
      </c>
      <c r="D850" s="15" t="s">
        <v>24</v>
      </c>
      <c r="E850" s="16" t="str">
        <f>IFERROR(_xlfn.XLOOKUP(D850, tblCourses[CourseID], tblCourses[CourseName], ""), "")</f>
        <v>Human Factors in Aviation (Initial)</v>
      </c>
      <c r="F850" s="17">
        <v>44363</v>
      </c>
      <c r="G850" s="17" t="str" cm="1">
        <f t="array" ref="G8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0" s="15" t="str">
        <f ca="1">IF(OR(tblTraining[[#This Row],[Status]]="Renewed",tblTraining[[#This Row],[NextDueDate]]=""),"",tblTraining[[#This Row],[NextDueDate]]-TODAY())</f>
        <v/>
      </c>
      <c r="I850" s="15" t="str" cm="1">
        <f t="array" aca="1" ref="I8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1" spans="1:9" x14ac:dyDescent="0.25">
      <c r="A851" s="15">
        <f t="shared" si="13"/>
        <v>850</v>
      </c>
      <c r="B851" s="15" t="s">
        <v>166</v>
      </c>
      <c r="C851" s="15" t="str" cm="1">
        <f t="array" ref="C851">IFERROR(_xlfn.XLOOKUP(B851, tblPeople[PersonID], tblPeople[PersonName], ""), "")</f>
        <v>Hannah Wambui</v>
      </c>
      <c r="D851" s="15" t="s">
        <v>22</v>
      </c>
      <c r="E851" s="16" t="str">
        <f>IFERROR(_xlfn.XLOOKUP(D851, tblCourses[CourseID], tblCourses[CourseName], ""), "")</f>
        <v>Human Factors in Aviation (Refresher)</v>
      </c>
      <c r="F851" s="17">
        <v>44363</v>
      </c>
      <c r="G851" s="17" t="str" cm="1">
        <f t="array" ref="G8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1" s="15" t="str">
        <f ca="1">IF(OR(tblTraining[[#This Row],[Status]]="Renewed",tblTraining[[#This Row],[NextDueDate]]=""),"",tblTraining[[#This Row],[NextDueDate]]-TODAY())</f>
        <v/>
      </c>
      <c r="I851" s="15" t="str" cm="1">
        <f t="array" aca="1" ref="I8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2" spans="1:9" x14ac:dyDescent="0.25">
      <c r="A852" s="15">
        <f t="shared" si="13"/>
        <v>851</v>
      </c>
      <c r="B852" s="15" t="s">
        <v>166</v>
      </c>
      <c r="C852" s="15" t="str" cm="1">
        <f t="array" ref="C852">IFERROR(_xlfn.XLOOKUP(B852, tblPeople[PersonID], tblPeople[PersonName], ""), "")</f>
        <v>Hannah Wambui</v>
      </c>
      <c r="D852" s="15" t="s">
        <v>20</v>
      </c>
      <c r="E852" s="16" t="str">
        <f>IFERROR(_xlfn.XLOOKUP(D852, tblCourses[CourseID], tblCourses[CourseName], ""), "")</f>
        <v>Safety Management Systems (Initial)</v>
      </c>
      <c r="F852" s="17">
        <v>44293</v>
      </c>
      <c r="G852" s="17" t="str" cm="1">
        <f t="array" ref="G8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2" s="15" t="str">
        <f ca="1">IF(OR(tblTraining[[#This Row],[Status]]="Renewed",tblTraining[[#This Row],[NextDueDate]]=""),"",tblTraining[[#This Row],[NextDueDate]]-TODAY())</f>
        <v/>
      </c>
      <c r="I852" s="15" t="str" cm="1">
        <f t="array" aca="1" ref="I8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3" spans="1:9" x14ac:dyDescent="0.25">
      <c r="A853" s="15">
        <f t="shared" si="13"/>
        <v>852</v>
      </c>
      <c r="B853" s="15" t="s">
        <v>117</v>
      </c>
      <c r="C853" s="15" t="str" cm="1">
        <f t="array" ref="C853">IFERROR(_xlfn.XLOOKUP(B853, tblPeople[PersonID], tblPeople[PersonName], ""), "")</f>
        <v>Mercy Etende</v>
      </c>
      <c r="D853" s="15" t="s">
        <v>24</v>
      </c>
      <c r="E853" s="16" t="str">
        <f>IFERROR(_xlfn.XLOOKUP(D853, tblCourses[CourseID], tblCourses[CourseName], ""), "")</f>
        <v>Human Factors in Aviation (Initial)</v>
      </c>
      <c r="F853" s="17">
        <v>44365</v>
      </c>
      <c r="G853" s="17" t="str" cm="1">
        <f t="array" ref="G8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3" s="15" t="str">
        <f ca="1">IF(OR(tblTraining[[#This Row],[Status]]="Renewed",tblTraining[[#This Row],[NextDueDate]]=""),"",tblTraining[[#This Row],[NextDueDate]]-TODAY())</f>
        <v/>
      </c>
      <c r="I853" s="15" t="str" cm="1">
        <f t="array" aca="1" ref="I8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4" spans="1:9" x14ac:dyDescent="0.25">
      <c r="A854" s="15">
        <f t="shared" si="13"/>
        <v>853</v>
      </c>
      <c r="B854" s="15" t="s">
        <v>117</v>
      </c>
      <c r="C854" s="15" t="str" cm="1">
        <f t="array" ref="C854">IFERROR(_xlfn.XLOOKUP(B854, tblPeople[PersonID], tblPeople[PersonName], ""), "")</f>
        <v>Mercy Etende</v>
      </c>
      <c r="D854" s="15" t="s">
        <v>20</v>
      </c>
      <c r="E854" s="16" t="str">
        <f>IFERROR(_xlfn.XLOOKUP(D854, tblCourses[CourseID], tblCourses[CourseName], ""), "")</f>
        <v>Safety Management Systems (Initial)</v>
      </c>
      <c r="F854" s="17">
        <v>44253</v>
      </c>
      <c r="G854" s="17" t="str" cm="1">
        <f t="array" ref="G8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4" s="15" t="str">
        <f ca="1">IF(OR(tblTraining[[#This Row],[Status]]="Renewed",tblTraining[[#This Row],[NextDueDate]]=""),"",tblTraining[[#This Row],[NextDueDate]]-TODAY())</f>
        <v/>
      </c>
      <c r="I854" s="15" t="str" cm="1">
        <f t="array" aca="1" ref="I8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5" spans="1:9" x14ac:dyDescent="0.25">
      <c r="A855" s="15">
        <f t="shared" si="13"/>
        <v>854</v>
      </c>
      <c r="B855" s="15" t="s">
        <v>113</v>
      </c>
      <c r="C855" s="15" t="str" cm="1">
        <f t="array" ref="C855">IFERROR(_xlfn.XLOOKUP(B855, tblPeople[PersonID], tblPeople[PersonName], ""), "")</f>
        <v>Ann Mwangi</v>
      </c>
      <c r="D855" s="15" t="s">
        <v>20</v>
      </c>
      <c r="E855" s="16" t="str">
        <f>IFERROR(_xlfn.XLOOKUP(D855, tblCourses[CourseID], tblCourses[CourseName], ""), "")</f>
        <v>Safety Management Systems (Initial)</v>
      </c>
      <c r="F855" s="17">
        <v>43859</v>
      </c>
      <c r="G855" s="17" t="str" cm="1">
        <f t="array" ref="G8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5" s="15" t="str">
        <f ca="1">IF(OR(tblTraining[[#This Row],[Status]]="Renewed",tblTraining[[#This Row],[NextDueDate]]=""),"",tblTraining[[#This Row],[NextDueDate]]-TODAY())</f>
        <v/>
      </c>
      <c r="I855" s="15" t="str" cm="1">
        <f t="array" aca="1" ref="I8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6" spans="1:9" x14ac:dyDescent="0.25">
      <c r="A856" s="15">
        <f t="shared" si="13"/>
        <v>855</v>
      </c>
      <c r="B856" s="15" t="s">
        <v>113</v>
      </c>
      <c r="C856" s="15" t="str" cm="1">
        <f t="array" ref="C856">IFERROR(_xlfn.XLOOKUP(B856, tblPeople[PersonID], tblPeople[PersonName], ""), "")</f>
        <v>Ann Mwangi</v>
      </c>
      <c r="D856" s="15" t="s">
        <v>176</v>
      </c>
      <c r="E856" s="16" t="str">
        <f>IFERROR(_xlfn.XLOOKUP(D856, tblCourses[CourseID], tblCourses[CourseName], ""), "")</f>
        <v>Aviation Technical Records &amp; Stores Management (TRS)</v>
      </c>
      <c r="F856" s="17">
        <v>43434</v>
      </c>
      <c r="G856" s="17" t="str" cm="1">
        <f t="array" ref="G8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6" s="15" t="str">
        <f ca="1">IF(OR(tblTraining[[#This Row],[Status]]="Renewed",tblTraining[[#This Row],[NextDueDate]]=""),"",tblTraining[[#This Row],[NextDueDate]]-TODAY())</f>
        <v/>
      </c>
      <c r="I856" s="15" t="str" cm="1">
        <f t="array" aca="1" ref="I8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7" spans="1:9" x14ac:dyDescent="0.25">
      <c r="A857" s="15">
        <f t="shared" si="13"/>
        <v>856</v>
      </c>
      <c r="B857" s="15" t="s">
        <v>113</v>
      </c>
      <c r="C857" s="15" t="str" cm="1">
        <f t="array" ref="C857">IFERROR(_xlfn.XLOOKUP(B857, tblPeople[PersonID], tblPeople[PersonName], ""), "")</f>
        <v>Ann Mwangi</v>
      </c>
      <c r="D857" s="15" t="s">
        <v>24</v>
      </c>
      <c r="E857" s="16" t="str">
        <f>IFERROR(_xlfn.XLOOKUP(D857, tblCourses[CourseID], tblCourses[CourseName], ""), "")</f>
        <v>Human Factors in Aviation (Initial)</v>
      </c>
      <c r="F857" s="17">
        <v>43989</v>
      </c>
      <c r="G857" s="17" t="str" cm="1">
        <f t="array" ref="G8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7" s="15" t="str">
        <f ca="1">IF(OR(tblTraining[[#This Row],[Status]]="Renewed",tblTraining[[#This Row],[NextDueDate]]=""),"",tblTraining[[#This Row],[NextDueDate]]-TODAY())</f>
        <v/>
      </c>
      <c r="I857" s="15" t="str" cm="1">
        <f t="array" aca="1" ref="I8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8" spans="1:9" x14ac:dyDescent="0.25">
      <c r="A858" s="15">
        <f t="shared" si="13"/>
        <v>857</v>
      </c>
      <c r="B858" s="15" t="s">
        <v>157</v>
      </c>
      <c r="C858" s="15" t="str" cm="1">
        <f t="array" ref="C858">IFERROR(_xlfn.XLOOKUP(B858, tblPeople[PersonID], tblPeople[PersonName], ""), "")</f>
        <v>Stephen Mutambu</v>
      </c>
      <c r="D858" s="15" t="s">
        <v>124</v>
      </c>
      <c r="E858" s="16" t="str">
        <f>IFERROR(_xlfn.XLOOKUP(D858, tblCourses[CourseID], tblCourses[CourseName], ""), "")</f>
        <v>Aviation Security (Initial)</v>
      </c>
      <c r="F858" s="17">
        <v>44123</v>
      </c>
      <c r="G858" s="17" t="str" cm="1">
        <f t="array" ref="G8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8" s="15" t="str">
        <f ca="1">IF(OR(tblTraining[[#This Row],[Status]]="Renewed",tblTraining[[#This Row],[NextDueDate]]=""),"",tblTraining[[#This Row],[NextDueDate]]-TODAY())</f>
        <v/>
      </c>
      <c r="I858" s="15" t="str" cm="1">
        <f t="array" aca="1" ref="I8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9" spans="1:9" x14ac:dyDescent="0.25">
      <c r="A859" s="15">
        <f t="shared" si="13"/>
        <v>858</v>
      </c>
      <c r="B859" s="15" t="s">
        <v>157</v>
      </c>
      <c r="C859" s="15" t="str" cm="1">
        <f t="array" ref="C859">IFERROR(_xlfn.XLOOKUP(B859, tblPeople[PersonID], tblPeople[PersonName], ""), "")</f>
        <v>Stephen Mutambu</v>
      </c>
      <c r="D859" s="15" t="s">
        <v>125</v>
      </c>
      <c r="E859" s="16" t="str">
        <f>IFERROR(_xlfn.XLOOKUP(D859, tblCourses[CourseID], tblCourses[CourseName], ""), "")</f>
        <v>Aviation Security (Refresher)</v>
      </c>
      <c r="F859" s="17">
        <v>46238</v>
      </c>
      <c r="G859" s="17" cm="1">
        <f t="array" ref="G8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859" s="15">
        <f ca="1">IF(OR(tblTraining[[#This Row],[Status]]="Renewed",tblTraining[[#This Row],[NextDueDate]]=""),"",tblTraining[[#This Row],[NextDueDate]]-TODAY())</f>
        <v>683</v>
      </c>
      <c r="I859" s="15" t="str" cm="1">
        <f t="array" aca="1" ref="I8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0" spans="1:9" x14ac:dyDescent="0.25">
      <c r="A860" s="15">
        <f t="shared" si="13"/>
        <v>859</v>
      </c>
      <c r="B860" s="15" t="s">
        <v>214</v>
      </c>
      <c r="C860" s="15" t="str" cm="1">
        <f t="array" ref="C860">IFERROR(_xlfn.XLOOKUP(B860, tblPeople[PersonID], tblPeople[PersonName], ""), "")</f>
        <v xml:space="preserve">Edwin Kemei </v>
      </c>
      <c r="D860" s="15" t="s">
        <v>17</v>
      </c>
      <c r="E860" s="16" t="str">
        <f>IFERROR(_xlfn.XLOOKUP(D860, tblCourses[CourseID], tblCourses[CourseName], ""), "")</f>
        <v>Safety Management Systems (Refresher)</v>
      </c>
      <c r="F860" s="17">
        <v>44463</v>
      </c>
      <c r="G860" s="17" t="str" cm="1">
        <f t="array" ref="G8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0" s="15" t="str">
        <f ca="1">IF(OR(tblTraining[[#This Row],[Status]]="Renewed",tblTraining[[#This Row],[NextDueDate]]=""),"",tblTraining[[#This Row],[NextDueDate]]-TODAY())</f>
        <v/>
      </c>
      <c r="I860" s="15" t="str" cm="1">
        <f t="array" aca="1" ref="I8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1" spans="1:9" x14ac:dyDescent="0.25">
      <c r="A861" s="15">
        <f t="shared" si="13"/>
        <v>860</v>
      </c>
      <c r="B861" s="15" t="s">
        <v>104</v>
      </c>
      <c r="C861" s="15" t="str" cm="1">
        <f t="array" ref="C861">IFERROR(_xlfn.XLOOKUP(B861, tblPeople[PersonID], tblPeople[PersonName], ""), "")</f>
        <v>Douglas Hurgins</v>
      </c>
      <c r="D861" s="15" t="s">
        <v>22</v>
      </c>
      <c r="E861" s="16" t="str">
        <f>IFERROR(_xlfn.XLOOKUP(D861, tblCourses[CourseID], tblCourses[CourseName], ""), "")</f>
        <v>Human Factors in Aviation (Refresher)</v>
      </c>
      <c r="F861" s="17">
        <v>44377</v>
      </c>
      <c r="G861" s="17" t="str" cm="1">
        <f t="array" ref="G8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1" s="15" t="str">
        <f ca="1">IF(OR(tblTraining[[#This Row],[Status]]="Renewed",tblTraining[[#This Row],[NextDueDate]]=""),"",tblTraining[[#This Row],[NextDueDate]]-TODAY())</f>
        <v/>
      </c>
      <c r="I861" s="15" t="str" cm="1">
        <f t="array" aca="1" ref="I8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2" spans="1:9" x14ac:dyDescent="0.25">
      <c r="A862" s="15">
        <f t="shared" si="13"/>
        <v>861</v>
      </c>
      <c r="B862" s="15" t="s">
        <v>104</v>
      </c>
      <c r="C862" s="15" t="str" cm="1">
        <f t="array" ref="C862">IFERROR(_xlfn.XLOOKUP(B862, tblPeople[PersonID], tblPeople[PersonName], ""), "")</f>
        <v>Douglas Hurgins</v>
      </c>
      <c r="D862" s="15" t="s">
        <v>17</v>
      </c>
      <c r="E862" s="16" t="str">
        <f>IFERROR(_xlfn.XLOOKUP(D862, tblCourses[CourseID], tblCourses[CourseName], ""), "")</f>
        <v>Safety Management Systems (Refresher)</v>
      </c>
      <c r="F862" s="17">
        <v>44463</v>
      </c>
      <c r="G862" s="17" t="str" cm="1">
        <f t="array" ref="G8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2" s="15" t="str">
        <f ca="1">IF(OR(tblTraining[[#This Row],[Status]]="Renewed",tblTraining[[#This Row],[NextDueDate]]=""),"",tblTraining[[#This Row],[NextDueDate]]-TODAY())</f>
        <v/>
      </c>
      <c r="I862" s="15" t="str" cm="1">
        <f t="array" aca="1" ref="I8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3" spans="1:9" x14ac:dyDescent="0.25">
      <c r="A863" s="15">
        <f t="shared" si="13"/>
        <v>862</v>
      </c>
      <c r="B863" s="15" t="s">
        <v>118</v>
      </c>
      <c r="C863" s="15" t="str" cm="1">
        <f t="array" ref="C863">IFERROR(_xlfn.XLOOKUP(B863, tblPeople[PersonID], tblPeople[PersonName], ""), "")</f>
        <v>Michael Olunga</v>
      </c>
      <c r="D863" s="15" t="s">
        <v>17</v>
      </c>
      <c r="E863" s="16" t="str">
        <f>IFERROR(_xlfn.XLOOKUP(D863, tblCourses[CourseID], tblCourses[CourseName], ""), "")</f>
        <v>Safety Management Systems (Refresher)</v>
      </c>
      <c r="F863" s="17">
        <v>44463</v>
      </c>
      <c r="G863" s="17" t="str" cm="1">
        <f t="array" ref="G8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3" s="15" t="str">
        <f ca="1">IF(OR(tblTraining[[#This Row],[Status]]="Renewed",tblTraining[[#This Row],[NextDueDate]]=""),"",tblTraining[[#This Row],[NextDueDate]]-TODAY())</f>
        <v/>
      </c>
      <c r="I863" s="15" t="str" cm="1">
        <f t="array" aca="1" ref="I8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4" spans="1:9" x14ac:dyDescent="0.25">
      <c r="A864" s="15">
        <f t="shared" si="13"/>
        <v>863</v>
      </c>
      <c r="B864" s="15" t="s">
        <v>161</v>
      </c>
      <c r="C864" s="15" t="str" cm="1">
        <f t="array" ref="C864">IFERROR(_xlfn.XLOOKUP(B864, tblPeople[PersonID], tblPeople[PersonName], ""), "")</f>
        <v>Francis Omondi</v>
      </c>
      <c r="D864" s="15" t="s">
        <v>383</v>
      </c>
      <c r="E864" s="16" t="str">
        <f>IFERROR(_xlfn.XLOOKUP(D864, tblCourses[CourseID], tblCourses[CourseName], ""), "")</f>
        <v>Aircraft Painting</v>
      </c>
      <c r="F864" s="17">
        <v>43496</v>
      </c>
      <c r="G864" s="17" t="str" cm="1">
        <f t="array" ref="G8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4" s="15" t="str">
        <f ca="1">IF(OR(tblTraining[[#This Row],[Status]]="Renewed",tblTraining[[#This Row],[NextDueDate]]=""),"",tblTraining[[#This Row],[NextDueDate]]-TODAY())</f>
        <v/>
      </c>
      <c r="I864" s="15" t="str" cm="1">
        <f t="array" aca="1" ref="I8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5" spans="1:9" x14ac:dyDescent="0.25">
      <c r="A865" s="15">
        <f t="shared" si="13"/>
        <v>864</v>
      </c>
      <c r="B865" s="15" t="s">
        <v>83</v>
      </c>
      <c r="C865" s="15" t="str" cm="1">
        <f t="array" ref="C865">IFERROR(_xlfn.XLOOKUP(B865, tblPeople[PersonID], tblPeople[PersonName], ""), "")</f>
        <v>Wycliffe Kanana</v>
      </c>
      <c r="D865" s="15" t="s">
        <v>24</v>
      </c>
      <c r="E865" s="16" t="str">
        <f>IFERROR(_xlfn.XLOOKUP(D865, tblCourses[CourseID], tblCourses[CourseName], ""), "")</f>
        <v>Human Factors in Aviation (Initial)</v>
      </c>
      <c r="F865" s="17">
        <v>43671</v>
      </c>
      <c r="G865" s="17" t="str" cm="1">
        <f t="array" ref="G8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5" s="15" t="str">
        <f ca="1">IF(OR(tblTraining[[#This Row],[Status]]="Renewed",tblTraining[[#This Row],[NextDueDate]]=""),"",tblTraining[[#This Row],[NextDueDate]]-TODAY())</f>
        <v/>
      </c>
      <c r="I865" s="15" t="str" cm="1">
        <f t="array" aca="1" ref="I8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6" spans="1:9" x14ac:dyDescent="0.25">
      <c r="A866" s="15">
        <f t="shared" si="13"/>
        <v>865</v>
      </c>
      <c r="B866" s="15" t="s">
        <v>83</v>
      </c>
      <c r="C866" s="15" t="str" cm="1">
        <f t="array" ref="C866">IFERROR(_xlfn.XLOOKUP(B866, tblPeople[PersonID], tblPeople[PersonName], ""), "")</f>
        <v>Wycliffe Kanana</v>
      </c>
      <c r="D866" s="15" t="s">
        <v>22</v>
      </c>
      <c r="E866" s="16" t="str">
        <f>IFERROR(_xlfn.XLOOKUP(D866, tblCourses[CourseID], tblCourses[CourseName], ""), "")</f>
        <v>Human Factors in Aviation (Refresher)</v>
      </c>
      <c r="F866" s="17">
        <v>44363</v>
      </c>
      <c r="G866" s="17" t="str" cm="1">
        <f t="array" ref="G8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6" s="15" t="str">
        <f ca="1">IF(OR(tblTraining[[#This Row],[Status]]="Renewed",tblTraining[[#This Row],[NextDueDate]]=""),"",tblTraining[[#This Row],[NextDueDate]]-TODAY())</f>
        <v/>
      </c>
      <c r="I866" s="15" t="str" cm="1">
        <f t="array" aca="1" ref="I8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7" spans="1:9" x14ac:dyDescent="0.25">
      <c r="A867" s="15">
        <f t="shared" si="13"/>
        <v>866</v>
      </c>
      <c r="B867" s="15" t="s">
        <v>88</v>
      </c>
      <c r="C867" s="15" t="str" cm="1">
        <f t="array" ref="C867">IFERROR(_xlfn.XLOOKUP(B867, tblPeople[PersonID], tblPeople[PersonName], ""), "")</f>
        <v>Michael Njihia</v>
      </c>
      <c r="D867" s="15" t="s">
        <v>24</v>
      </c>
      <c r="E867" s="16" t="str">
        <f>IFERROR(_xlfn.XLOOKUP(D867, tblCourses[CourseID], tblCourses[CourseName], ""), "")</f>
        <v>Human Factors in Aviation (Initial)</v>
      </c>
      <c r="F867" s="17">
        <v>43853</v>
      </c>
      <c r="G867" s="17" t="str" cm="1">
        <f t="array" ref="G8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7" s="15" t="str">
        <f ca="1">IF(OR(tblTraining[[#This Row],[Status]]="Renewed",tblTraining[[#This Row],[NextDueDate]]=""),"",tblTraining[[#This Row],[NextDueDate]]-TODAY())</f>
        <v/>
      </c>
      <c r="I867" s="15" t="str" cm="1">
        <f t="array" aca="1" ref="I8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8" spans="1:9" x14ac:dyDescent="0.25">
      <c r="A868" s="15">
        <f t="shared" si="13"/>
        <v>867</v>
      </c>
      <c r="B868" s="15" t="s">
        <v>88</v>
      </c>
      <c r="C868" s="15" t="str" cm="1">
        <f t="array" ref="C868">IFERROR(_xlfn.XLOOKUP(B868, tblPeople[PersonID], tblPeople[PersonName], ""), "")</f>
        <v>Michael Njihia</v>
      </c>
      <c r="D868" s="15" t="s">
        <v>22</v>
      </c>
      <c r="E868" s="16" t="str">
        <f>IFERROR(_xlfn.XLOOKUP(D868, tblCourses[CourseID], tblCourses[CourseName], ""), "")</f>
        <v>Human Factors in Aviation (Refresher)</v>
      </c>
      <c r="F868" s="17">
        <v>44621</v>
      </c>
      <c r="G868" s="17" t="str" cm="1">
        <f t="array" ref="G8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8" s="15" t="str">
        <f ca="1">IF(OR(tblTraining[[#This Row],[Status]]="Renewed",tblTraining[[#This Row],[NextDueDate]]=""),"",tblTraining[[#This Row],[NextDueDate]]-TODAY())</f>
        <v/>
      </c>
      <c r="I868" s="15" t="str" cm="1">
        <f t="array" aca="1" ref="I8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9" spans="1:9" x14ac:dyDescent="0.25">
      <c r="A869" s="15">
        <f t="shared" si="13"/>
        <v>868</v>
      </c>
      <c r="B869" s="15" t="s">
        <v>102</v>
      </c>
      <c r="C869" s="15" t="str" cm="1">
        <f t="array" ref="C869">IFERROR(_xlfn.XLOOKUP(B869, tblPeople[PersonID], tblPeople[PersonName], ""), "")</f>
        <v>William Mlati</v>
      </c>
      <c r="D869" s="15" t="s">
        <v>22</v>
      </c>
      <c r="E869" s="16" t="str">
        <f>IFERROR(_xlfn.XLOOKUP(D869, tblCourses[CourseID], tblCourses[CourseName], ""), "")</f>
        <v>Human Factors in Aviation (Refresher)</v>
      </c>
      <c r="F869" s="17">
        <v>44172</v>
      </c>
      <c r="G869" s="17" t="str" cm="1">
        <f t="array" ref="G8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9" s="15" t="str">
        <f ca="1">IF(OR(tblTraining[[#This Row],[Status]]="Renewed",tblTraining[[#This Row],[NextDueDate]]=""),"",tblTraining[[#This Row],[NextDueDate]]-TODAY())</f>
        <v/>
      </c>
      <c r="I869" s="15" t="str" cm="1">
        <f t="array" aca="1" ref="I8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0" spans="1:9" x14ac:dyDescent="0.25">
      <c r="A870" s="15">
        <f t="shared" si="13"/>
        <v>869</v>
      </c>
      <c r="B870" s="15" t="s">
        <v>102</v>
      </c>
      <c r="C870" s="15" t="str" cm="1">
        <f t="array" ref="C870">IFERROR(_xlfn.XLOOKUP(B870, tblPeople[PersonID], tblPeople[PersonName], ""), "")</f>
        <v>William Mlati</v>
      </c>
      <c r="D870" s="15" t="s">
        <v>25</v>
      </c>
      <c r="E870" s="16" t="str">
        <f>IFERROR(_xlfn.XLOOKUP(D870, tblCourses[CourseID], tblCourses[CourseName], ""), "")</f>
        <v>Pratt &amp; Whitney Canada PT6A Engine With P&amp;WC PT6A
20/ 27/ 41/ 42/ 60A/ 67D/ 112/ 114A/ 140 (Refresher)</v>
      </c>
      <c r="F870" s="17">
        <v>44488</v>
      </c>
      <c r="G870" s="17" t="str" cm="1">
        <f t="array" ref="G8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0" s="15" t="str">
        <f ca="1">IF(OR(tblTraining[[#This Row],[Status]]="Renewed",tblTraining[[#This Row],[NextDueDate]]=""),"",tblTraining[[#This Row],[NextDueDate]]-TODAY())</f>
        <v/>
      </c>
      <c r="I870" s="15" t="str" cm="1">
        <f t="array" aca="1" ref="I8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1" spans="1:9" x14ac:dyDescent="0.25">
      <c r="A871" s="15">
        <f t="shared" si="13"/>
        <v>870</v>
      </c>
      <c r="B871" s="15" t="s">
        <v>102</v>
      </c>
      <c r="C871" s="15" t="str" cm="1">
        <f t="array" ref="C871">IFERROR(_xlfn.XLOOKUP(B871, tblPeople[PersonID], tblPeople[PersonName], ""), "")</f>
        <v>William Mlati</v>
      </c>
      <c r="D871" s="15" t="s">
        <v>17</v>
      </c>
      <c r="E871" s="16" t="str">
        <f>IFERROR(_xlfn.XLOOKUP(D871, tblCourses[CourseID], tblCourses[CourseName], ""), "")</f>
        <v>Safety Management Systems (Refresher)</v>
      </c>
      <c r="F871" s="17">
        <v>44281</v>
      </c>
      <c r="G871" s="17" t="str" cm="1">
        <f t="array" ref="G8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1" s="15" t="str">
        <f ca="1">IF(OR(tblTraining[[#This Row],[Status]]="Renewed",tblTraining[[#This Row],[NextDueDate]]=""),"",tblTraining[[#This Row],[NextDueDate]]-TODAY())</f>
        <v/>
      </c>
      <c r="I871" s="15" t="str" cm="1">
        <f t="array" aca="1" ref="I8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2" spans="1:9" x14ac:dyDescent="0.25">
      <c r="A872" s="15">
        <f t="shared" si="13"/>
        <v>871</v>
      </c>
      <c r="B872" s="15" t="s">
        <v>102</v>
      </c>
      <c r="C872" s="15" t="str" cm="1">
        <f t="array" ref="C872">IFERROR(_xlfn.XLOOKUP(B872, tblPeople[PersonID], tblPeople[PersonName], ""), "")</f>
        <v>William Mlati</v>
      </c>
      <c r="D872" s="15" t="s">
        <v>182</v>
      </c>
      <c r="E872" s="16" t="str">
        <f>IFERROR(_xlfn.XLOOKUP(D872, tblCourses[CourseID], tblCourses[CourseName], ""), "")</f>
        <v>Cessna 208 Series (Caravan) With P&amp;WC PT6A-114/ -114A/ -140 Engines (Refresher)</v>
      </c>
      <c r="F872" s="17">
        <v>43875</v>
      </c>
      <c r="G872" s="17" t="str" cm="1">
        <f t="array" ref="G8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2" s="15" t="str">
        <f ca="1">IF(OR(tblTraining[[#This Row],[Status]]="Renewed",tblTraining[[#This Row],[NextDueDate]]=""),"",tblTraining[[#This Row],[NextDueDate]]-TODAY())</f>
        <v/>
      </c>
      <c r="I872" s="15" t="str" cm="1">
        <f t="array" aca="1" ref="I8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3" spans="1:9" x14ac:dyDescent="0.25">
      <c r="A873" s="15">
        <f t="shared" si="13"/>
        <v>872</v>
      </c>
      <c r="B873" s="15" t="s">
        <v>102</v>
      </c>
      <c r="C873" s="15" t="str" cm="1">
        <f t="array" ref="C873">IFERROR(_xlfn.XLOOKUP(B873, tblPeople[PersonID], tblPeople[PersonName], ""), "")</f>
        <v>William Mlati</v>
      </c>
      <c r="D873" s="15" t="s">
        <v>28</v>
      </c>
      <c r="E873" s="16" t="str">
        <f>IFERROR(_xlfn.XLOOKUP(D873, tblCourses[CourseID], tblCourses[CourseName], ""), "")</f>
        <v>DHC-8 100/200/300 with PWC 120/120A/121/123B/C/D/E Series Engines(Refresher)</v>
      </c>
      <c r="F873" s="17">
        <v>43847</v>
      </c>
      <c r="G873" s="17" t="str" cm="1">
        <f t="array" ref="G8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3" s="15" t="str">
        <f ca="1">IF(OR(tblTraining[[#This Row],[Status]]="Renewed",tblTraining[[#This Row],[NextDueDate]]=""),"",tblTraining[[#This Row],[NextDueDate]]-TODAY())</f>
        <v/>
      </c>
      <c r="I873" s="15" t="str" cm="1">
        <f t="array" aca="1" ref="I8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4" spans="1:9" x14ac:dyDescent="0.25">
      <c r="A874" s="15">
        <f t="shared" si="13"/>
        <v>873</v>
      </c>
      <c r="B874" s="15" t="s">
        <v>103</v>
      </c>
      <c r="C874" s="15" t="str" cm="1">
        <f t="array" ref="C874">IFERROR(_xlfn.XLOOKUP(B874, tblPeople[PersonID], tblPeople[PersonName], ""), "")</f>
        <v>Smith Harun</v>
      </c>
      <c r="D874" s="15" t="s">
        <v>28</v>
      </c>
      <c r="E874" s="16" t="str">
        <f>IFERROR(_xlfn.XLOOKUP(D874, tblCourses[CourseID], tblCourses[CourseName], ""), "")</f>
        <v>DHC-8 100/200/300 with PWC 120/120A/121/123B/C/D/E Series Engines(Refresher)</v>
      </c>
      <c r="F874" s="17">
        <v>44407</v>
      </c>
      <c r="G874" s="17" t="str" cm="1">
        <f t="array" ref="G8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4" s="15" t="str">
        <f ca="1">IF(OR(tblTraining[[#This Row],[Status]]="Renewed",tblTraining[[#This Row],[NextDueDate]]=""),"",tblTraining[[#This Row],[NextDueDate]]-TODAY())</f>
        <v/>
      </c>
      <c r="I874" s="15" t="str" cm="1">
        <f t="array" aca="1" ref="I8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5" spans="1:9" x14ac:dyDescent="0.25">
      <c r="A875" s="15">
        <f t="shared" si="13"/>
        <v>874</v>
      </c>
      <c r="B875" s="15" t="s">
        <v>103</v>
      </c>
      <c r="C875" s="15" t="str" cm="1">
        <f t="array" ref="C875">IFERROR(_xlfn.XLOOKUP(B875, tblPeople[PersonID], tblPeople[PersonName], ""), "")</f>
        <v>Smith Harun</v>
      </c>
      <c r="D875" s="15" t="s">
        <v>182</v>
      </c>
      <c r="E875" s="16" t="str">
        <f>IFERROR(_xlfn.XLOOKUP(D875, tblCourses[CourseID], tblCourses[CourseName], ""), "")</f>
        <v>Cessna 208 Series (Caravan) With P&amp;WC PT6A-114/ -114A/ -140 Engines (Refresher)</v>
      </c>
      <c r="F875" s="17">
        <v>43875</v>
      </c>
      <c r="G875" s="17" t="str" cm="1">
        <f t="array" ref="G8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5" s="15" t="str">
        <f ca="1">IF(OR(tblTraining[[#This Row],[Status]]="Renewed",tblTraining[[#This Row],[NextDueDate]]=""),"",tblTraining[[#This Row],[NextDueDate]]-TODAY())</f>
        <v/>
      </c>
      <c r="I875" s="15" t="str" cm="1">
        <f t="array" aca="1" ref="I8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6" spans="1:9" x14ac:dyDescent="0.25">
      <c r="A876" s="15">
        <f t="shared" si="13"/>
        <v>875</v>
      </c>
      <c r="B876" s="15" t="s">
        <v>103</v>
      </c>
      <c r="C876" s="15" t="str" cm="1">
        <f t="array" ref="C876">IFERROR(_xlfn.XLOOKUP(B876, tblPeople[PersonID], tblPeople[PersonName], ""), "")</f>
        <v>Smith Harun</v>
      </c>
      <c r="D876" s="15" t="s">
        <v>25</v>
      </c>
      <c r="E876" s="16" t="str">
        <f>IFERROR(_xlfn.XLOOKUP(D876, tblCourses[CourseID], tblCourses[CourseName], ""), "")</f>
        <v>Pratt &amp; Whitney Canada PT6A Engine With P&amp;WC PT6A
20/ 27/ 41/ 42/ 60A/ 67D/ 112/ 114A/ 140 (Refresher)</v>
      </c>
      <c r="F876" s="17">
        <v>44421</v>
      </c>
      <c r="G876" s="17" t="str" cm="1">
        <f t="array" ref="G8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6" s="15" t="str">
        <f ca="1">IF(OR(tblTraining[[#This Row],[Status]]="Renewed",tblTraining[[#This Row],[NextDueDate]]=""),"",tblTraining[[#This Row],[NextDueDate]]-TODAY())</f>
        <v/>
      </c>
      <c r="I876" s="15" t="str" cm="1">
        <f t="array" aca="1" ref="I8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7" spans="1:9" x14ac:dyDescent="0.25">
      <c r="A877" s="15">
        <f t="shared" si="13"/>
        <v>876</v>
      </c>
      <c r="B877" s="15" t="s">
        <v>103</v>
      </c>
      <c r="C877" s="15" t="str" cm="1">
        <f t="array" ref="C877">IFERROR(_xlfn.XLOOKUP(B877, tblPeople[PersonID], tblPeople[PersonName], ""), "")</f>
        <v>Smith Harun</v>
      </c>
      <c r="D877" s="15" t="s">
        <v>22</v>
      </c>
      <c r="E877" s="16" t="str">
        <f>IFERROR(_xlfn.XLOOKUP(D877, tblCourses[CourseID], tblCourses[CourseName], ""), "")</f>
        <v>Human Factors in Aviation (Refresher)</v>
      </c>
      <c r="F877" s="17">
        <v>44179</v>
      </c>
      <c r="G877" s="17" t="str" cm="1">
        <f t="array" ref="G8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7" s="15" t="str">
        <f ca="1">IF(OR(tblTraining[[#This Row],[Status]]="Renewed",tblTraining[[#This Row],[NextDueDate]]=""),"",tblTraining[[#This Row],[NextDueDate]]-TODAY())</f>
        <v/>
      </c>
      <c r="I877" s="15" t="str" cm="1">
        <f t="array" aca="1" ref="I8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8" spans="1:9" x14ac:dyDescent="0.25">
      <c r="A878" s="15">
        <f t="shared" si="13"/>
        <v>877</v>
      </c>
      <c r="B878" s="15" t="s">
        <v>103</v>
      </c>
      <c r="C878" s="15" t="str" cm="1">
        <f t="array" ref="C878">IFERROR(_xlfn.XLOOKUP(B878, tblPeople[PersonID], tblPeople[PersonName], ""), "")</f>
        <v>Smith Harun</v>
      </c>
      <c r="D878" s="15" t="s">
        <v>22</v>
      </c>
      <c r="E878" s="16" t="str">
        <f>IFERROR(_xlfn.XLOOKUP(D878, tblCourses[CourseID], tblCourses[CourseName], ""), "")</f>
        <v>Human Factors in Aviation (Refresher)</v>
      </c>
      <c r="F878" s="17">
        <v>43782</v>
      </c>
      <c r="G878" s="17" t="str" cm="1">
        <f t="array" ref="G8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8" s="15" t="str">
        <f ca="1">IF(OR(tblTraining[[#This Row],[Status]]="Renewed",tblTraining[[#This Row],[NextDueDate]]=""),"",tblTraining[[#This Row],[NextDueDate]]-TODAY())</f>
        <v/>
      </c>
      <c r="I878" s="15" t="str" cm="1">
        <f t="array" aca="1" ref="I8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9" spans="1:9" x14ac:dyDescent="0.25">
      <c r="A879" s="15">
        <f t="shared" si="13"/>
        <v>878</v>
      </c>
      <c r="B879" s="15" t="s">
        <v>103</v>
      </c>
      <c r="C879" s="15" t="str" cm="1">
        <f t="array" ref="C879">IFERROR(_xlfn.XLOOKUP(B879, tblPeople[PersonID], tblPeople[PersonName], ""), "")</f>
        <v>Smith Harun</v>
      </c>
      <c r="D879" s="15" t="s">
        <v>137</v>
      </c>
      <c r="E879" s="16" t="str">
        <f>IFERROR(_xlfn.XLOOKUP(D879, tblCourses[CourseID], tblCourses[CourseName], ""), "")</f>
        <v>GARMIN 1000 Avionics</v>
      </c>
      <c r="F879" s="17">
        <v>41529</v>
      </c>
      <c r="G879" s="17" t="str" cm="1">
        <f t="array" ref="G8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9" s="15" t="str">
        <f ca="1">IF(OR(tblTraining[[#This Row],[Status]]="Renewed",tblTraining[[#This Row],[NextDueDate]]=""),"",tblTraining[[#This Row],[NextDueDate]]-TODAY())</f>
        <v/>
      </c>
      <c r="I879" s="15" t="str" cm="1">
        <f t="array" aca="1" ref="I8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0" spans="1:9" x14ac:dyDescent="0.25">
      <c r="A880" s="15">
        <f t="shared" si="13"/>
        <v>879</v>
      </c>
      <c r="B880" s="15" t="s">
        <v>82</v>
      </c>
      <c r="C880" s="15" t="str" cm="1">
        <f t="array" ref="C880">IFERROR(_xlfn.XLOOKUP(B880, tblPeople[PersonID], tblPeople[PersonName], ""), "")</f>
        <v>Philip Mwania</v>
      </c>
      <c r="D880" s="15" t="s">
        <v>28</v>
      </c>
      <c r="E880" s="16" t="str">
        <f>IFERROR(_xlfn.XLOOKUP(D880, tblCourses[CourseID], tblCourses[CourseName], ""), "")</f>
        <v>DHC-8 100/200/300 with PWC 120/120A/121/123B/C/D/E Series Engines(Refresher)</v>
      </c>
      <c r="F880" s="17">
        <v>43847</v>
      </c>
      <c r="G880" s="17" t="str" cm="1">
        <f t="array" ref="G8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0" s="15" t="str">
        <f ca="1">IF(OR(tblTraining[[#This Row],[Status]]="Renewed",tblTraining[[#This Row],[NextDueDate]]=""),"",tblTraining[[#This Row],[NextDueDate]]-TODAY())</f>
        <v/>
      </c>
      <c r="I880" s="15" t="str" cm="1">
        <f t="array" aca="1" ref="I8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1" spans="1:9" x14ac:dyDescent="0.25">
      <c r="A881" s="15">
        <f t="shared" si="13"/>
        <v>880</v>
      </c>
      <c r="B881" s="15" t="s">
        <v>82</v>
      </c>
      <c r="C881" s="15" t="str" cm="1">
        <f t="array" ref="C881">IFERROR(_xlfn.XLOOKUP(B881, tblPeople[PersonID], tblPeople[PersonName], ""), "")</f>
        <v>Philip Mwania</v>
      </c>
      <c r="D881" s="15" t="s">
        <v>182</v>
      </c>
      <c r="E881" s="16" t="str">
        <f>IFERROR(_xlfn.XLOOKUP(D881, tblCourses[CourseID], tblCourses[CourseName], ""), "")</f>
        <v>Cessna 208 Series (Caravan) With P&amp;WC PT6A-114/ -114A/ -140 Engines (Refresher)</v>
      </c>
      <c r="F881" s="17">
        <v>43875</v>
      </c>
      <c r="G881" s="17" t="str" cm="1">
        <f t="array" ref="G8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1" s="15" t="str">
        <f ca="1">IF(OR(tblTraining[[#This Row],[Status]]="Renewed",tblTraining[[#This Row],[NextDueDate]]=""),"",tblTraining[[#This Row],[NextDueDate]]-TODAY())</f>
        <v/>
      </c>
      <c r="I881" s="15" t="str" cm="1">
        <f t="array" aca="1" ref="I8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2" spans="1:9" x14ac:dyDescent="0.25">
      <c r="A882" s="15">
        <f t="shared" si="13"/>
        <v>881</v>
      </c>
      <c r="B882" s="15" t="s">
        <v>82</v>
      </c>
      <c r="C882" s="15" t="str" cm="1">
        <f t="array" ref="C882">IFERROR(_xlfn.XLOOKUP(B882, tblPeople[PersonID], tblPeople[PersonName], ""), "")</f>
        <v>Philip Mwania</v>
      </c>
      <c r="D882" s="15" t="s">
        <v>32</v>
      </c>
      <c r="E882" s="16" t="str">
        <f>IFERROR(_xlfn.XLOOKUP(D882, tblCourses[CourseID], tblCourses[CourseName], ""), "")</f>
        <v>Dangerous Goods Regulations (CBTA 7.3) (Initial)</v>
      </c>
      <c r="F882" s="17">
        <v>44109</v>
      </c>
      <c r="G882" s="17" t="str" cm="1">
        <f t="array" ref="G8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2" s="15" t="str">
        <f ca="1">IF(OR(tblTraining[[#This Row],[Status]]="Renewed",tblTraining[[#This Row],[NextDueDate]]=""),"",tblTraining[[#This Row],[NextDueDate]]-TODAY())</f>
        <v/>
      </c>
      <c r="I882" s="15" t="str" cm="1">
        <f t="array" aca="1" ref="I8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3" spans="1:9" x14ac:dyDescent="0.25">
      <c r="A883" s="15">
        <f t="shared" si="13"/>
        <v>882</v>
      </c>
      <c r="B883" s="15" t="s">
        <v>82</v>
      </c>
      <c r="C883" s="15" t="str" cm="1">
        <f t="array" ref="C883">IFERROR(_xlfn.XLOOKUP(B883, tblPeople[PersonID], tblPeople[PersonName], ""), "")</f>
        <v>Philip Mwania</v>
      </c>
      <c r="D883" s="15" t="s">
        <v>22</v>
      </c>
      <c r="E883" s="16" t="str">
        <f>IFERROR(_xlfn.XLOOKUP(D883, tblCourses[CourseID], tblCourses[CourseName], ""), "")</f>
        <v>Human Factors in Aviation (Refresher)</v>
      </c>
      <c r="F883" s="17">
        <v>44206</v>
      </c>
      <c r="G883" s="17" t="str" cm="1">
        <f t="array" ref="G8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3" s="15" t="str">
        <f ca="1">IF(OR(tblTraining[[#This Row],[Status]]="Renewed",tblTraining[[#This Row],[NextDueDate]]=""),"",tblTraining[[#This Row],[NextDueDate]]-TODAY())</f>
        <v/>
      </c>
      <c r="I883" s="15" t="str" cm="1">
        <f t="array" aca="1" ref="I8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4" spans="1:9" x14ac:dyDescent="0.25">
      <c r="A884" s="15">
        <f t="shared" si="13"/>
        <v>883</v>
      </c>
      <c r="B884" s="15" t="s">
        <v>82</v>
      </c>
      <c r="C884" s="15" t="str" cm="1">
        <f t="array" ref="C884">IFERROR(_xlfn.XLOOKUP(B884, tblPeople[PersonID], tblPeople[PersonName], ""), "")</f>
        <v>Philip Mwania</v>
      </c>
      <c r="D884" s="15" t="s">
        <v>17</v>
      </c>
      <c r="E884" s="16" t="str">
        <f>IFERROR(_xlfn.XLOOKUP(D884, tblCourses[CourseID], tblCourses[CourseName], ""), "")</f>
        <v>Safety Management Systems (Refresher)</v>
      </c>
      <c r="F884" s="17">
        <v>44281</v>
      </c>
      <c r="G884" s="17" t="str" cm="1">
        <f t="array" ref="G8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4" s="15" t="str">
        <f ca="1">IF(OR(tblTraining[[#This Row],[Status]]="Renewed",tblTraining[[#This Row],[NextDueDate]]=""),"",tblTraining[[#This Row],[NextDueDate]]-TODAY())</f>
        <v/>
      </c>
      <c r="I884" s="15" t="str" cm="1">
        <f t="array" aca="1" ref="I8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5" spans="1:9" x14ac:dyDescent="0.25">
      <c r="A885" s="15">
        <f t="shared" si="13"/>
        <v>884</v>
      </c>
      <c r="B885" s="15" t="s">
        <v>135</v>
      </c>
      <c r="C885" s="15" t="str" cm="1">
        <f t="array" ref="C885">IFERROR(_xlfn.XLOOKUP(B885, tblPeople[PersonID], tblPeople[PersonName], ""), "")</f>
        <v>Francis Muriuki</v>
      </c>
      <c r="D885" s="15" t="s">
        <v>28</v>
      </c>
      <c r="E885" s="16" t="str">
        <f>IFERROR(_xlfn.XLOOKUP(D885, tblCourses[CourseID], tblCourses[CourseName], ""), "")</f>
        <v>DHC-8 100/200/300 with PWC 120/120A/121/123B/C/D/E Series Engines(Refresher)</v>
      </c>
      <c r="F885" s="17">
        <v>44407</v>
      </c>
      <c r="G885" s="17" t="str" cm="1">
        <f t="array" ref="G8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5" s="15" t="str">
        <f ca="1">IF(OR(tblTraining[[#This Row],[Status]]="Renewed",tblTraining[[#This Row],[NextDueDate]]=""),"",tblTraining[[#This Row],[NextDueDate]]-TODAY())</f>
        <v/>
      </c>
      <c r="I885" s="15" t="str" cm="1">
        <f t="array" aca="1" ref="I8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6" spans="1:9" x14ac:dyDescent="0.25">
      <c r="A886" s="15">
        <f t="shared" si="13"/>
        <v>885</v>
      </c>
      <c r="B886" s="15" t="s">
        <v>135</v>
      </c>
      <c r="C886" s="15" t="str" cm="1">
        <f t="array" ref="C886">IFERROR(_xlfn.XLOOKUP(B886, tblPeople[PersonID], tblPeople[PersonName], ""), "")</f>
        <v>Francis Muriuki</v>
      </c>
      <c r="D886" s="15" t="s">
        <v>182</v>
      </c>
      <c r="E886" s="16" t="str">
        <f>IFERROR(_xlfn.XLOOKUP(D886, tblCourses[CourseID], tblCourses[CourseName], ""), "")</f>
        <v>Cessna 208 Series (Caravan) With P&amp;WC PT6A-114/ -114A/ -140 Engines (Refresher)</v>
      </c>
      <c r="F886" s="17">
        <v>44484</v>
      </c>
      <c r="G886" s="17" t="str" cm="1">
        <f t="array" ref="G8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6" s="15" t="str">
        <f ca="1">IF(OR(tblTraining[[#This Row],[Status]]="Renewed",tblTraining[[#This Row],[NextDueDate]]=""),"",tblTraining[[#This Row],[NextDueDate]]-TODAY())</f>
        <v/>
      </c>
      <c r="I886" s="15" t="str" cm="1">
        <f t="array" aca="1" ref="I8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7" spans="1:9" x14ac:dyDescent="0.25">
      <c r="A887" s="15">
        <f t="shared" si="13"/>
        <v>886</v>
      </c>
      <c r="B887" s="15" t="s">
        <v>135</v>
      </c>
      <c r="C887" s="15" t="str" cm="1">
        <f t="array" ref="C887">IFERROR(_xlfn.XLOOKUP(B887, tblPeople[PersonID], tblPeople[PersonName], ""), "")</f>
        <v>Francis Muriuki</v>
      </c>
      <c r="D887" s="15" t="s">
        <v>25</v>
      </c>
      <c r="E887" s="16" t="str">
        <f>IFERROR(_xlfn.XLOOKUP(D887, tblCourses[CourseID], tblCourses[CourseName], ""), "")</f>
        <v>Pratt &amp; Whitney Canada PT6A Engine With P&amp;WC PT6A
20/ 27/ 41/ 42/ 60A/ 67D/ 112/ 114A/ 140 (Refresher)</v>
      </c>
      <c r="F887" s="17">
        <v>44488</v>
      </c>
      <c r="G887" s="17" t="str" cm="1">
        <f t="array" ref="G8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7" s="15" t="str">
        <f ca="1">IF(OR(tblTraining[[#This Row],[Status]]="Renewed",tblTraining[[#This Row],[NextDueDate]]=""),"",tblTraining[[#This Row],[NextDueDate]]-TODAY())</f>
        <v/>
      </c>
      <c r="I887" s="15" t="str" cm="1">
        <f t="array" aca="1" ref="I8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8" spans="1:9" x14ac:dyDescent="0.25">
      <c r="A888" s="15">
        <f t="shared" si="13"/>
        <v>887</v>
      </c>
      <c r="B888" s="15" t="s">
        <v>135</v>
      </c>
      <c r="C888" s="15" t="str" cm="1">
        <f t="array" ref="C888">IFERROR(_xlfn.XLOOKUP(B888, tblPeople[PersonID], tblPeople[PersonName], ""), "")</f>
        <v>Francis Muriuki</v>
      </c>
      <c r="D888" s="15" t="s">
        <v>32</v>
      </c>
      <c r="E888" s="16" t="str">
        <f>IFERROR(_xlfn.XLOOKUP(D888, tblCourses[CourseID], tblCourses[CourseName], ""), "")</f>
        <v>Dangerous Goods Regulations (CBTA 7.3) (Initial)</v>
      </c>
      <c r="F888" s="17">
        <v>44123</v>
      </c>
      <c r="G888" s="17" t="str" cm="1">
        <f t="array" ref="G8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8" s="15" t="str">
        <f ca="1">IF(OR(tblTraining[[#This Row],[Status]]="Renewed",tblTraining[[#This Row],[NextDueDate]]=""),"",tblTraining[[#This Row],[NextDueDate]]-TODAY())</f>
        <v/>
      </c>
      <c r="I888" s="15" t="str" cm="1">
        <f t="array" aca="1" ref="I8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9" spans="1:9" x14ac:dyDescent="0.25">
      <c r="A889" s="15">
        <f t="shared" si="13"/>
        <v>888</v>
      </c>
      <c r="B889" s="15" t="s">
        <v>135</v>
      </c>
      <c r="C889" s="15" t="str" cm="1">
        <f t="array" ref="C889">IFERROR(_xlfn.XLOOKUP(B889, tblPeople[PersonID], tblPeople[PersonName], ""), "")</f>
        <v>Francis Muriuki</v>
      </c>
      <c r="D889" s="15" t="s">
        <v>17</v>
      </c>
      <c r="E889" s="16" t="str">
        <f>IFERROR(_xlfn.XLOOKUP(D889, tblCourses[CourseID], tblCourses[CourseName], ""), "")</f>
        <v>Safety Management Systems (Refresher)</v>
      </c>
      <c r="F889" s="17">
        <v>44463</v>
      </c>
      <c r="G889" s="17" t="str" cm="1">
        <f t="array" ref="G8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9" s="15" t="str">
        <f ca="1">IF(OR(tblTraining[[#This Row],[Status]]="Renewed",tblTraining[[#This Row],[NextDueDate]]=""),"",tblTraining[[#This Row],[NextDueDate]]-TODAY())</f>
        <v/>
      </c>
      <c r="I889" s="15" t="str" cm="1">
        <f t="array" aca="1" ref="I8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0" spans="1:9" x14ac:dyDescent="0.25">
      <c r="A890" s="15">
        <f t="shared" si="13"/>
        <v>889</v>
      </c>
      <c r="B890" s="15" t="s">
        <v>150</v>
      </c>
      <c r="C890" s="15" t="str" cm="1">
        <f t="array" ref="C890">IFERROR(_xlfn.XLOOKUP(B890, tblPeople[PersonID], tblPeople[PersonName], ""), "")</f>
        <v>Kea Kazungu</v>
      </c>
      <c r="D890" s="15" t="s">
        <v>17</v>
      </c>
      <c r="E890" s="16" t="str">
        <f>IFERROR(_xlfn.XLOOKUP(D890, tblCourses[CourseID], tblCourses[CourseName], ""), "")</f>
        <v>Safety Management Systems (Refresher)</v>
      </c>
      <c r="F890" s="17">
        <v>44463</v>
      </c>
      <c r="G890" s="17" t="str" cm="1">
        <f t="array" ref="G8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0" s="15" t="str">
        <f ca="1">IF(OR(tblTraining[[#This Row],[Status]]="Renewed",tblTraining[[#This Row],[NextDueDate]]=""),"",tblTraining[[#This Row],[NextDueDate]]-TODAY())</f>
        <v/>
      </c>
      <c r="I890" s="15" t="str" cm="1">
        <f t="array" aca="1" ref="I8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1" spans="1:9" x14ac:dyDescent="0.25">
      <c r="A891" s="15">
        <f t="shared" si="13"/>
        <v>890</v>
      </c>
      <c r="B891" s="15" t="s">
        <v>157</v>
      </c>
      <c r="C891" s="15" t="str" cm="1">
        <f t="array" ref="C891">IFERROR(_xlfn.XLOOKUP(B891, tblPeople[PersonID], tblPeople[PersonName], ""), "")</f>
        <v>Stephen Mutambu</v>
      </c>
      <c r="D891" s="15" t="s">
        <v>238</v>
      </c>
      <c r="E891" s="16" t="str">
        <f>IFERROR(_xlfn.XLOOKUP(D891, tblCourses[CourseID], tblCourses[CourseName], ""), "")</f>
        <v>Crew Resource Management (Initial)</v>
      </c>
      <c r="F891" s="17">
        <v>44126</v>
      </c>
      <c r="G891" s="17" t="str" cm="1">
        <f t="array" ref="G8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1" s="15" t="str">
        <f ca="1">IF(OR(tblTraining[[#This Row],[Status]]="Renewed",tblTraining[[#This Row],[NextDueDate]]=""),"",tblTraining[[#This Row],[NextDueDate]]-TODAY())</f>
        <v/>
      </c>
      <c r="I891" s="15" t="str" cm="1">
        <f t="array" aca="1" ref="I8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2" spans="1:9" x14ac:dyDescent="0.25">
      <c r="A892" s="15">
        <f t="shared" si="13"/>
        <v>891</v>
      </c>
      <c r="B892" s="15" t="s">
        <v>157</v>
      </c>
      <c r="C892" s="15" t="str" cm="1">
        <f t="array" ref="C892">IFERROR(_xlfn.XLOOKUP(B892, tblPeople[PersonID], tblPeople[PersonName], ""), "")</f>
        <v>Stephen Mutambu</v>
      </c>
      <c r="D892" s="15" t="s">
        <v>237</v>
      </c>
      <c r="E892" s="16" t="str">
        <f>IFERROR(_xlfn.XLOOKUP(D892, tblCourses[CourseID], tblCourses[CourseName], ""), "")</f>
        <v>Crew Resource Management (Refresher)</v>
      </c>
      <c r="F892" s="17">
        <v>44126</v>
      </c>
      <c r="G892" s="17" cm="1">
        <f t="array" ref="G8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44856</v>
      </c>
      <c r="H892" s="15">
        <f ca="1">IF(OR(tblTraining[[#This Row],[Status]]="Renewed",tblTraining[[#This Row],[NextDueDate]]=""),"",tblTraining[[#This Row],[NextDueDate]]-TODAY())</f>
        <v>-1430</v>
      </c>
      <c r="I892" s="15" t="str" cm="1">
        <f t="array" aca="1" ref="I8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893" spans="1:9" x14ac:dyDescent="0.25">
      <c r="A893" s="15">
        <f t="shared" si="13"/>
        <v>892</v>
      </c>
      <c r="B893" s="15" t="s">
        <v>97</v>
      </c>
      <c r="C893" s="15" t="str" cm="1">
        <f t="array" ref="C893">IFERROR(_xlfn.XLOOKUP(B893, tblPeople[PersonID], tblPeople[PersonName], ""), "")</f>
        <v>Thomas Wambunya</v>
      </c>
      <c r="D893" s="15" t="s">
        <v>124</v>
      </c>
      <c r="E893" s="16" t="str">
        <f>IFERROR(_xlfn.XLOOKUP(D893, tblCourses[CourseID], tblCourses[CourseName], ""), "")</f>
        <v>Aviation Security (Initial)</v>
      </c>
      <c r="F893" s="17">
        <v>43203</v>
      </c>
      <c r="G893" s="17" t="str" cm="1">
        <f t="array" ref="G8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3" s="15" t="str">
        <f ca="1">IF(OR(tblTraining[[#This Row],[Status]]="Renewed",tblTraining[[#This Row],[NextDueDate]]=""),"",tblTraining[[#This Row],[NextDueDate]]-TODAY())</f>
        <v/>
      </c>
      <c r="I893" s="15" t="str" cm="1">
        <f t="array" aca="1" ref="I8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4" spans="1:9" x14ac:dyDescent="0.25">
      <c r="A894" s="15">
        <f t="shared" si="13"/>
        <v>893</v>
      </c>
      <c r="B894" s="15" t="s">
        <v>97</v>
      </c>
      <c r="C894" s="15" t="str" cm="1">
        <f t="array" ref="C894">IFERROR(_xlfn.XLOOKUP(B894, tblPeople[PersonID], tblPeople[PersonName], ""), "")</f>
        <v>Thomas Wambunya</v>
      </c>
      <c r="D894" s="15" t="s">
        <v>125</v>
      </c>
      <c r="E894" s="16" t="str">
        <f>IFERROR(_xlfn.XLOOKUP(D894, tblCourses[CourseID], tblCourses[CourseName], ""), "")</f>
        <v>Aviation Security (Refresher)</v>
      </c>
      <c r="F894" s="17">
        <v>46238</v>
      </c>
      <c r="G894" s="17" cm="1">
        <f t="array" ref="G8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894" s="15">
        <f ca="1">IF(OR(tblTraining[[#This Row],[Status]]="Renewed",tblTraining[[#This Row],[NextDueDate]]=""),"",tblTraining[[#This Row],[NextDueDate]]-TODAY())</f>
        <v>683</v>
      </c>
      <c r="I894" s="15" t="str" cm="1">
        <f t="array" aca="1" ref="I8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5" spans="1:9" x14ac:dyDescent="0.25">
      <c r="A895" s="15">
        <f t="shared" si="13"/>
        <v>894</v>
      </c>
      <c r="B895" s="15" t="s">
        <v>97</v>
      </c>
      <c r="C895" s="15" t="str" cm="1">
        <f t="array" ref="C895">IFERROR(_xlfn.XLOOKUP(B895, tblPeople[PersonID], tblPeople[PersonName], ""), "")</f>
        <v>Thomas Wambunya</v>
      </c>
      <c r="D895" s="15" t="s">
        <v>17</v>
      </c>
      <c r="E895" s="16" t="str">
        <f>IFERROR(_xlfn.XLOOKUP(D895, tblCourses[CourseID], tblCourses[CourseName], ""), "")</f>
        <v>Safety Management Systems (Refresher)</v>
      </c>
      <c r="F895" s="17">
        <v>44281</v>
      </c>
      <c r="G895" s="17" t="str" cm="1">
        <f t="array" ref="G8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5" s="15" t="str">
        <f ca="1">IF(OR(tblTraining[[#This Row],[Status]]="Renewed",tblTraining[[#This Row],[NextDueDate]]=""),"",tblTraining[[#This Row],[NextDueDate]]-TODAY())</f>
        <v/>
      </c>
      <c r="I895" s="15" t="str" cm="1">
        <f t="array" aca="1" ref="I8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6" spans="1:9" x14ac:dyDescent="0.25">
      <c r="A896" s="15">
        <f t="shared" si="13"/>
        <v>895</v>
      </c>
      <c r="B896" s="15" t="s">
        <v>103</v>
      </c>
      <c r="C896" s="15" t="str" cm="1">
        <f t="array" ref="C896">IFERROR(_xlfn.XLOOKUP(B896, tblPeople[PersonID], tblPeople[PersonName], ""), "")</f>
        <v>Smith Harun</v>
      </c>
      <c r="D896" s="15" t="s">
        <v>22</v>
      </c>
      <c r="E896" s="16" t="str">
        <f>IFERROR(_xlfn.XLOOKUP(D896, tblCourses[CourseID], tblCourses[CourseName], ""), "")</f>
        <v>Human Factors in Aviation (Refresher)</v>
      </c>
      <c r="F896" s="17">
        <v>43154</v>
      </c>
      <c r="G896" s="17" t="str" cm="1">
        <f t="array" ref="G8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6" s="15" t="str">
        <f ca="1">IF(OR(tblTraining[[#This Row],[Status]]="Renewed",tblTraining[[#This Row],[NextDueDate]]=""),"",tblTraining[[#This Row],[NextDueDate]]-TODAY())</f>
        <v/>
      </c>
      <c r="I896" s="15" t="str" cm="1">
        <f t="array" aca="1" ref="I8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7" spans="1:9" x14ac:dyDescent="0.25">
      <c r="A897" s="15">
        <f t="shared" si="13"/>
        <v>896</v>
      </c>
      <c r="B897" s="15" t="s">
        <v>117</v>
      </c>
      <c r="C897" s="15" t="str" cm="1">
        <f t="array" ref="C897">IFERROR(_xlfn.XLOOKUP(B897, tblPeople[PersonID], tblPeople[PersonName], ""), "")</f>
        <v>Mercy Etende</v>
      </c>
      <c r="D897" s="15" t="s">
        <v>32</v>
      </c>
      <c r="E897" s="16" t="str">
        <f>IFERROR(_xlfn.XLOOKUP(D897, tblCourses[CourseID], tblCourses[CourseName], ""), "")</f>
        <v>Dangerous Goods Regulations (CBTA 7.3) (Initial)</v>
      </c>
      <c r="F897" s="17">
        <v>44074</v>
      </c>
      <c r="G897" s="17" t="str" cm="1">
        <f t="array" ref="G8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7" s="15" t="str">
        <f ca="1">IF(OR(tblTraining[[#This Row],[Status]]="Renewed",tblTraining[[#This Row],[NextDueDate]]=""),"",tblTraining[[#This Row],[NextDueDate]]-TODAY())</f>
        <v/>
      </c>
      <c r="I897" s="15" t="str" cm="1">
        <f t="array" aca="1" ref="I8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8" spans="1:9" x14ac:dyDescent="0.25">
      <c r="A898" s="15">
        <f t="shared" si="13"/>
        <v>897</v>
      </c>
      <c r="B898" s="15" t="s">
        <v>135</v>
      </c>
      <c r="C898" s="15" t="str" cm="1">
        <f t="array" ref="C898">IFERROR(_xlfn.XLOOKUP(B898, tblPeople[PersonID], tblPeople[PersonName], ""), "")</f>
        <v>Francis Muriuki</v>
      </c>
      <c r="D898" s="15" t="s">
        <v>179</v>
      </c>
      <c r="E898" s="16" t="str">
        <f>IFERROR(_xlfn.XLOOKUP(D898, tblCourses[CourseID], tblCourses[CourseName], ""), "")</f>
        <v>Aircraft Maintenance Engineers' Licence</v>
      </c>
      <c r="F898" s="17">
        <v>44048</v>
      </c>
      <c r="G898" s="17" t="str" cm="1">
        <f t="array" ref="G8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8" s="15" t="str">
        <f ca="1">IF(OR(tblTraining[[#This Row],[Status]]="Renewed",tblTraining[[#This Row],[NextDueDate]]=""),"",tblTraining[[#This Row],[NextDueDate]]-TODAY())</f>
        <v/>
      </c>
      <c r="I898" s="15" t="str" cm="1">
        <f t="array" aca="1" ref="I8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9" spans="1:9" x14ac:dyDescent="0.25">
      <c r="A899" s="15">
        <f t="shared" si="13"/>
        <v>898</v>
      </c>
      <c r="B899" s="15" t="s">
        <v>135</v>
      </c>
      <c r="C899" s="15" t="str" cm="1">
        <f t="array" ref="C899">IFERROR(_xlfn.XLOOKUP(B899, tblPeople[PersonID], tblPeople[PersonName], ""), "")</f>
        <v>Francis Muriuki</v>
      </c>
      <c r="D899" s="15" t="s">
        <v>76</v>
      </c>
      <c r="E899" s="16" t="str">
        <f>IFERROR(_xlfn.XLOOKUP(D899, tblCourses[CourseID], tblCourses[CourseName], ""), "")</f>
        <v>Fuel Tank Safety Phase 1 &amp; 2 Course (Initial)</v>
      </c>
      <c r="F899" s="17">
        <v>44610</v>
      </c>
      <c r="G899" s="17" t="str" cm="1">
        <f t="array" ref="G8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9" s="15" t="str">
        <f ca="1">IF(OR(tblTraining[[#This Row],[Status]]="Renewed",tblTraining[[#This Row],[NextDueDate]]=""),"",tblTraining[[#This Row],[NextDueDate]]-TODAY())</f>
        <v/>
      </c>
      <c r="I899" s="15" t="str" cm="1">
        <f t="array" aca="1" ref="I8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0" spans="1:9" x14ac:dyDescent="0.25">
      <c r="A900" s="15">
        <f t="shared" ref="A900:A963" si="14">A899+1</f>
        <v>899</v>
      </c>
      <c r="B900" s="15" t="s">
        <v>135</v>
      </c>
      <c r="C900" s="15" t="str" cm="1">
        <f t="array" ref="C900">IFERROR(_xlfn.XLOOKUP(B900, tblPeople[PersonID], tblPeople[PersonName], ""), "")</f>
        <v>Francis Muriuki</v>
      </c>
      <c r="D900" s="15" t="s">
        <v>78</v>
      </c>
      <c r="E900" s="16" t="str">
        <f>IFERROR(_xlfn.XLOOKUP(D900, tblCourses[CourseID], tblCourses[CourseName], ""), "")</f>
        <v>DHC8 -100/-200/-300 Collins Wheels &amp; Brakes Familiarization Training (Initial)</v>
      </c>
      <c r="F900" s="17">
        <v>44392</v>
      </c>
      <c r="G900" s="17" t="str" cm="1">
        <f t="array" ref="G9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0" s="15" t="str">
        <f ca="1">IF(OR(tblTraining[[#This Row],[Status]]="Renewed",tblTraining[[#This Row],[NextDueDate]]=""),"",tblTraining[[#This Row],[NextDueDate]]-TODAY())</f>
        <v/>
      </c>
      <c r="I900" s="15" t="str" cm="1">
        <f t="array" aca="1" ref="I9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1" spans="1:9" x14ac:dyDescent="0.25">
      <c r="A901" s="15">
        <f t="shared" si="14"/>
        <v>900</v>
      </c>
      <c r="B901" s="15" t="s">
        <v>214</v>
      </c>
      <c r="C901" s="15" t="str" cm="1">
        <f t="array" ref="C901">IFERROR(_xlfn.XLOOKUP(B901, tblPeople[PersonID], tblPeople[PersonName], ""), "")</f>
        <v xml:space="preserve">Edwin Kemei </v>
      </c>
      <c r="D901" s="15" t="s">
        <v>125</v>
      </c>
      <c r="E901" s="16" t="str">
        <f>IFERROR(_xlfn.XLOOKUP(D901, tblCourses[CourseID], tblCourses[CourseName], ""), "")</f>
        <v>Aviation Security (Refresher)</v>
      </c>
      <c r="F901" s="17">
        <v>44123</v>
      </c>
      <c r="G901" s="17" t="str" cm="1">
        <f t="array" ref="G9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1" s="15" t="str">
        <f ca="1">IF(OR(tblTraining[[#This Row],[Status]]="Renewed",tblTraining[[#This Row],[NextDueDate]]=""),"",tblTraining[[#This Row],[NextDueDate]]-TODAY())</f>
        <v/>
      </c>
      <c r="I901" s="15" t="str" cm="1">
        <f t="array" aca="1" ref="I9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02" spans="1:9" x14ac:dyDescent="0.25">
      <c r="A902" s="15">
        <f t="shared" si="14"/>
        <v>901</v>
      </c>
      <c r="B902" s="15" t="s">
        <v>87</v>
      </c>
      <c r="C902" s="15" t="str" cm="1">
        <f t="array" ref="C902">IFERROR(_xlfn.XLOOKUP(B902, tblPeople[PersonID], tblPeople[PersonName], ""), "")</f>
        <v>Sydney Sawe</v>
      </c>
      <c r="D902" s="15" t="s">
        <v>24</v>
      </c>
      <c r="E902" s="16" t="str">
        <f>IFERROR(_xlfn.XLOOKUP(D902, tblCourses[CourseID], tblCourses[CourseName], ""), "")</f>
        <v>Human Factors in Aviation (Initial)</v>
      </c>
      <c r="F902" s="17">
        <v>45628</v>
      </c>
      <c r="G902" s="17" t="str" cm="1">
        <f t="array" ref="G9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2" s="15" t="str">
        <f ca="1">IF(OR(tblTraining[[#This Row],[Status]]="Renewed",tblTraining[[#This Row],[NextDueDate]]=""),"",tblTraining[[#This Row],[NextDueDate]]-TODAY())</f>
        <v/>
      </c>
      <c r="I902" s="15" t="str" cm="1">
        <f t="array" aca="1" ref="I9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3" spans="1:9" x14ac:dyDescent="0.25">
      <c r="A903" s="15">
        <f t="shared" si="14"/>
        <v>902</v>
      </c>
      <c r="B903" s="15" t="s">
        <v>118</v>
      </c>
      <c r="C903" s="15" t="str" cm="1">
        <f t="array" ref="C903">IFERROR(_xlfn.XLOOKUP(B903, tblPeople[PersonID], tblPeople[PersonName], ""), "")</f>
        <v>Michael Olunga</v>
      </c>
      <c r="D903" s="15" t="s">
        <v>24</v>
      </c>
      <c r="E903" s="16" t="str">
        <f>IFERROR(_xlfn.XLOOKUP(D903, tblCourses[CourseID], tblCourses[CourseName], ""), "")</f>
        <v>Human Factors in Aviation (Initial)</v>
      </c>
      <c r="F903" s="17">
        <v>45870</v>
      </c>
      <c r="G903" s="17" t="str" cm="1">
        <f t="array" ref="G9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3" s="15" t="str">
        <f ca="1">IF(OR(tblTraining[[#This Row],[Status]]="Renewed",tblTraining[[#This Row],[NextDueDate]]=""),"",tblTraining[[#This Row],[NextDueDate]]-TODAY())</f>
        <v/>
      </c>
      <c r="I903" s="15" t="str" cm="1">
        <f t="array" aca="1" ref="I9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4" spans="1:9" x14ac:dyDescent="0.25">
      <c r="A904" s="15">
        <f t="shared" si="14"/>
        <v>903</v>
      </c>
      <c r="B904" s="15" t="s">
        <v>101</v>
      </c>
      <c r="C904" s="15" t="str" cm="1">
        <f t="array" ref="C904">IFERROR(_xlfn.XLOOKUP(B904, tblPeople[PersonID], tblPeople[PersonName], ""), "")</f>
        <v>Paul Mzera</v>
      </c>
      <c r="D904" s="15" t="s">
        <v>24</v>
      </c>
      <c r="E904" s="16" t="str">
        <f>IFERROR(_xlfn.XLOOKUP(D904, tblCourses[CourseID], tblCourses[CourseName], ""), "")</f>
        <v>Human Factors in Aviation (Initial)</v>
      </c>
      <c r="F904" s="17">
        <v>45603</v>
      </c>
      <c r="G904" s="17" t="str" cm="1">
        <f t="array" ref="G9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4" s="15" t="str">
        <f ca="1">IF(OR(tblTraining[[#This Row],[Status]]="Renewed",tblTraining[[#This Row],[NextDueDate]]=""),"",tblTraining[[#This Row],[NextDueDate]]-TODAY())</f>
        <v/>
      </c>
      <c r="I904" s="15" t="str" cm="1">
        <f t="array" aca="1" ref="I9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5" spans="1:9" x14ac:dyDescent="0.25">
      <c r="A905" s="15">
        <f t="shared" si="14"/>
        <v>904</v>
      </c>
      <c r="B905" s="15" t="s">
        <v>98</v>
      </c>
      <c r="C905" s="15" t="str" cm="1">
        <f t="array" ref="C905">IFERROR(_xlfn.XLOOKUP(B905, tblPeople[PersonID], tblPeople[PersonName], ""), "")</f>
        <v>Thadeus Mong’are</v>
      </c>
      <c r="D905" s="15" t="s">
        <v>20</v>
      </c>
      <c r="E905" s="16" t="str">
        <f>IFERROR(_xlfn.XLOOKUP(D905, tblCourses[CourseID], tblCourses[CourseName], ""), "")</f>
        <v>Safety Management Systems (Initial)</v>
      </c>
      <c r="F905" s="17">
        <v>45343</v>
      </c>
      <c r="G905" s="17" t="str" cm="1">
        <f t="array" ref="G9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5" s="15" t="str">
        <f ca="1">IF(OR(tblTraining[[#This Row],[Status]]="Renewed",tblTraining[[#This Row],[NextDueDate]]=""),"",tblTraining[[#This Row],[NextDueDate]]-TODAY())</f>
        <v/>
      </c>
      <c r="I905" s="15" t="str" cm="1">
        <f t="array" aca="1" ref="I9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6" spans="1:9" x14ac:dyDescent="0.25">
      <c r="A906" s="15">
        <f t="shared" si="14"/>
        <v>905</v>
      </c>
      <c r="B906" s="15" t="s">
        <v>156</v>
      </c>
      <c r="C906" s="15" t="str" cm="1">
        <f t="array" ref="C906">IFERROR(_xlfn.XLOOKUP(B906, tblPeople[PersonID], tblPeople[PersonName], ""), "")</f>
        <v>Urbanus Muema</v>
      </c>
      <c r="D906" s="15" t="s">
        <v>20</v>
      </c>
      <c r="E906" s="16" t="str">
        <f>IFERROR(_xlfn.XLOOKUP(D906, tblCourses[CourseID], tblCourses[CourseName], ""), "")</f>
        <v>Safety Management Systems (Initial)</v>
      </c>
      <c r="F906" s="17">
        <v>45590</v>
      </c>
      <c r="G906" s="17" t="str" cm="1">
        <f t="array" ref="G9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6" s="15" t="str">
        <f ca="1">IF(OR(tblTraining[[#This Row],[Status]]="Renewed",tblTraining[[#This Row],[NextDueDate]]=""),"",tblTraining[[#This Row],[NextDueDate]]-TODAY())</f>
        <v/>
      </c>
      <c r="I906" s="15" t="str" cm="1">
        <f t="array" aca="1" ref="I9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7" spans="1:9" x14ac:dyDescent="0.25">
      <c r="A907" s="15">
        <f t="shared" si="14"/>
        <v>906</v>
      </c>
      <c r="B907" s="15" t="s">
        <v>101</v>
      </c>
      <c r="C907" s="15" t="str" cm="1">
        <f t="array" ref="C907">IFERROR(_xlfn.XLOOKUP(B907, tblPeople[PersonID], tblPeople[PersonName], ""), "")</f>
        <v>Paul Mzera</v>
      </c>
      <c r="D907" s="15" t="s">
        <v>20</v>
      </c>
      <c r="E907" s="16" t="str">
        <f>IFERROR(_xlfn.XLOOKUP(D907, tblCourses[CourseID], tblCourses[CourseName], ""), "")</f>
        <v>Safety Management Systems (Initial)</v>
      </c>
      <c r="F907" s="17">
        <v>45750</v>
      </c>
      <c r="G907" s="17" t="str" cm="1">
        <f t="array" ref="G9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7" s="15" t="str">
        <f ca="1">IF(OR(tblTraining[[#This Row],[Status]]="Renewed",tblTraining[[#This Row],[NextDueDate]]=""),"",tblTraining[[#This Row],[NextDueDate]]-TODAY())</f>
        <v/>
      </c>
      <c r="I907" s="15" t="str" cm="1">
        <f t="array" aca="1" ref="I9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8" spans="1:9" x14ac:dyDescent="0.25">
      <c r="A908" s="15">
        <f t="shared" si="14"/>
        <v>907</v>
      </c>
      <c r="B908" s="15" t="s">
        <v>92</v>
      </c>
      <c r="C908" s="15" t="str" cm="1">
        <f t="array" ref="C908">IFERROR(_xlfn.XLOOKUP(B908, tblPeople[PersonID], tblPeople[PersonName], ""), "")</f>
        <v>Reuben Otieno</v>
      </c>
      <c r="D908" s="15" t="s">
        <v>20</v>
      </c>
      <c r="E908" s="16" t="str">
        <f>IFERROR(_xlfn.XLOOKUP(D908, tblCourses[CourseID], tblCourses[CourseName], ""), "")</f>
        <v>Safety Management Systems (Initial)</v>
      </c>
      <c r="F908" s="17">
        <v>45379</v>
      </c>
      <c r="G908" s="17" t="str" cm="1">
        <f t="array" ref="G9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8" s="15" t="str">
        <f ca="1">IF(OR(tblTraining[[#This Row],[Status]]="Renewed",tblTraining[[#This Row],[NextDueDate]]=""),"",tblTraining[[#This Row],[NextDueDate]]-TODAY())</f>
        <v/>
      </c>
      <c r="I908" s="15" t="str" cm="1">
        <f t="array" aca="1" ref="I9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9" spans="1:9" x14ac:dyDescent="0.25">
      <c r="A909" s="15">
        <f t="shared" si="14"/>
        <v>908</v>
      </c>
      <c r="B909" s="15" t="s">
        <v>85</v>
      </c>
      <c r="C909" s="15" t="str" cm="1">
        <f t="array" ref="C909">IFERROR(_xlfn.XLOOKUP(B909, tblPeople[PersonID], tblPeople[PersonName], ""), "")</f>
        <v>Titus Shunza</v>
      </c>
      <c r="D909" s="15" t="s">
        <v>20</v>
      </c>
      <c r="E909" s="16" t="str">
        <f>IFERROR(_xlfn.XLOOKUP(D909, tblCourses[CourseID], tblCourses[CourseName], ""), "")</f>
        <v>Safety Management Systems (Initial)</v>
      </c>
      <c r="F909" s="17">
        <v>45482</v>
      </c>
      <c r="G909" s="17" t="str" cm="1">
        <f t="array" ref="G9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9" s="15" t="str">
        <f ca="1">IF(OR(tblTraining[[#This Row],[Status]]="Renewed",tblTraining[[#This Row],[NextDueDate]]=""),"",tblTraining[[#This Row],[NextDueDate]]-TODAY())</f>
        <v/>
      </c>
      <c r="I909" s="15" t="str" cm="1">
        <f t="array" aca="1" ref="I9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0" spans="1:9" x14ac:dyDescent="0.25">
      <c r="A910" s="15">
        <f t="shared" si="14"/>
        <v>909</v>
      </c>
      <c r="B910" s="15" t="s">
        <v>104</v>
      </c>
      <c r="C910" s="15" t="str" cm="1">
        <f t="array" ref="C910">IFERROR(_xlfn.XLOOKUP(B910, tblPeople[PersonID], tblPeople[PersonName], ""), "")</f>
        <v>Douglas Hurgins</v>
      </c>
      <c r="D910" s="15" t="s">
        <v>29</v>
      </c>
      <c r="E910" s="16" t="str">
        <f>IFERROR(_xlfn.XLOOKUP(D910, tblCourses[CourseID], tblCourses[CourseName], ""), "")</f>
        <v>DHC-8 100/200/300 with PWC 120/120A/121/123B/C/D/E Series Engines(Initial)</v>
      </c>
      <c r="F910" s="17">
        <v>45373</v>
      </c>
      <c r="G910" s="17" t="str" cm="1">
        <f t="array" ref="G9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0" s="15" t="str">
        <f ca="1">IF(OR(tblTraining[[#This Row],[Status]]="Renewed",tblTraining[[#This Row],[NextDueDate]]=""),"",tblTraining[[#This Row],[NextDueDate]]-TODAY())</f>
        <v/>
      </c>
      <c r="I910" s="15" t="str" cm="1">
        <f t="array" aca="1" ref="I9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1" spans="1:9" x14ac:dyDescent="0.25">
      <c r="A911" s="15">
        <f t="shared" si="14"/>
        <v>910</v>
      </c>
      <c r="B911" s="15" t="s">
        <v>153</v>
      </c>
      <c r="C911" s="15" t="str" cm="1">
        <f t="array" ref="C911">IFERROR(_xlfn.XLOOKUP(B911, tblPeople[PersonID], tblPeople[PersonName], ""), "")</f>
        <v>Majid Mohamed</v>
      </c>
      <c r="D911" s="15" t="s">
        <v>181</v>
      </c>
      <c r="E911" s="16" t="str">
        <f>IFERROR(_xlfn.XLOOKUP(D911, tblCourses[CourseID], tblCourses[CourseName], ""), "")</f>
        <v>Cessna 208 Series (Caravan) With P&amp;WC PT6A-114/ -114A/ -140 Engines (Initial)</v>
      </c>
      <c r="F911" s="17">
        <v>45387</v>
      </c>
      <c r="G911" s="17" t="str" cm="1">
        <f t="array" ref="G9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1" s="15" t="str">
        <f ca="1">IF(OR(tblTraining[[#This Row],[Status]]="Renewed",tblTraining[[#This Row],[NextDueDate]]=""),"",tblTraining[[#This Row],[NextDueDate]]-TODAY())</f>
        <v/>
      </c>
      <c r="I911" s="15" t="str" cm="1">
        <f t="array" aca="1" ref="I9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2" spans="1:9" x14ac:dyDescent="0.25">
      <c r="A912" s="15">
        <f t="shared" si="14"/>
        <v>911</v>
      </c>
      <c r="B912" s="15" t="s">
        <v>119</v>
      </c>
      <c r="C912" s="15" t="str" cm="1">
        <f t="array" ref="C912">IFERROR(_xlfn.XLOOKUP(B912, tblPeople[PersonID], tblPeople[PersonName], ""), "")</f>
        <v>Walter Edupu</v>
      </c>
      <c r="D912" s="15" t="s">
        <v>360</v>
      </c>
      <c r="E912" s="16" t="str">
        <f>IFERROR(_xlfn.XLOOKUP(D912, tblCourses[CourseID], tblCourses[CourseName], ""), "")</f>
        <v>Maintenance Procedures &amp; Standard Maintenance Practices (Initial)</v>
      </c>
      <c r="F912" s="17">
        <v>45627</v>
      </c>
      <c r="G912" s="17" t="str" cm="1">
        <f t="array" ref="G9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2" s="15" t="str">
        <f ca="1">IF(OR(tblTraining[[#This Row],[Status]]="Renewed",tblTraining[[#This Row],[NextDueDate]]=""),"",tblTraining[[#This Row],[NextDueDate]]-TODAY())</f>
        <v/>
      </c>
      <c r="I912" s="15" t="str" cm="1">
        <f t="array" aca="1" ref="I9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3" spans="1:9" x14ac:dyDescent="0.25">
      <c r="A913" s="15">
        <f t="shared" si="14"/>
        <v>912</v>
      </c>
      <c r="B913" s="15" t="s">
        <v>119</v>
      </c>
      <c r="C913" s="15" t="str" cm="1">
        <f t="array" ref="C913">IFERROR(_xlfn.XLOOKUP(B913, tblPeople[PersonID], tblPeople[PersonName], ""), "")</f>
        <v>Walter Edupu</v>
      </c>
      <c r="D913" s="15" t="s">
        <v>202</v>
      </c>
      <c r="E913" s="16" t="str">
        <f>IFERROR(_xlfn.XLOOKUP(D913, tblCourses[CourseID], tblCourses[CourseName], ""), "")</f>
        <v>Maintenance Procedures &amp; Standard Maintenance Practices (Refresher)</v>
      </c>
      <c r="F913" s="17">
        <v>45627</v>
      </c>
      <c r="G913" s="17" t="str" cm="1">
        <f t="array" ref="G9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3" s="15" t="str">
        <f ca="1">IF(OR(tblTraining[[#This Row],[Status]]="Renewed",tblTraining[[#This Row],[NextDueDate]]=""),"",tblTraining[[#This Row],[NextDueDate]]-TODAY())</f>
        <v/>
      </c>
      <c r="I913" s="15" t="str" cm="1">
        <f t="array" aca="1" ref="I9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14" spans="1:9" x14ac:dyDescent="0.25">
      <c r="A914" s="15">
        <f t="shared" si="14"/>
        <v>913</v>
      </c>
      <c r="B914" s="15" t="s">
        <v>92</v>
      </c>
      <c r="C914" s="15" t="str" cm="1">
        <f t="array" ref="C914">IFERROR(_xlfn.XLOOKUP(B914, tblPeople[PersonID], tblPeople[PersonName], ""), "")</f>
        <v>Reuben Otieno</v>
      </c>
      <c r="D914" s="15" t="s">
        <v>75</v>
      </c>
      <c r="E914" s="16" t="str">
        <f>IFERROR(_xlfn.XLOOKUP(D914, tblCourses[CourseID], tblCourses[CourseName], ""), "")</f>
        <v>Fuel Tank Safety Phase 1 &amp; 2 Course (Refresher)</v>
      </c>
      <c r="F914" s="17">
        <v>45404</v>
      </c>
      <c r="G914" s="17" t="str" cm="1">
        <f t="array" ref="G9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4" s="15" t="str">
        <f ca="1">IF(OR(tblTraining[[#This Row],[Status]]="Renewed",tblTraining[[#This Row],[NextDueDate]]=""),"",tblTraining[[#This Row],[NextDueDate]]-TODAY())</f>
        <v/>
      </c>
      <c r="I914" s="15" t="str" cm="1">
        <f t="array" aca="1" ref="I9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15" spans="1:9" x14ac:dyDescent="0.25">
      <c r="A915" s="15">
        <f t="shared" si="14"/>
        <v>914</v>
      </c>
      <c r="B915" s="15" t="s">
        <v>103</v>
      </c>
      <c r="C915" s="15" t="str" cm="1">
        <f t="array" ref="C915">IFERROR(_xlfn.XLOOKUP(B915, tblPeople[PersonID], tblPeople[PersonName], ""), "")</f>
        <v>Smith Harun</v>
      </c>
      <c r="D915" s="15" t="s">
        <v>76</v>
      </c>
      <c r="E915" s="16" t="str">
        <f>IFERROR(_xlfn.XLOOKUP(D915, tblCourses[CourseID], tblCourses[CourseName], ""), "")</f>
        <v>Fuel Tank Safety Phase 1 &amp; 2 Course (Initial)</v>
      </c>
      <c r="F915" s="17">
        <v>45428</v>
      </c>
      <c r="G915" s="17" t="str" cm="1">
        <f t="array" ref="G9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5" s="15" t="str">
        <f ca="1">IF(OR(tblTraining[[#This Row],[Status]]="Renewed",tblTraining[[#This Row],[NextDueDate]]=""),"",tblTraining[[#This Row],[NextDueDate]]-TODAY())</f>
        <v/>
      </c>
      <c r="I915" s="15" t="str" cm="1">
        <f t="array" aca="1" ref="I9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6" spans="1:9" x14ac:dyDescent="0.25">
      <c r="A916" s="15">
        <f t="shared" si="14"/>
        <v>915</v>
      </c>
      <c r="B916" s="15" t="s">
        <v>104</v>
      </c>
      <c r="C916" s="15" t="str" cm="1">
        <f t="array" ref="C916">IFERROR(_xlfn.XLOOKUP(B916, tblPeople[PersonID], tblPeople[PersonName], ""), "")</f>
        <v>Douglas Hurgins</v>
      </c>
      <c r="D916" s="15" t="s">
        <v>76</v>
      </c>
      <c r="E916" s="16" t="str">
        <f>IFERROR(_xlfn.XLOOKUP(D916, tblCourses[CourseID], tblCourses[CourseName], ""), "")</f>
        <v>Fuel Tank Safety Phase 1 &amp; 2 Course (Initial)</v>
      </c>
      <c r="F916" s="17">
        <v>45405</v>
      </c>
      <c r="G916" s="17" t="str" cm="1">
        <f t="array" ref="G9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6" s="15" t="str">
        <f ca="1">IF(OR(tblTraining[[#This Row],[Status]]="Renewed",tblTraining[[#This Row],[NextDueDate]]=""),"",tblTraining[[#This Row],[NextDueDate]]-TODAY())</f>
        <v/>
      </c>
      <c r="I916" s="15" t="str" cm="1">
        <f t="array" aca="1" ref="I9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7" spans="1:9" x14ac:dyDescent="0.25">
      <c r="A917" s="15">
        <f t="shared" si="14"/>
        <v>916</v>
      </c>
      <c r="B917" s="15" t="s">
        <v>150</v>
      </c>
      <c r="C917" s="15" t="str" cm="1">
        <f t="array" ref="C917">IFERROR(_xlfn.XLOOKUP(B917, tblPeople[PersonID], tblPeople[PersonName], ""), "")</f>
        <v>Kea Kazungu</v>
      </c>
      <c r="D917" s="15" t="s">
        <v>76</v>
      </c>
      <c r="E917" s="16" t="str">
        <f>IFERROR(_xlfn.XLOOKUP(D917, tblCourses[CourseID], tblCourses[CourseName], ""), "")</f>
        <v>Fuel Tank Safety Phase 1 &amp; 2 Course (Initial)</v>
      </c>
      <c r="F917" s="17">
        <v>45440</v>
      </c>
      <c r="G917" s="17" t="str" cm="1">
        <f t="array" ref="G9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7" s="15" t="str">
        <f ca="1">IF(OR(tblTraining[[#This Row],[Status]]="Renewed",tblTraining[[#This Row],[NextDueDate]]=""),"",tblTraining[[#This Row],[NextDueDate]]-TODAY())</f>
        <v/>
      </c>
      <c r="I917" s="15" t="str" cm="1">
        <f t="array" aca="1" ref="I9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8" spans="1:9" x14ac:dyDescent="0.25">
      <c r="A918" s="15">
        <f t="shared" si="14"/>
        <v>917</v>
      </c>
      <c r="B918" s="15" t="s">
        <v>105</v>
      </c>
      <c r="C918" s="15" t="str" cm="1">
        <f t="array" ref="C918">IFERROR(_xlfn.XLOOKUP(B918, tblPeople[PersonID], tblPeople[PersonName], ""), "")</f>
        <v>Fred Magotsi</v>
      </c>
      <c r="D918" s="15" t="s">
        <v>76</v>
      </c>
      <c r="E918" s="16" t="str">
        <f>IFERROR(_xlfn.XLOOKUP(D918, tblCourses[CourseID], tblCourses[CourseName], ""), "")</f>
        <v>Fuel Tank Safety Phase 1 &amp; 2 Course (Initial)</v>
      </c>
      <c r="F918" s="17">
        <v>45417</v>
      </c>
      <c r="G918" s="17" t="str" cm="1">
        <f t="array" ref="G9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8" s="15" t="str">
        <f ca="1">IF(OR(tblTraining[[#This Row],[Status]]="Renewed",tblTraining[[#This Row],[NextDueDate]]=""),"",tblTraining[[#This Row],[NextDueDate]]-TODAY())</f>
        <v/>
      </c>
      <c r="I918" s="15" t="str" cm="1">
        <f t="array" aca="1" ref="I9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9" spans="1:9" x14ac:dyDescent="0.25">
      <c r="A919" s="15">
        <f t="shared" si="14"/>
        <v>918</v>
      </c>
      <c r="B919" s="15" t="s">
        <v>102</v>
      </c>
      <c r="C919" s="15" t="str" cm="1">
        <f t="array" ref="C919">IFERROR(_xlfn.XLOOKUP(B919, tblPeople[PersonID], tblPeople[PersonName], ""), "")</f>
        <v>William Mlati</v>
      </c>
      <c r="D919" s="15" t="s">
        <v>76</v>
      </c>
      <c r="E919" s="16" t="str">
        <f>IFERROR(_xlfn.XLOOKUP(D919, tblCourses[CourseID], tblCourses[CourseName], ""), "")</f>
        <v>Fuel Tank Safety Phase 1 &amp; 2 Course (Initial)</v>
      </c>
      <c r="F919" s="17">
        <v>45434</v>
      </c>
      <c r="G919" s="17" t="str" cm="1">
        <f t="array" ref="G9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9" s="15" t="str">
        <f ca="1">IF(OR(tblTraining[[#This Row],[Status]]="Renewed",tblTraining[[#This Row],[NextDueDate]]=""),"",tblTraining[[#This Row],[NextDueDate]]-TODAY())</f>
        <v/>
      </c>
      <c r="I919" s="15" t="str" cm="1">
        <f t="array" aca="1" ref="I9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0" spans="1:9" x14ac:dyDescent="0.25">
      <c r="A920" s="15">
        <f t="shared" si="14"/>
        <v>919</v>
      </c>
      <c r="B920" s="15" t="s">
        <v>106</v>
      </c>
      <c r="C920" s="15" t="str" cm="1">
        <f t="array" ref="C920">IFERROR(_xlfn.XLOOKUP(B920, tblPeople[PersonID], tblPeople[PersonName], ""), "")</f>
        <v>James Mugo</v>
      </c>
      <c r="D920" s="15" t="s">
        <v>76</v>
      </c>
      <c r="E920" s="16" t="str">
        <f>IFERROR(_xlfn.XLOOKUP(D920, tblCourses[CourseID], tblCourses[CourseName], ""), "")</f>
        <v>Fuel Tank Safety Phase 1 &amp; 2 Course (Initial)</v>
      </c>
      <c r="F920" s="17">
        <v>45495</v>
      </c>
      <c r="G920" s="17" t="str" cm="1">
        <f t="array" ref="G9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0" s="15" t="str">
        <f ca="1">IF(OR(tblTraining[[#This Row],[Status]]="Renewed",tblTraining[[#This Row],[NextDueDate]]=""),"",tblTraining[[#This Row],[NextDueDate]]-TODAY())</f>
        <v/>
      </c>
      <c r="I920" s="15" t="str" cm="1">
        <f t="array" aca="1" ref="I9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1" spans="1:9" x14ac:dyDescent="0.25">
      <c r="A921" s="15">
        <f t="shared" si="14"/>
        <v>920</v>
      </c>
      <c r="B921" s="15" t="s">
        <v>82</v>
      </c>
      <c r="C921" s="15" t="str" cm="1">
        <f t="array" ref="C921">IFERROR(_xlfn.XLOOKUP(B921, tblPeople[PersonID], tblPeople[PersonName], ""), "")</f>
        <v>Philip Mwania</v>
      </c>
      <c r="D921" s="15" t="s">
        <v>76</v>
      </c>
      <c r="E921" s="16" t="str">
        <f>IFERROR(_xlfn.XLOOKUP(D921, tblCourses[CourseID], tblCourses[CourseName], ""), "")</f>
        <v>Fuel Tank Safety Phase 1 &amp; 2 Course (Initial)</v>
      </c>
      <c r="F921" s="17">
        <v>45410</v>
      </c>
      <c r="G921" s="17" t="str" cm="1">
        <f t="array" ref="G9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1" s="15" t="str">
        <f ca="1">IF(OR(tblTraining[[#This Row],[Status]]="Renewed",tblTraining[[#This Row],[NextDueDate]]=""),"",tblTraining[[#This Row],[NextDueDate]]-TODAY())</f>
        <v/>
      </c>
      <c r="I921" s="15" t="str" cm="1">
        <f t="array" aca="1" ref="I9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2" spans="1:9" x14ac:dyDescent="0.25">
      <c r="A922" s="15">
        <f t="shared" si="14"/>
        <v>921</v>
      </c>
      <c r="B922" s="15" t="s">
        <v>87</v>
      </c>
      <c r="C922" s="15" t="str" cm="1">
        <f t="array" ref="C922">IFERROR(_xlfn.XLOOKUP(B922, tblPeople[PersonID], tblPeople[PersonName], ""), "")</f>
        <v>Sydney Sawe</v>
      </c>
      <c r="D922" s="15" t="s">
        <v>76</v>
      </c>
      <c r="E922" s="16" t="str">
        <f>IFERROR(_xlfn.XLOOKUP(D922, tblCourses[CourseID], tblCourses[CourseName], ""), "")</f>
        <v>Fuel Tank Safety Phase 1 &amp; 2 Course (Initial)</v>
      </c>
      <c r="F922" s="17">
        <v>45415</v>
      </c>
      <c r="G922" s="17" t="str" cm="1">
        <f t="array" ref="G9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2" s="15" t="str">
        <f ca="1">IF(OR(tblTraining[[#This Row],[Status]]="Renewed",tblTraining[[#This Row],[NextDueDate]]=""),"",tblTraining[[#This Row],[NextDueDate]]-TODAY())</f>
        <v/>
      </c>
      <c r="I922" s="15" t="str" cm="1">
        <f t="array" aca="1" ref="I9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3" spans="1:9" x14ac:dyDescent="0.25">
      <c r="A923" s="15">
        <f t="shared" si="14"/>
        <v>922</v>
      </c>
      <c r="B923" s="15" t="s">
        <v>97</v>
      </c>
      <c r="C923" s="15" t="str" cm="1">
        <f t="array" ref="C923">IFERROR(_xlfn.XLOOKUP(B923, tblPeople[PersonID], tblPeople[PersonName], ""), "")</f>
        <v>Thomas Wambunya</v>
      </c>
      <c r="D923" s="15" t="s">
        <v>76</v>
      </c>
      <c r="E923" s="16" t="str">
        <f>IFERROR(_xlfn.XLOOKUP(D923, tblCourses[CourseID], tblCourses[CourseName], ""), "")</f>
        <v>Fuel Tank Safety Phase 1 &amp; 2 Course (Initial)</v>
      </c>
      <c r="F923" s="17">
        <v>45418</v>
      </c>
      <c r="G923" s="17" t="str" cm="1">
        <f t="array" ref="G9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3" s="15" t="str">
        <f ca="1">IF(OR(tblTraining[[#This Row],[Status]]="Renewed",tblTraining[[#This Row],[NextDueDate]]=""),"",tblTraining[[#This Row],[NextDueDate]]-TODAY())</f>
        <v/>
      </c>
      <c r="I923" s="15" t="str" cm="1">
        <f t="array" aca="1" ref="I9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4" spans="1:9" x14ac:dyDescent="0.25">
      <c r="A924" s="15">
        <f t="shared" si="14"/>
        <v>923</v>
      </c>
      <c r="B924" s="15" t="s">
        <v>104</v>
      </c>
      <c r="C924" s="15" t="str" cm="1">
        <f t="array" ref="C924">IFERROR(_xlfn.XLOOKUP(B924, tblPeople[PersonID], tblPeople[PersonName], ""), "")</f>
        <v>Douglas Hurgins</v>
      </c>
      <c r="D924" s="15" t="s">
        <v>78</v>
      </c>
      <c r="E924" s="16" t="str">
        <f>IFERROR(_xlfn.XLOOKUP(D924, tblCourses[CourseID], tblCourses[CourseName], ""), "")</f>
        <v>DHC8 -100/-200/-300 Collins Wheels &amp; Brakes Familiarization Training (Initial)</v>
      </c>
      <c r="F924" s="17">
        <v>45637</v>
      </c>
      <c r="G924" s="17" t="str" cm="1">
        <f t="array" ref="G9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4" s="15" t="str">
        <f ca="1">IF(OR(tblTraining[[#This Row],[Status]]="Renewed",tblTraining[[#This Row],[NextDueDate]]=""),"",tblTraining[[#This Row],[NextDueDate]]-TODAY())</f>
        <v/>
      </c>
      <c r="I924" s="15" t="str" cm="1">
        <f t="array" aca="1" ref="I9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5" spans="1:9" x14ac:dyDescent="0.25">
      <c r="A925" s="15">
        <f t="shared" si="14"/>
        <v>924</v>
      </c>
      <c r="B925" s="15" t="s">
        <v>150</v>
      </c>
      <c r="C925" s="15" t="str" cm="1">
        <f t="array" ref="C925">IFERROR(_xlfn.XLOOKUP(B925, tblPeople[PersonID], tblPeople[PersonName], ""), "")</f>
        <v>Kea Kazungu</v>
      </c>
      <c r="D925" s="15" t="s">
        <v>78</v>
      </c>
      <c r="E925" s="16" t="str">
        <f>IFERROR(_xlfn.XLOOKUP(D925, tblCourses[CourseID], tblCourses[CourseName], ""), "")</f>
        <v>DHC8 -100/-200/-300 Collins Wheels &amp; Brakes Familiarization Training (Initial)</v>
      </c>
      <c r="F925" s="17">
        <v>45637</v>
      </c>
      <c r="G925" s="17" t="str" cm="1">
        <f t="array" ref="G9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5" s="15" t="str">
        <f ca="1">IF(OR(tblTraining[[#This Row],[Status]]="Renewed",tblTraining[[#This Row],[NextDueDate]]=""),"",tblTraining[[#This Row],[NextDueDate]]-TODAY())</f>
        <v/>
      </c>
      <c r="I925" s="15" t="str" cm="1">
        <f t="array" aca="1" ref="I9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6" spans="1:9" x14ac:dyDescent="0.25">
      <c r="A926" s="15">
        <f t="shared" si="14"/>
        <v>925</v>
      </c>
      <c r="B926" s="15" t="s">
        <v>153</v>
      </c>
      <c r="C926" s="15" t="str" cm="1">
        <f t="array" ref="C926">IFERROR(_xlfn.XLOOKUP(B926, tblPeople[PersonID], tblPeople[PersonName], ""), "")</f>
        <v>Majid Mohamed</v>
      </c>
      <c r="D926" s="15" t="s">
        <v>78</v>
      </c>
      <c r="E926" s="16" t="str">
        <f>IFERROR(_xlfn.XLOOKUP(D926, tblCourses[CourseID], tblCourses[CourseName], ""), "")</f>
        <v>DHC8 -100/-200/-300 Collins Wheels &amp; Brakes Familiarization Training (Initial)</v>
      </c>
      <c r="F926" s="17">
        <v>45637</v>
      </c>
      <c r="G926" s="17" t="str" cm="1">
        <f t="array" ref="G9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6" s="15" t="str">
        <f ca="1">IF(OR(tblTraining[[#This Row],[Status]]="Renewed",tblTraining[[#This Row],[NextDueDate]]=""),"",tblTraining[[#This Row],[NextDueDate]]-TODAY())</f>
        <v/>
      </c>
      <c r="I926" s="15" t="str" cm="1">
        <f t="array" aca="1" ref="I9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7" spans="1:9" x14ac:dyDescent="0.25">
      <c r="A927" s="15">
        <f t="shared" si="14"/>
        <v>926</v>
      </c>
      <c r="B927" s="15" t="s">
        <v>98</v>
      </c>
      <c r="C927" s="15" t="str" cm="1">
        <f t="array" ref="C927">IFERROR(_xlfn.XLOOKUP(B927, tblPeople[PersonID], tblPeople[PersonName], ""), "")</f>
        <v>Thadeus Mong’are</v>
      </c>
      <c r="D927" s="15" t="s">
        <v>78</v>
      </c>
      <c r="E927" s="16" t="str">
        <f>IFERROR(_xlfn.XLOOKUP(D927, tblCourses[CourseID], tblCourses[CourseName], ""), "")</f>
        <v>DHC8 -100/-200/-300 Collins Wheels &amp; Brakes Familiarization Training (Initial)</v>
      </c>
      <c r="F927" s="17">
        <v>45637</v>
      </c>
      <c r="G927" s="17" t="str" cm="1">
        <f t="array" ref="G9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7" s="15" t="str">
        <f ca="1">IF(OR(tblTraining[[#This Row],[Status]]="Renewed",tblTraining[[#This Row],[NextDueDate]]=""),"",tblTraining[[#This Row],[NextDueDate]]-TODAY())</f>
        <v/>
      </c>
      <c r="I927" s="15" t="str" cm="1">
        <f t="array" aca="1" ref="I9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8" spans="1:9" x14ac:dyDescent="0.25">
      <c r="A928" s="15">
        <f t="shared" si="14"/>
        <v>927</v>
      </c>
      <c r="B928" s="15" t="s">
        <v>100</v>
      </c>
      <c r="C928" s="15" t="str" cm="1">
        <f t="array" ref="C928">IFERROR(_xlfn.XLOOKUP(B928, tblPeople[PersonID], tblPeople[PersonName], ""), "")</f>
        <v>John Muriithi</v>
      </c>
      <c r="D928" s="15" t="s">
        <v>78</v>
      </c>
      <c r="E928" s="16" t="str">
        <f>IFERROR(_xlfn.XLOOKUP(D928, tblCourses[CourseID], tblCourses[CourseName], ""), "")</f>
        <v>DHC8 -100/-200/-300 Collins Wheels &amp; Brakes Familiarization Training (Initial)</v>
      </c>
      <c r="F928" s="17">
        <v>45637</v>
      </c>
      <c r="G928" s="17" t="str" cm="1">
        <f t="array" ref="G9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8" s="15" t="str">
        <f ca="1">IF(OR(tblTraining[[#This Row],[Status]]="Renewed",tblTraining[[#This Row],[NextDueDate]]=""),"",tblTraining[[#This Row],[NextDueDate]]-TODAY())</f>
        <v/>
      </c>
      <c r="I928" s="15" t="str" cm="1">
        <f t="array" aca="1" ref="I9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9" spans="1:9" x14ac:dyDescent="0.25">
      <c r="A929" s="15">
        <f t="shared" si="14"/>
        <v>928</v>
      </c>
      <c r="B929" s="15" t="s">
        <v>101</v>
      </c>
      <c r="C929" s="15" t="str" cm="1">
        <f t="array" ref="C929">IFERROR(_xlfn.XLOOKUP(B929, tblPeople[PersonID], tblPeople[PersonName], ""), "")</f>
        <v>Paul Mzera</v>
      </c>
      <c r="D929" s="15" t="s">
        <v>78</v>
      </c>
      <c r="E929" s="16" t="str">
        <f>IFERROR(_xlfn.XLOOKUP(D929, tblCourses[CourseID], tblCourses[CourseName], ""), "")</f>
        <v>DHC8 -100/-200/-300 Collins Wheels &amp; Brakes Familiarization Training (Initial)</v>
      </c>
      <c r="F929" s="17">
        <v>45637</v>
      </c>
      <c r="G929" s="17" t="str" cm="1">
        <f t="array" ref="G9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9" s="15" t="str">
        <f ca="1">IF(OR(tblTraining[[#This Row],[Status]]="Renewed",tblTraining[[#This Row],[NextDueDate]]=""),"",tblTraining[[#This Row],[NextDueDate]]-TODAY())</f>
        <v/>
      </c>
      <c r="I929" s="15" t="str" cm="1">
        <f t="array" aca="1" ref="I9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0" spans="1:9" x14ac:dyDescent="0.25">
      <c r="A930" s="15">
        <f t="shared" si="14"/>
        <v>929</v>
      </c>
      <c r="B930" s="15" t="s">
        <v>85</v>
      </c>
      <c r="C930" s="15" t="str" cm="1">
        <f t="array" ref="C930">IFERROR(_xlfn.XLOOKUP(B930, tblPeople[PersonID], tblPeople[PersonName], ""), "")</f>
        <v>Titus Shunza</v>
      </c>
      <c r="D930" s="15" t="s">
        <v>78</v>
      </c>
      <c r="E930" s="16" t="str">
        <f>IFERROR(_xlfn.XLOOKUP(D930, tblCourses[CourseID], tblCourses[CourseName], ""), "")</f>
        <v>DHC8 -100/-200/-300 Collins Wheels &amp; Brakes Familiarization Training (Initial)</v>
      </c>
      <c r="F930" s="17">
        <v>45637</v>
      </c>
      <c r="G930" s="17" t="str" cm="1">
        <f t="array" ref="G9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0" s="15" t="str">
        <f ca="1">IF(OR(tblTraining[[#This Row],[Status]]="Renewed",tblTraining[[#This Row],[NextDueDate]]=""),"",tblTraining[[#This Row],[NextDueDate]]-TODAY())</f>
        <v/>
      </c>
      <c r="I930" s="15" t="str" cm="1">
        <f t="array" aca="1" ref="I9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1" spans="1:9" x14ac:dyDescent="0.25">
      <c r="A931" s="15">
        <f t="shared" si="14"/>
        <v>930</v>
      </c>
      <c r="B931" s="15" t="s">
        <v>215</v>
      </c>
      <c r="C931" s="15" t="str" cm="1">
        <f t="array" ref="C931">IFERROR(_xlfn.XLOOKUP(B931, tblPeople[PersonID], tblPeople[PersonName], ""), "")</f>
        <v>Samuel Wacho</v>
      </c>
      <c r="D931" s="15" t="s">
        <v>78</v>
      </c>
      <c r="E931" s="16" t="str">
        <f>IFERROR(_xlfn.XLOOKUP(D931, tblCourses[CourseID], tblCourses[CourseName], ""), "")</f>
        <v>DHC8 -100/-200/-300 Collins Wheels &amp; Brakes Familiarization Training (Initial)</v>
      </c>
      <c r="F931" s="17">
        <v>45637</v>
      </c>
      <c r="G931" s="17" t="str" cm="1">
        <f t="array" ref="G9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1" s="15" t="str">
        <f ca="1">IF(OR(tblTraining[[#This Row],[Status]]="Renewed",tblTraining[[#This Row],[NextDueDate]]=""),"",tblTraining[[#This Row],[NextDueDate]]-TODAY())</f>
        <v/>
      </c>
      <c r="I931" s="15" t="str" cm="1">
        <f t="array" aca="1" ref="I9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2" spans="1:9" x14ac:dyDescent="0.25">
      <c r="A932" s="15">
        <f t="shared" si="14"/>
        <v>931</v>
      </c>
      <c r="B932" s="15" t="s">
        <v>83</v>
      </c>
      <c r="C932" s="15" t="str" cm="1">
        <f t="array" ref="C932">IFERROR(_xlfn.XLOOKUP(B932, tblPeople[PersonID], tblPeople[PersonName], ""), "")</f>
        <v>Wycliffe Kanana</v>
      </c>
      <c r="D932" s="15" t="s">
        <v>32</v>
      </c>
      <c r="E932" s="16" t="str">
        <f>IFERROR(_xlfn.XLOOKUP(D932, tblCourses[CourseID], tblCourses[CourseName], ""), "")</f>
        <v>Dangerous Goods Regulations (CBTA 7.3) (Initial)</v>
      </c>
      <c r="F932" s="17">
        <v>45758</v>
      </c>
      <c r="G932" s="17" t="str" cm="1">
        <f t="array" ref="G9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2" s="15" t="str">
        <f ca="1">IF(OR(tblTraining[[#This Row],[Status]]="Renewed",tblTraining[[#This Row],[NextDueDate]]=""),"",tblTraining[[#This Row],[NextDueDate]]-TODAY())</f>
        <v/>
      </c>
      <c r="I932" s="15" t="str" cm="1">
        <f t="array" aca="1" ref="I9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3" spans="1:9" x14ac:dyDescent="0.25">
      <c r="A933" s="15">
        <f t="shared" si="14"/>
        <v>932</v>
      </c>
      <c r="B933" s="15" t="s">
        <v>157</v>
      </c>
      <c r="C933" s="15" t="str" cm="1">
        <f t="array" ref="C933">IFERROR(_xlfn.XLOOKUP(B933, tblPeople[PersonID], tblPeople[PersonName], ""), "")</f>
        <v>Stephen Mutambu</v>
      </c>
      <c r="D933" s="15" t="s">
        <v>32</v>
      </c>
      <c r="E933" s="16" t="str">
        <f>IFERROR(_xlfn.XLOOKUP(D933, tblCourses[CourseID], tblCourses[CourseName], ""), "")</f>
        <v>Dangerous Goods Regulations (CBTA 7.3) (Initial)</v>
      </c>
      <c r="F933" s="17">
        <v>45758</v>
      </c>
      <c r="G933" s="17" t="str" cm="1">
        <f t="array" ref="G9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3" s="15" t="str">
        <f ca="1">IF(OR(tblTraining[[#This Row],[Status]]="Renewed",tblTraining[[#This Row],[NextDueDate]]=""),"",tblTraining[[#This Row],[NextDueDate]]-TODAY())</f>
        <v/>
      </c>
      <c r="I933" s="15" t="str" cm="1">
        <f t="array" aca="1" ref="I9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4" spans="1:9" x14ac:dyDescent="0.25">
      <c r="A934" s="15">
        <f t="shared" si="14"/>
        <v>933</v>
      </c>
      <c r="B934" s="15" t="s">
        <v>98</v>
      </c>
      <c r="C934" s="15" t="str" cm="1">
        <f t="array" ref="C934">IFERROR(_xlfn.XLOOKUP(B934, tblPeople[PersonID], tblPeople[PersonName], ""), "")</f>
        <v>Thadeus Mong’are</v>
      </c>
      <c r="D934" s="15" t="s">
        <v>30</v>
      </c>
      <c r="E934" s="16" t="str">
        <f>IFERROR(_xlfn.XLOOKUP(D934, tblCourses[CourseID], tblCourses[CourseName], ""), "")</f>
        <v>Dangerous Goods Regulations (CBTA 7.3) (Refresher)</v>
      </c>
      <c r="F934" s="17">
        <v>44518</v>
      </c>
      <c r="G934" s="17" t="str" cm="1">
        <f t="array" ref="G9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4" s="15" t="str">
        <f ca="1">IF(OR(tblTraining[[#This Row],[Status]]="Renewed",tblTraining[[#This Row],[NextDueDate]]=""),"",tblTraining[[#This Row],[NextDueDate]]-TODAY())</f>
        <v/>
      </c>
      <c r="I934" s="15" t="str" cm="1">
        <f t="array" aca="1" ref="I9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35" spans="1:9" x14ac:dyDescent="0.25">
      <c r="A935" s="15">
        <f t="shared" si="14"/>
        <v>934</v>
      </c>
      <c r="B935" s="15" t="s">
        <v>84</v>
      </c>
      <c r="C935" s="15" t="str" cm="1">
        <f t="array" ref="C935">IFERROR(_xlfn.XLOOKUP(B935, tblPeople[PersonID], tblPeople[PersonName], ""), "")</f>
        <v>Patrick Musau</v>
      </c>
      <c r="D935" s="15" t="s">
        <v>30</v>
      </c>
      <c r="E935" s="16" t="str">
        <f>IFERROR(_xlfn.XLOOKUP(D935, tblCourses[CourseID], tblCourses[CourseName], ""), "")</f>
        <v>Dangerous Goods Regulations (CBTA 7.3) (Refresher)</v>
      </c>
      <c r="F935" s="17">
        <v>44518</v>
      </c>
      <c r="G935" s="17" cm="1">
        <f t="array" ref="G9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45248</v>
      </c>
      <c r="H935" s="15">
        <f ca="1">IF(OR(tblTraining[[#This Row],[Status]]="Renewed",tblTraining[[#This Row],[NextDueDate]]=""),"",tblTraining[[#This Row],[NextDueDate]]-TODAY())</f>
        <v>-1038</v>
      </c>
      <c r="I935" s="15" t="str" cm="1">
        <f t="array" aca="1" ref="I9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936" spans="1:9" x14ac:dyDescent="0.25">
      <c r="A936" s="15">
        <f t="shared" si="14"/>
        <v>935</v>
      </c>
      <c r="B936" s="15" t="s">
        <v>107</v>
      </c>
      <c r="C936" s="15" t="str" cm="1">
        <f t="array" ref="C936">IFERROR(_xlfn.XLOOKUP(B936, tblPeople[PersonID], tblPeople[PersonName], ""), "")</f>
        <v>Julius Nyawira</v>
      </c>
      <c r="D936" s="15" t="s">
        <v>30</v>
      </c>
      <c r="E936" s="16" t="str">
        <f>IFERROR(_xlfn.XLOOKUP(D936, tblCourses[CourseID], tblCourses[CourseName], ""), "")</f>
        <v>Dangerous Goods Regulations (CBTA 7.3) (Refresher)</v>
      </c>
      <c r="F936" s="17">
        <v>44109</v>
      </c>
      <c r="G936" s="17" cm="1">
        <f t="array" ref="G9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44839</v>
      </c>
      <c r="H936" s="15">
        <f ca="1">IF(OR(tblTraining[[#This Row],[Status]]="Renewed",tblTraining[[#This Row],[NextDueDate]]=""),"",tblTraining[[#This Row],[NextDueDate]]-TODAY())</f>
        <v>-1447</v>
      </c>
      <c r="I936" s="15" t="str" cm="1">
        <f t="array" aca="1" ref="I9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937" spans="1:9" x14ac:dyDescent="0.25">
      <c r="A937" s="15">
        <f t="shared" si="14"/>
        <v>936</v>
      </c>
      <c r="B937" s="15" t="s">
        <v>112</v>
      </c>
      <c r="C937" s="15" t="str" cm="1">
        <f t="array" ref="C937">IFERROR(_xlfn.XLOOKUP(B937, tblPeople[PersonID], tblPeople[PersonName], ""), "")</f>
        <v>Patrick Mwangi</v>
      </c>
      <c r="D937" s="15" t="s">
        <v>125</v>
      </c>
      <c r="E937" s="16" t="str">
        <f>IFERROR(_xlfn.XLOOKUP(D937, tblCourses[CourseID], tblCourses[CourseName], ""), "")</f>
        <v>Aviation Security (Refresher)</v>
      </c>
      <c r="F937" s="17">
        <v>45716</v>
      </c>
      <c r="G937" s="17" cm="1">
        <f t="array" ref="G9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937" s="15">
        <f ca="1">IF(OR(tblTraining[[#This Row],[Status]]="Renewed",tblTraining[[#This Row],[NextDueDate]]=""),"",tblTraining[[#This Row],[NextDueDate]]-TODAY())</f>
        <v>160</v>
      </c>
      <c r="I937" s="15" t="str" cm="1">
        <f t="array" aca="1" ref="I9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8" spans="1:9" x14ac:dyDescent="0.25">
      <c r="A938" s="15">
        <f t="shared" si="14"/>
        <v>937</v>
      </c>
      <c r="B938" s="15" t="s">
        <v>103</v>
      </c>
      <c r="C938" s="15" t="str" cm="1">
        <f t="array" ref="C938">IFERROR(_xlfn.XLOOKUP(B938, tblPeople[PersonID], tblPeople[PersonName], ""), "")</f>
        <v>Smith Harun</v>
      </c>
      <c r="D938" s="15" t="s">
        <v>389</v>
      </c>
      <c r="E938" s="16" t="str">
        <f>IFERROR(_xlfn.XLOOKUP(D938, tblCourses[CourseID], tblCourses[CourseName], ""), "")</f>
        <v>DHC-8-400 Series with PWC 150A Engines (Initial)</v>
      </c>
      <c r="F938" s="17">
        <v>45905</v>
      </c>
      <c r="G938" s="17" t="str" cm="1">
        <f t="array" ref="G9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8" s="15" t="str">
        <f ca="1">IF(OR(tblTraining[[#This Row],[Status]]="Renewed",tblTraining[[#This Row],[NextDueDate]]=""),"",tblTraining[[#This Row],[NextDueDate]]-TODAY())</f>
        <v/>
      </c>
      <c r="I938" s="15" t="str" cm="1">
        <f t="array" aca="1" ref="I9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9" spans="1:9" x14ac:dyDescent="0.25">
      <c r="A939" s="15">
        <f t="shared" si="14"/>
        <v>938</v>
      </c>
      <c r="B939" s="15" t="s">
        <v>103</v>
      </c>
      <c r="C939" s="15" t="str" cm="1">
        <f t="array" ref="C939">IFERROR(_xlfn.XLOOKUP(B939, tblPeople[PersonID], tblPeople[PersonName], ""), "")</f>
        <v>Smith Harun</v>
      </c>
      <c r="D939" s="15" t="s">
        <v>390</v>
      </c>
      <c r="E939" s="16" t="str">
        <f>IFERROR(_xlfn.XLOOKUP(D939, tblCourses[CourseID], tblCourses[CourseName], ""), "")</f>
        <v>DHC-8-400 Series with PWC 150A Engines (Refresher)</v>
      </c>
      <c r="F939" s="17">
        <v>45905</v>
      </c>
      <c r="G939" s="17" cm="1">
        <f t="array" ref="G9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39" s="15">
        <f ca="1">IF(OR(tblTraining[[#This Row],[Status]]="Renewed",tblTraining[[#This Row],[NextDueDate]]=""),"",tblTraining[[#This Row],[NextDueDate]]-TODAY())</f>
        <v>349</v>
      </c>
      <c r="I939" s="15" t="str" cm="1">
        <f t="array" aca="1" ref="I9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0" spans="1:9" x14ac:dyDescent="0.25">
      <c r="A940" s="15">
        <f t="shared" si="14"/>
        <v>939</v>
      </c>
      <c r="B940" s="15" t="s">
        <v>95</v>
      </c>
      <c r="C940" s="15" t="str" cm="1">
        <f t="array" ref="C940">IFERROR(_xlfn.XLOOKUP(B940, tblPeople[PersonID], tblPeople[PersonName], ""), "")</f>
        <v>Walter Kibet</v>
      </c>
      <c r="D940" s="15" t="s">
        <v>389</v>
      </c>
      <c r="E940" s="16" t="str">
        <f>IFERROR(_xlfn.XLOOKUP(D940, tblCourses[CourseID], tblCourses[CourseName], ""), "")</f>
        <v>DHC-8-400 Series with PWC 150A Engines (Initial)</v>
      </c>
      <c r="F940" s="17">
        <v>45905</v>
      </c>
      <c r="G940" s="17" t="str" cm="1">
        <f t="array" ref="G9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0" s="15" t="str">
        <f ca="1">IF(OR(tblTraining[[#This Row],[Status]]="Renewed",tblTraining[[#This Row],[NextDueDate]]=""),"",tblTraining[[#This Row],[NextDueDate]]-TODAY())</f>
        <v/>
      </c>
      <c r="I940" s="15" t="str" cm="1">
        <f t="array" aca="1" ref="I9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1" spans="1:9" x14ac:dyDescent="0.25">
      <c r="A941" s="15">
        <f t="shared" si="14"/>
        <v>940</v>
      </c>
      <c r="B941" s="15" t="s">
        <v>95</v>
      </c>
      <c r="C941" s="15" t="str" cm="1">
        <f t="array" ref="C941">IFERROR(_xlfn.XLOOKUP(B941, tblPeople[PersonID], tblPeople[PersonName], ""), "")</f>
        <v>Walter Kibet</v>
      </c>
      <c r="D941" s="15" t="s">
        <v>390</v>
      </c>
      <c r="E941" s="16" t="str">
        <f>IFERROR(_xlfn.XLOOKUP(D941, tblCourses[CourseID], tblCourses[CourseName], ""), "")</f>
        <v>DHC-8-400 Series with PWC 150A Engines (Refresher)</v>
      </c>
      <c r="F941" s="17">
        <v>45905</v>
      </c>
      <c r="G941" s="17" cm="1">
        <f t="array" ref="G9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41" s="15">
        <f ca="1">IF(OR(tblTraining[[#This Row],[Status]]="Renewed",tblTraining[[#This Row],[NextDueDate]]=""),"",tblTraining[[#This Row],[NextDueDate]]-TODAY())</f>
        <v>349</v>
      </c>
      <c r="I941" s="15" t="str" cm="1">
        <f t="array" aca="1" ref="I9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2" spans="1:9" x14ac:dyDescent="0.25">
      <c r="A942" s="15">
        <f t="shared" si="14"/>
        <v>941</v>
      </c>
      <c r="B942" s="15" t="s">
        <v>102</v>
      </c>
      <c r="C942" s="15" t="str" cm="1">
        <f t="array" ref="C942">IFERROR(_xlfn.XLOOKUP(B942, tblPeople[PersonID], tblPeople[PersonName], ""), "")</f>
        <v>William Mlati</v>
      </c>
      <c r="D942" s="15" t="s">
        <v>389</v>
      </c>
      <c r="E942" s="16" t="str">
        <f>IFERROR(_xlfn.XLOOKUP(D942, tblCourses[CourseID], tblCourses[CourseName], ""), "")</f>
        <v>DHC-8-400 Series with PWC 150A Engines (Initial)</v>
      </c>
      <c r="F942" s="17">
        <v>45905</v>
      </c>
      <c r="G942" s="17" t="str" cm="1">
        <f t="array" ref="G9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2" s="15" t="str">
        <f ca="1">IF(OR(tblTraining[[#This Row],[Status]]="Renewed",tblTraining[[#This Row],[NextDueDate]]=""),"",tblTraining[[#This Row],[NextDueDate]]-TODAY())</f>
        <v/>
      </c>
      <c r="I942" s="15" t="str" cm="1">
        <f t="array" aca="1" ref="I9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3" spans="1:9" x14ac:dyDescent="0.25">
      <c r="A943" s="15">
        <f t="shared" si="14"/>
        <v>942</v>
      </c>
      <c r="B943" s="15" t="s">
        <v>102</v>
      </c>
      <c r="C943" s="15" t="str" cm="1">
        <f t="array" ref="C943">IFERROR(_xlfn.XLOOKUP(B943, tblPeople[PersonID], tblPeople[PersonName], ""), "")</f>
        <v>William Mlati</v>
      </c>
      <c r="D943" s="15" t="s">
        <v>390</v>
      </c>
      <c r="E943" s="16" t="str">
        <f>IFERROR(_xlfn.XLOOKUP(D943, tblCourses[CourseID], tblCourses[CourseName], ""), "")</f>
        <v>DHC-8-400 Series with PWC 150A Engines (Refresher)</v>
      </c>
      <c r="F943" s="17">
        <v>45905</v>
      </c>
      <c r="G943" s="17" cm="1">
        <f t="array" ref="G9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43" s="15">
        <f ca="1">IF(OR(tblTraining[[#This Row],[Status]]="Renewed",tblTraining[[#This Row],[NextDueDate]]=""),"",tblTraining[[#This Row],[NextDueDate]]-TODAY())</f>
        <v>349</v>
      </c>
      <c r="I943" s="15" t="str" cm="1">
        <f t="array" aca="1" ref="I9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4" spans="1:9" x14ac:dyDescent="0.25">
      <c r="A944" s="15">
        <f t="shared" si="14"/>
        <v>943</v>
      </c>
      <c r="B944" s="15" t="s">
        <v>100</v>
      </c>
      <c r="C944" s="15" t="str" cm="1">
        <f t="array" ref="C944">IFERROR(_xlfn.XLOOKUP(B944, tblPeople[PersonID], tblPeople[PersonName], ""), "")</f>
        <v>John Muriithi</v>
      </c>
      <c r="D944" s="15" t="s">
        <v>389</v>
      </c>
      <c r="E944" s="16" t="str">
        <f>IFERROR(_xlfn.XLOOKUP(D944, tblCourses[CourseID], tblCourses[CourseName], ""), "")</f>
        <v>DHC-8-400 Series with PWC 150A Engines (Initial)</v>
      </c>
      <c r="F944" s="17">
        <v>45905</v>
      </c>
      <c r="G944" s="17" t="str" cm="1">
        <f t="array" ref="G9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4" s="15" t="str">
        <f ca="1">IF(OR(tblTraining[[#This Row],[Status]]="Renewed",tblTraining[[#This Row],[NextDueDate]]=""),"",tblTraining[[#This Row],[NextDueDate]]-TODAY())</f>
        <v/>
      </c>
      <c r="I944" s="15" t="str" cm="1">
        <f t="array" aca="1" ref="I9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5" spans="1:9" x14ac:dyDescent="0.25">
      <c r="A945" s="15">
        <f t="shared" si="14"/>
        <v>944</v>
      </c>
      <c r="B945" s="15" t="s">
        <v>100</v>
      </c>
      <c r="C945" s="15" t="str" cm="1">
        <f t="array" ref="C945">IFERROR(_xlfn.XLOOKUP(B945, tblPeople[PersonID], tblPeople[PersonName], ""), "")</f>
        <v>John Muriithi</v>
      </c>
      <c r="D945" s="15" t="s">
        <v>390</v>
      </c>
      <c r="E945" s="16" t="str">
        <f>IFERROR(_xlfn.XLOOKUP(D945, tblCourses[CourseID], tblCourses[CourseName], ""), "")</f>
        <v>DHC-8-400 Series with PWC 150A Engines (Refresher)</v>
      </c>
      <c r="F945" s="17">
        <v>45905</v>
      </c>
      <c r="G945" s="17" cm="1">
        <f t="array" ref="G9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45" s="15">
        <f ca="1">IF(OR(tblTraining[[#This Row],[Status]]="Renewed",tblTraining[[#This Row],[NextDueDate]]=""),"",tblTraining[[#This Row],[NextDueDate]]-TODAY())</f>
        <v>349</v>
      </c>
      <c r="I945" s="15" t="str" cm="1">
        <f t="array" aca="1" ref="I9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6" spans="1:9" x14ac:dyDescent="0.25">
      <c r="A946" s="15">
        <f t="shared" si="14"/>
        <v>945</v>
      </c>
      <c r="B946" s="15" t="s">
        <v>135</v>
      </c>
      <c r="C946" s="15" t="str" cm="1">
        <f t="array" ref="C946">IFERROR(_xlfn.XLOOKUP(B946, tblPeople[PersonID], tblPeople[PersonName], ""), "")</f>
        <v>Francis Muriuki</v>
      </c>
      <c r="D946" s="15" t="s">
        <v>389</v>
      </c>
      <c r="E946" s="16" t="str">
        <f>IFERROR(_xlfn.XLOOKUP(D946, tblCourses[CourseID], tblCourses[CourseName], ""), "")</f>
        <v>DHC-8-400 Series with PWC 150A Engines (Initial)</v>
      </c>
      <c r="F946" s="17">
        <v>45905</v>
      </c>
      <c r="G946" s="17" t="str" cm="1">
        <f t="array" ref="G9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6" s="15" t="str">
        <f ca="1">IF(OR(tblTraining[[#This Row],[Status]]="Renewed",tblTraining[[#This Row],[NextDueDate]]=""),"",tblTraining[[#This Row],[NextDueDate]]-TODAY())</f>
        <v/>
      </c>
      <c r="I946" s="15" t="str" cm="1">
        <f t="array" aca="1" ref="I9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7" spans="1:9" x14ac:dyDescent="0.25">
      <c r="A947" s="15">
        <f t="shared" si="14"/>
        <v>946</v>
      </c>
      <c r="B947" s="15" t="s">
        <v>135</v>
      </c>
      <c r="C947" s="15" t="str" cm="1">
        <f t="array" ref="C947">IFERROR(_xlfn.XLOOKUP(B947, tblPeople[PersonID], tblPeople[PersonName], ""), "")</f>
        <v>Francis Muriuki</v>
      </c>
      <c r="D947" s="15" t="s">
        <v>390</v>
      </c>
      <c r="E947" s="16" t="str">
        <f>IFERROR(_xlfn.XLOOKUP(D947, tblCourses[CourseID], tblCourses[CourseName], ""), "")</f>
        <v>DHC-8-400 Series with PWC 150A Engines (Refresher)</v>
      </c>
      <c r="F947" s="17">
        <v>45905</v>
      </c>
      <c r="G947" s="17" cm="1">
        <f t="array" ref="G9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47" s="15">
        <f ca="1">IF(OR(tblTraining[[#This Row],[Status]]="Renewed",tblTraining[[#This Row],[NextDueDate]]=""),"",tblTraining[[#This Row],[NextDueDate]]-TODAY())</f>
        <v>349</v>
      </c>
      <c r="I947" s="15" t="str" cm="1">
        <f t="array" aca="1" ref="I9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8" spans="1:9" x14ac:dyDescent="0.25">
      <c r="A948" s="15">
        <f t="shared" si="14"/>
        <v>947</v>
      </c>
      <c r="B948" s="15" t="s">
        <v>104</v>
      </c>
      <c r="C948" s="15" t="str" cm="1">
        <f t="array" ref="C948">IFERROR(_xlfn.XLOOKUP(B948, tblPeople[PersonID], tblPeople[PersonName], ""), "")</f>
        <v>Douglas Hurgins</v>
      </c>
      <c r="D948" s="15" t="s">
        <v>179</v>
      </c>
      <c r="E948" s="16" t="str">
        <f>IFERROR(_xlfn.XLOOKUP(D948, tblCourses[CourseID], tblCourses[CourseName], ""), "")</f>
        <v>Aircraft Maintenance Engineers' Licence</v>
      </c>
      <c r="F948" s="17">
        <v>45945</v>
      </c>
      <c r="G948" s="17" cm="1">
        <f t="array" ref="G9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46675</v>
      </c>
      <c r="H948" s="15">
        <f ca="1">IF(OR(tblTraining[[#This Row],[Status]]="Renewed",tblTraining[[#This Row],[NextDueDate]]=""),"",tblTraining[[#This Row],[NextDueDate]]-TODAY())</f>
        <v>389</v>
      </c>
      <c r="I948" s="15" t="str" cm="1">
        <f t="array" aca="1" ref="I9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9" spans="1:9" x14ac:dyDescent="0.25">
      <c r="A949" s="15">
        <f t="shared" si="14"/>
        <v>948</v>
      </c>
      <c r="B949" s="15" t="s">
        <v>98</v>
      </c>
      <c r="C949" s="15" t="str" cm="1">
        <f t="array" ref="C949">IFERROR(_xlfn.XLOOKUP(B949, tblPeople[PersonID], tblPeople[PersonName], ""), "")</f>
        <v>Thadeus Mong’are</v>
      </c>
      <c r="D949" s="15" t="s">
        <v>76</v>
      </c>
      <c r="E949" s="16" t="str">
        <f>IFERROR(_xlfn.XLOOKUP(D949, tblCourses[CourseID], tblCourses[CourseName], ""), "")</f>
        <v>Fuel Tank Safety Phase 1 &amp; 2 Course (Initial)</v>
      </c>
      <c r="F949" s="17">
        <v>44626</v>
      </c>
      <c r="G949" s="17" t="str" cm="1">
        <f t="array" ref="G9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9" s="15" t="str">
        <f ca="1">IF(OR(tblTraining[[#This Row],[Status]]="Renewed",tblTraining[[#This Row],[NextDueDate]]=""),"",tblTraining[[#This Row],[NextDueDate]]-TODAY())</f>
        <v/>
      </c>
      <c r="I949" s="15" t="str" cm="1">
        <f t="array" aca="1" ref="I9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0" spans="1:9" x14ac:dyDescent="0.25">
      <c r="A950" s="15">
        <f t="shared" si="14"/>
        <v>949</v>
      </c>
      <c r="B950" s="15" t="s">
        <v>84</v>
      </c>
      <c r="C950" s="15" t="str" cm="1">
        <f t="array" ref="C950">IFERROR(_xlfn.XLOOKUP(B950, tblPeople[PersonID], tblPeople[PersonName], ""), "")</f>
        <v>Patrick Musau</v>
      </c>
      <c r="D950" s="15" t="s">
        <v>22</v>
      </c>
      <c r="E950" s="16" t="str">
        <f>IFERROR(_xlfn.XLOOKUP(D950, tblCourses[CourseID], tblCourses[CourseName], ""), "")</f>
        <v>Human Factors in Aviation (Refresher)</v>
      </c>
      <c r="F950" s="17">
        <v>45895</v>
      </c>
      <c r="G950" s="17" cm="1">
        <f t="array" ref="G9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950" s="15">
        <f ca="1">IF(OR(tblTraining[[#This Row],[Status]]="Renewed",tblTraining[[#This Row],[NextDueDate]]=""),"",tblTraining[[#This Row],[NextDueDate]]-TODAY())</f>
        <v>339</v>
      </c>
      <c r="I950" s="15" t="str" cm="1">
        <f t="array" aca="1" ref="I9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1" spans="1:9" x14ac:dyDescent="0.25">
      <c r="A951" s="15">
        <f t="shared" si="14"/>
        <v>950</v>
      </c>
      <c r="B951" s="15" t="s">
        <v>104</v>
      </c>
      <c r="C951" s="15" t="str" cm="1">
        <f t="array" ref="C951">IFERROR(_xlfn.XLOOKUP(B951, tblPeople[PersonID], tblPeople[PersonName], ""), "")</f>
        <v>Douglas Hurgins</v>
      </c>
      <c r="D951" s="15" t="s">
        <v>181</v>
      </c>
      <c r="E951" s="16" t="str">
        <f>IFERROR(_xlfn.XLOOKUP(D951, tblCourses[CourseID], tblCourses[CourseName], ""), "")</f>
        <v>Cessna 208 Series (Caravan) With P&amp;WC PT6A-114/ -114A/ -140 Engines (Initial)</v>
      </c>
      <c r="F951" s="17">
        <v>46045</v>
      </c>
      <c r="G951" s="17" t="str" cm="1">
        <f t="array" ref="G9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51" s="15" t="str">
        <f ca="1">IF(OR(tblTraining[[#This Row],[Status]]="Renewed",tblTraining[[#This Row],[NextDueDate]]=""),"",tblTraining[[#This Row],[NextDueDate]]-TODAY())</f>
        <v/>
      </c>
      <c r="I951" s="15" t="str" cm="1">
        <f t="array" aca="1" ref="I9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2" spans="1:9" x14ac:dyDescent="0.25">
      <c r="A952" s="15">
        <f t="shared" si="14"/>
        <v>951</v>
      </c>
      <c r="B952" s="15" t="s">
        <v>104</v>
      </c>
      <c r="C952" s="15" t="str" cm="1">
        <f t="array" ref="C952">IFERROR(_xlfn.XLOOKUP(B952, tblPeople[PersonID], tblPeople[PersonName], ""), "")</f>
        <v>Douglas Hurgins</v>
      </c>
      <c r="D952" s="15" t="s">
        <v>182</v>
      </c>
      <c r="E952" s="16" t="str">
        <f>IFERROR(_xlfn.XLOOKUP(D952, tblCourses[CourseID], tblCourses[CourseName], ""), "")</f>
        <v>Cessna 208 Series (Caravan) With P&amp;WC PT6A-114/ -114A/ -140 Engines (Refresher)</v>
      </c>
      <c r="F952" s="17">
        <v>46045</v>
      </c>
      <c r="G952" s="17" cm="1">
        <f t="array" ref="G9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46775</v>
      </c>
      <c r="H952" s="15">
        <f ca="1">IF(OR(tblTraining[[#This Row],[Status]]="Renewed",tblTraining[[#This Row],[NextDueDate]]=""),"",tblTraining[[#This Row],[NextDueDate]]-TODAY())</f>
        <v>489</v>
      </c>
      <c r="I952" s="15" t="str" cm="1">
        <f t="array" aca="1" ref="I9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3" spans="1:9" x14ac:dyDescent="0.25">
      <c r="A953" s="15">
        <f t="shared" si="14"/>
        <v>952</v>
      </c>
      <c r="B953" s="15" t="s">
        <v>98</v>
      </c>
      <c r="C953" s="15" t="str" cm="1">
        <f t="array" ref="C953">IFERROR(_xlfn.XLOOKUP(B953, tblPeople[PersonID], tblPeople[PersonName], ""), "")</f>
        <v>Thadeus Mong’are</v>
      </c>
      <c r="D953" s="15" t="s">
        <v>181</v>
      </c>
      <c r="E953" s="16" t="str">
        <f>IFERROR(_xlfn.XLOOKUP(D953, tblCourses[CourseID], tblCourses[CourseName], ""), "")</f>
        <v>Cessna 208 Series (Caravan) With P&amp;WC PT6A-114/ -114A/ -140 Engines (Initial)</v>
      </c>
      <c r="F953" s="17">
        <v>46045</v>
      </c>
      <c r="G953" s="17" t="str" cm="1">
        <f t="array" ref="G9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53" s="15" t="str">
        <f ca="1">IF(OR(tblTraining[[#This Row],[Status]]="Renewed",tblTraining[[#This Row],[NextDueDate]]=""),"",tblTraining[[#This Row],[NextDueDate]]-TODAY())</f>
        <v/>
      </c>
      <c r="I953" s="15" t="str" cm="1">
        <f t="array" aca="1" ref="I9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4" spans="1:9" x14ac:dyDescent="0.25">
      <c r="A954" s="15">
        <f t="shared" si="14"/>
        <v>953</v>
      </c>
      <c r="B954" s="15" t="s">
        <v>98</v>
      </c>
      <c r="C954" s="15" t="str" cm="1">
        <f t="array" ref="C954">IFERROR(_xlfn.XLOOKUP(B954, tblPeople[PersonID], tblPeople[PersonName], ""), "")</f>
        <v>Thadeus Mong’are</v>
      </c>
      <c r="D954" s="15" t="s">
        <v>182</v>
      </c>
      <c r="E954" s="16" t="str">
        <f>IFERROR(_xlfn.XLOOKUP(D954, tblCourses[CourseID], tblCourses[CourseName], ""), "")</f>
        <v>Cessna 208 Series (Caravan) With P&amp;WC PT6A-114/ -114A/ -140 Engines (Refresher)</v>
      </c>
      <c r="F954" s="17">
        <v>46045</v>
      </c>
      <c r="G954" s="17" cm="1">
        <f t="array" ref="G9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46775</v>
      </c>
      <c r="H954" s="15">
        <f ca="1">IF(OR(tblTraining[[#This Row],[Status]]="Renewed",tblTraining[[#This Row],[NextDueDate]]=""),"",tblTraining[[#This Row],[NextDueDate]]-TODAY())</f>
        <v>489</v>
      </c>
      <c r="I954" s="15" t="str" cm="1">
        <f t="array" aca="1" ref="I9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5" spans="1:9" x14ac:dyDescent="0.25">
      <c r="A955" s="15">
        <f t="shared" si="14"/>
        <v>954</v>
      </c>
      <c r="B955" s="15" t="s">
        <v>85</v>
      </c>
      <c r="C955" s="15" t="str" cm="1">
        <f t="array" ref="C955">IFERROR(_xlfn.XLOOKUP(B955, tblPeople[PersonID], tblPeople[PersonName], ""), "")</f>
        <v>Titus Shunza</v>
      </c>
      <c r="D955" s="15" t="s">
        <v>22</v>
      </c>
      <c r="E955" s="16" t="str">
        <f>IFERROR(_xlfn.XLOOKUP(D955, tblCourses[CourseID], tblCourses[CourseName], ""), "")</f>
        <v>Human Factors in Aviation (Refresher)</v>
      </c>
      <c r="F955" s="17">
        <v>46069</v>
      </c>
      <c r="G955" s="17" cm="1">
        <f t="array" ref="G9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46799</v>
      </c>
      <c r="H955" s="15">
        <f ca="1">IF(OR(tblTraining[[#This Row],[Status]]="Renewed",tblTraining[[#This Row],[NextDueDate]]=""),"",tblTraining[[#This Row],[NextDueDate]]-TODAY())</f>
        <v>513</v>
      </c>
      <c r="I955" s="15" t="str" cm="1">
        <f t="array" aca="1" ref="I9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6" spans="1:9" x14ac:dyDescent="0.25">
      <c r="A956" s="15">
        <f t="shared" si="14"/>
        <v>955</v>
      </c>
      <c r="B956" s="15" t="s">
        <v>103</v>
      </c>
      <c r="C956" s="15" t="str" cm="1">
        <f t="array" ref="C956">IFERROR(_xlfn.XLOOKUP(B956, tblPeople[PersonID], tblPeople[PersonName], ""), "")</f>
        <v>Smith Harun</v>
      </c>
      <c r="D956" s="15" t="s">
        <v>182</v>
      </c>
      <c r="E956" s="16" t="str">
        <f>IFERROR(_xlfn.XLOOKUP(D956, tblCourses[CourseID], tblCourses[CourseName], ""), "")</f>
        <v>Cessna 208 Series (Caravan) With P&amp;WC PT6A-114/ -114A/ -140 Engines (Refresher)</v>
      </c>
      <c r="F956" s="17">
        <v>46059</v>
      </c>
      <c r="G956" s="17" cm="1">
        <f t="array" ref="G9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56" s="15">
        <f ca="1">IF(OR(tblTraining[[#This Row],[Status]]="Renewed",tblTraining[[#This Row],[NextDueDate]]=""),"",tblTraining[[#This Row],[NextDueDate]]-TODAY())</f>
        <v>503</v>
      </c>
      <c r="I956" s="15" t="str" cm="1">
        <f t="array" aca="1" ref="I9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7" spans="1:9" x14ac:dyDescent="0.25">
      <c r="A957" s="15">
        <f t="shared" si="14"/>
        <v>956</v>
      </c>
      <c r="B957" s="15" t="s">
        <v>150</v>
      </c>
      <c r="C957" s="15" t="str" cm="1">
        <f t="array" ref="C957">IFERROR(_xlfn.XLOOKUP(B957, tblPeople[PersonID], tblPeople[PersonName], ""), "")</f>
        <v>Kea Kazungu</v>
      </c>
      <c r="D957" s="15" t="s">
        <v>182</v>
      </c>
      <c r="E957" s="16" t="str">
        <f>IFERROR(_xlfn.XLOOKUP(D957, tblCourses[CourseID], tblCourses[CourseName], ""), "")</f>
        <v>Cessna 208 Series (Caravan) With P&amp;WC PT6A-114/ -114A/ -140 Engines (Refresher)</v>
      </c>
      <c r="F957" s="17">
        <v>46059</v>
      </c>
      <c r="G957" s="17" cm="1">
        <f t="array" ref="G9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57" s="15">
        <f ca="1">IF(OR(tblTraining[[#This Row],[Status]]="Renewed",tblTraining[[#This Row],[NextDueDate]]=""),"",tblTraining[[#This Row],[NextDueDate]]-TODAY())</f>
        <v>503</v>
      </c>
      <c r="I957" s="15" t="str" cm="1">
        <f t="array" aca="1" ref="I9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8" spans="1:9" x14ac:dyDescent="0.25">
      <c r="A958" s="15">
        <f t="shared" si="14"/>
        <v>957</v>
      </c>
      <c r="B958" s="15" t="s">
        <v>102</v>
      </c>
      <c r="C958" s="15" t="str" cm="1">
        <f t="array" ref="C958">IFERROR(_xlfn.XLOOKUP(B958, tblPeople[PersonID], tblPeople[PersonName], ""), "")</f>
        <v>William Mlati</v>
      </c>
      <c r="D958" s="15" t="s">
        <v>182</v>
      </c>
      <c r="E958" s="16" t="str">
        <f>IFERROR(_xlfn.XLOOKUP(D958, tblCourses[CourseID], tblCourses[CourseName], ""), "")</f>
        <v>Cessna 208 Series (Caravan) With P&amp;WC PT6A-114/ -114A/ -140 Engines (Refresher)</v>
      </c>
      <c r="F958" s="17">
        <v>46059</v>
      </c>
      <c r="G958" s="17" cm="1">
        <f t="array" ref="G9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58" s="15">
        <f ca="1">IF(OR(tblTraining[[#This Row],[Status]]="Renewed",tblTraining[[#This Row],[NextDueDate]]=""),"",tblTraining[[#This Row],[NextDueDate]]-TODAY())</f>
        <v>503</v>
      </c>
      <c r="I958" s="15" t="str" cm="1">
        <f t="array" aca="1" ref="I9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9" spans="1:9" x14ac:dyDescent="0.25">
      <c r="A959" s="15">
        <f t="shared" si="14"/>
        <v>958</v>
      </c>
      <c r="B959" s="15" t="s">
        <v>82</v>
      </c>
      <c r="C959" s="15" t="str" cm="1">
        <f t="array" ref="C959">IFERROR(_xlfn.XLOOKUP(B959, tblPeople[PersonID], tblPeople[PersonName], ""), "")</f>
        <v>Philip Mwania</v>
      </c>
      <c r="D959" s="15" t="s">
        <v>182</v>
      </c>
      <c r="E959" s="16" t="str">
        <f>IFERROR(_xlfn.XLOOKUP(D959, tblCourses[CourseID], tblCourses[CourseName], ""), "")</f>
        <v>Cessna 208 Series (Caravan) With P&amp;WC PT6A-114/ -114A/ -140 Engines (Refresher)</v>
      </c>
      <c r="F959" s="17">
        <v>46059</v>
      </c>
      <c r="G959" s="17" cm="1">
        <f t="array" ref="G9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59" s="15">
        <f ca="1">IF(OR(tblTraining[[#This Row],[Status]]="Renewed",tblTraining[[#This Row],[NextDueDate]]=""),"",tblTraining[[#This Row],[NextDueDate]]-TODAY())</f>
        <v>503</v>
      </c>
      <c r="I959" s="15" t="str" cm="1">
        <f t="array" aca="1" ref="I9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0" spans="1:9" x14ac:dyDescent="0.25">
      <c r="A960" s="15">
        <f t="shared" si="14"/>
        <v>959</v>
      </c>
      <c r="B960" s="15" t="s">
        <v>85</v>
      </c>
      <c r="C960" s="15" t="str" cm="1">
        <f t="array" ref="C960">IFERROR(_xlfn.XLOOKUP(B960, tblPeople[PersonID], tblPeople[PersonName], ""), "")</f>
        <v>Titus Shunza</v>
      </c>
      <c r="D960" s="15" t="s">
        <v>182</v>
      </c>
      <c r="E960" s="16" t="str">
        <f>IFERROR(_xlfn.XLOOKUP(D960, tblCourses[CourseID], tblCourses[CourseName], ""), "")</f>
        <v>Cessna 208 Series (Caravan) With P&amp;WC PT6A-114/ -114A/ -140 Engines (Refresher)</v>
      </c>
      <c r="F960" s="17">
        <v>46059</v>
      </c>
      <c r="G960" s="17" cm="1">
        <f t="array" ref="G9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60" s="15">
        <f ca="1">IF(OR(tblTraining[[#This Row],[Status]]="Renewed",tblTraining[[#This Row],[NextDueDate]]=""),"",tblTraining[[#This Row],[NextDueDate]]-TODAY())</f>
        <v>503</v>
      </c>
      <c r="I960" s="15" t="str" cm="1">
        <f t="array" aca="1" ref="I9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1" spans="1:9" x14ac:dyDescent="0.25">
      <c r="A961" s="15">
        <f t="shared" si="14"/>
        <v>960</v>
      </c>
      <c r="B961" s="15" t="s">
        <v>150</v>
      </c>
      <c r="C961" s="15" t="str" cm="1">
        <f t="array" ref="C961">IFERROR(_xlfn.XLOOKUP(B961, tblPeople[PersonID], tblPeople[PersonName], ""), "")</f>
        <v>Kea Kazungu</v>
      </c>
      <c r="D961" s="15" t="s">
        <v>28</v>
      </c>
      <c r="E961" s="16" t="str">
        <f>IFERROR(_xlfn.XLOOKUP(D961, tblCourses[CourseID], tblCourses[CourseName], ""), "")</f>
        <v>DHC-8 100/200/300 with PWC 120/120A/121/123B/C/D/E Series Engines(Refresher)</v>
      </c>
      <c r="F961" s="17">
        <v>46038</v>
      </c>
      <c r="G961" s="17" cm="1">
        <f t="array" ref="G9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961" s="15">
        <f ca="1">IF(OR(tblTraining[[#This Row],[Status]]="Renewed",tblTraining[[#This Row],[NextDueDate]]=""),"",tblTraining[[#This Row],[NextDueDate]]-TODAY())</f>
        <v>482</v>
      </c>
      <c r="I961" s="15" t="str" cm="1">
        <f t="array" aca="1" ref="I9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2" spans="1:9" x14ac:dyDescent="0.25">
      <c r="A962" s="15">
        <f t="shared" si="14"/>
        <v>961</v>
      </c>
      <c r="B962" s="15" t="s">
        <v>102</v>
      </c>
      <c r="C962" s="15" t="str" cm="1">
        <f t="array" ref="C962">IFERROR(_xlfn.XLOOKUP(B962, tblPeople[PersonID], tblPeople[PersonName], ""), "")</f>
        <v>William Mlati</v>
      </c>
      <c r="D962" s="15" t="s">
        <v>28</v>
      </c>
      <c r="E962" s="16" t="str">
        <f>IFERROR(_xlfn.XLOOKUP(D962, tblCourses[CourseID], tblCourses[CourseName], ""), "")</f>
        <v>DHC-8 100/200/300 with PWC 120/120A/121/123B/C/D/E Series Engines(Refresher)</v>
      </c>
      <c r="F962" s="17">
        <v>46038</v>
      </c>
      <c r="G962" s="17" cm="1">
        <f t="array" ref="G9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962" s="15">
        <f ca="1">IF(OR(tblTraining[[#This Row],[Status]]="Renewed",tblTraining[[#This Row],[NextDueDate]]=""),"",tblTraining[[#This Row],[NextDueDate]]-TODAY())</f>
        <v>482</v>
      </c>
      <c r="I962" s="15" t="str" cm="1">
        <f t="array" aca="1" ref="I9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3" spans="1:9" x14ac:dyDescent="0.25">
      <c r="A963" s="15">
        <f t="shared" si="14"/>
        <v>962</v>
      </c>
      <c r="B963" s="15" t="s">
        <v>82</v>
      </c>
      <c r="C963" s="15" t="str" cm="1">
        <f t="array" ref="C963">IFERROR(_xlfn.XLOOKUP(B963, tblPeople[PersonID], tblPeople[PersonName], ""), "")</f>
        <v>Philip Mwania</v>
      </c>
      <c r="D963" s="15" t="s">
        <v>28</v>
      </c>
      <c r="E963" s="16" t="str">
        <f>IFERROR(_xlfn.XLOOKUP(D963, tblCourses[CourseID], tblCourses[CourseName], ""), "")</f>
        <v>DHC-8 100/200/300 with PWC 120/120A/121/123B/C/D/E Series Engines(Refresher)</v>
      </c>
      <c r="F963" s="17">
        <v>46038</v>
      </c>
      <c r="G963" s="17" cm="1">
        <f t="array" ref="G9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963" s="15">
        <f ca="1">IF(OR(tblTraining[[#This Row],[Status]]="Renewed",tblTraining[[#This Row],[NextDueDate]]=""),"",tblTraining[[#This Row],[NextDueDate]]-TODAY())</f>
        <v>482</v>
      </c>
      <c r="I963" s="15" t="str" cm="1">
        <f t="array" aca="1" ref="I9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4" spans="1:9" x14ac:dyDescent="0.25">
      <c r="A964" s="15">
        <f t="shared" ref="A964:A1027" si="15">A963+1</f>
        <v>963</v>
      </c>
      <c r="B964" s="15" t="s">
        <v>135</v>
      </c>
      <c r="C964" s="15" t="str" cm="1">
        <f t="array" ref="C964">IFERROR(_xlfn.XLOOKUP(B964, tblPeople[PersonID], tblPeople[PersonName], ""), "")</f>
        <v>Francis Muriuki</v>
      </c>
      <c r="D964" s="15" t="s">
        <v>22</v>
      </c>
      <c r="E964" s="16" t="str">
        <f>IFERROR(_xlfn.XLOOKUP(D964, tblCourses[CourseID], tblCourses[CourseName], ""), "")</f>
        <v>Human Factors in Aviation (Refresher)</v>
      </c>
      <c r="F964" s="17">
        <v>46071</v>
      </c>
      <c r="G964" s="17" cm="1">
        <f t="array" ref="G9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46801</v>
      </c>
      <c r="H964" s="15">
        <f ca="1">IF(OR(tblTraining[[#This Row],[Status]]="Renewed",tblTraining[[#This Row],[NextDueDate]]=""),"",tblTraining[[#This Row],[NextDueDate]]-TODAY())</f>
        <v>515</v>
      </c>
      <c r="I964" s="15" t="str" cm="1">
        <f t="array" aca="1" ref="I9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5" spans="1:9" x14ac:dyDescent="0.25">
      <c r="A965" s="15">
        <f t="shared" si="15"/>
        <v>964</v>
      </c>
      <c r="B965" s="15" t="s">
        <v>121</v>
      </c>
      <c r="C965" s="15" t="str" cm="1">
        <f t="array" ref="C965">IFERROR(_xlfn.XLOOKUP(B965, tblPeople[PersonID], tblPeople[PersonName], ""), "")</f>
        <v>Chrispus King'ori</v>
      </c>
      <c r="D965" s="15" t="s">
        <v>76</v>
      </c>
      <c r="E965" s="16" t="str">
        <f>IFERROR(_xlfn.XLOOKUP(D965, tblCourses[CourseID], tblCourses[CourseName], ""), "")</f>
        <v>Fuel Tank Safety Phase 1 &amp; 2 Course (Initial)</v>
      </c>
      <c r="F965" s="17">
        <v>45977</v>
      </c>
      <c r="G965" s="17" t="str" cm="1">
        <f t="array" ref="G9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5" s="15" t="str">
        <f ca="1">IF(OR(tblTraining[[#This Row],[Status]]="Renewed",tblTraining[[#This Row],[NextDueDate]]=""),"",tblTraining[[#This Row],[NextDueDate]]-TODAY())</f>
        <v/>
      </c>
      <c r="I965" s="15" t="str" cm="1">
        <f t="array" aca="1" ref="I9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6" spans="1:9" x14ac:dyDescent="0.25">
      <c r="A966" s="15">
        <f t="shared" si="15"/>
        <v>965</v>
      </c>
      <c r="B966" s="15" t="s">
        <v>121</v>
      </c>
      <c r="C966" s="15" t="str" cm="1">
        <f t="array" ref="C966">IFERROR(_xlfn.XLOOKUP(B966, tblPeople[PersonID], tblPeople[PersonName], ""), "")</f>
        <v>Chrispus King'ori</v>
      </c>
      <c r="D966" s="15" t="s">
        <v>75</v>
      </c>
      <c r="E966" s="16" t="str">
        <f>IFERROR(_xlfn.XLOOKUP(D966, tblCourses[CourseID], tblCourses[CourseName], ""), "")</f>
        <v>Fuel Tank Safety Phase 1 &amp; 2 Course (Refresher)</v>
      </c>
      <c r="F966" s="17">
        <v>45977</v>
      </c>
      <c r="G966" s="17" cm="1">
        <f t="array" ref="G9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46707</v>
      </c>
      <c r="H966" s="15">
        <f ca="1">IF(OR(tblTraining[[#This Row],[Status]]="Renewed",tblTraining[[#This Row],[NextDueDate]]=""),"",tblTraining[[#This Row],[NextDueDate]]-TODAY())</f>
        <v>421</v>
      </c>
      <c r="I966" s="15" t="str" cm="1">
        <f t="array" aca="1" ref="I9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7" spans="1:9" x14ac:dyDescent="0.25">
      <c r="A967" s="15">
        <f t="shared" si="15"/>
        <v>966</v>
      </c>
      <c r="B967" s="15" t="s">
        <v>216</v>
      </c>
      <c r="C967" s="15" t="str" cm="1">
        <f t="array" ref="C967">IFERROR(_xlfn.XLOOKUP(B967, tblPeople[PersonID], tblPeople[PersonName], ""), "")</f>
        <v>John Kihara</v>
      </c>
      <c r="D967" s="15" t="s">
        <v>76</v>
      </c>
      <c r="E967" s="16" t="str">
        <f>IFERROR(_xlfn.XLOOKUP(D967, tblCourses[CourseID], tblCourses[CourseName], ""), "")</f>
        <v>Fuel Tank Safety Phase 1 &amp; 2 Course (Initial)</v>
      </c>
      <c r="F967" s="17">
        <v>45968</v>
      </c>
      <c r="G967" s="17" t="str" cm="1">
        <f t="array" ref="G9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7" s="15" t="str">
        <f ca="1">IF(OR(tblTraining[[#This Row],[Status]]="Renewed",tblTraining[[#This Row],[NextDueDate]]=""),"",tblTraining[[#This Row],[NextDueDate]]-TODAY())</f>
        <v/>
      </c>
      <c r="I967" s="15" t="str" cm="1">
        <f t="array" aca="1" ref="I9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8" spans="1:9" x14ac:dyDescent="0.25">
      <c r="A968" s="15">
        <f t="shared" si="15"/>
        <v>967</v>
      </c>
      <c r="B968" s="15" t="s">
        <v>216</v>
      </c>
      <c r="C968" s="15" t="str" cm="1">
        <f t="array" ref="C968">IFERROR(_xlfn.XLOOKUP(B968, tblPeople[PersonID], tblPeople[PersonName], ""), "")</f>
        <v>John Kihara</v>
      </c>
      <c r="D968" s="15" t="s">
        <v>75</v>
      </c>
      <c r="E968" s="16" t="str">
        <f>IFERROR(_xlfn.XLOOKUP(D968, tblCourses[CourseID], tblCourses[CourseName], ""), "")</f>
        <v>Fuel Tank Safety Phase 1 &amp; 2 Course (Refresher)</v>
      </c>
      <c r="F968" s="17">
        <v>45968</v>
      </c>
      <c r="G968" s="17" cm="1">
        <f t="array" ref="G9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46698</v>
      </c>
      <c r="H968" s="15">
        <f ca="1">IF(OR(tblTraining[[#This Row],[Status]]="Renewed",tblTraining[[#This Row],[NextDueDate]]=""),"",tblTraining[[#This Row],[NextDueDate]]-TODAY())</f>
        <v>412</v>
      </c>
      <c r="I968" s="15" t="str" cm="1">
        <f t="array" aca="1" ref="I9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9" spans="1:9" x14ac:dyDescent="0.25">
      <c r="A969" s="15">
        <f t="shared" si="15"/>
        <v>968</v>
      </c>
      <c r="B969" s="15" t="s">
        <v>120</v>
      </c>
      <c r="C969" s="15" t="str" cm="1">
        <f t="array" ref="C969">IFERROR(_xlfn.XLOOKUP(B969, tblPeople[PersonID], tblPeople[PersonName], ""), "")</f>
        <v>Churchill Bil</v>
      </c>
      <c r="D969" s="15" t="s">
        <v>76</v>
      </c>
      <c r="E969" s="16" t="str">
        <f>IFERROR(_xlfn.XLOOKUP(D969, tblCourses[CourseID], tblCourses[CourseName], ""), "")</f>
        <v>Fuel Tank Safety Phase 1 &amp; 2 Course (Initial)</v>
      </c>
      <c r="F969" s="17">
        <v>45950</v>
      </c>
      <c r="G969" s="17" t="str" cm="1">
        <f t="array" ref="G9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9" s="15" t="str">
        <f ca="1">IF(OR(tblTraining[[#This Row],[Status]]="Renewed",tblTraining[[#This Row],[NextDueDate]]=""),"",tblTraining[[#This Row],[NextDueDate]]-TODAY())</f>
        <v/>
      </c>
      <c r="I969" s="15" t="str" cm="1">
        <f t="array" aca="1" ref="I9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0" spans="1:9" x14ac:dyDescent="0.25">
      <c r="A970" s="15">
        <f t="shared" si="15"/>
        <v>969</v>
      </c>
      <c r="B970" s="15" t="s">
        <v>120</v>
      </c>
      <c r="C970" s="15" t="str" cm="1">
        <f t="array" ref="C970">IFERROR(_xlfn.XLOOKUP(B970, tblPeople[PersonID], tblPeople[PersonName], ""), "")</f>
        <v>Churchill Bil</v>
      </c>
      <c r="D970" s="15" t="s">
        <v>75</v>
      </c>
      <c r="E970" s="16" t="str">
        <f>IFERROR(_xlfn.XLOOKUP(D970, tblCourses[CourseID], tblCourses[CourseName], ""), "")</f>
        <v>Fuel Tank Safety Phase 1 &amp; 2 Course (Refresher)</v>
      </c>
      <c r="F970" s="17">
        <v>45950</v>
      </c>
      <c r="G970" s="17" cm="1">
        <f t="array" ref="G9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46680</v>
      </c>
      <c r="H970" s="15">
        <f ca="1">IF(OR(tblTraining[[#This Row],[Status]]="Renewed",tblTraining[[#This Row],[NextDueDate]]=""),"",tblTraining[[#This Row],[NextDueDate]]-TODAY())</f>
        <v>394</v>
      </c>
      <c r="I970" s="15" t="str" cm="1">
        <f t="array" aca="1" ref="I9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1" spans="1:9" x14ac:dyDescent="0.25">
      <c r="A971" s="15">
        <f t="shared" si="15"/>
        <v>970</v>
      </c>
      <c r="B971" s="15" t="s">
        <v>397</v>
      </c>
      <c r="C971" s="15" t="str" cm="1">
        <f t="array" ref="C971">IFERROR(_xlfn.XLOOKUP(B971, tblPeople[PersonID], tblPeople[PersonName], ""), "")</f>
        <v>Benson Gitahi</v>
      </c>
      <c r="D971" s="15" t="s">
        <v>76</v>
      </c>
      <c r="E971" s="16" t="str">
        <f>IFERROR(_xlfn.XLOOKUP(D971, tblCourses[CourseID], tblCourses[CourseName], ""), "")</f>
        <v>Fuel Tank Safety Phase 1 &amp; 2 Course (Initial)</v>
      </c>
      <c r="F971" s="17">
        <v>46072</v>
      </c>
      <c r="G971" s="17" t="str" cm="1">
        <f t="array" ref="G9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1" s="15" t="str">
        <f ca="1">IF(OR(tblTraining[[#This Row],[Status]]="Renewed",tblTraining[[#This Row],[NextDueDate]]=""),"",tblTraining[[#This Row],[NextDueDate]]-TODAY())</f>
        <v/>
      </c>
      <c r="I971" s="15" t="str" cm="1">
        <f t="array" aca="1" ref="I9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2" spans="1:9" x14ac:dyDescent="0.25">
      <c r="A972" s="15">
        <f t="shared" si="15"/>
        <v>971</v>
      </c>
      <c r="B972" s="15" t="s">
        <v>397</v>
      </c>
      <c r="C972" s="15" t="str" cm="1">
        <f t="array" ref="C972">IFERROR(_xlfn.XLOOKUP(B972, tblPeople[PersonID], tblPeople[PersonName], ""), "")</f>
        <v>Benson Gitahi</v>
      </c>
      <c r="D972" s="15" t="s">
        <v>75</v>
      </c>
      <c r="E972" s="16" t="str">
        <f>IFERROR(_xlfn.XLOOKUP(D972, tblCourses[CourseID], tblCourses[CourseName], ""), "")</f>
        <v>Fuel Tank Safety Phase 1 &amp; 2 Course (Refresher)</v>
      </c>
      <c r="F972" s="17">
        <v>46072</v>
      </c>
      <c r="G972" s="17" cm="1">
        <f t="array" ref="G9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46802</v>
      </c>
      <c r="H972" s="15">
        <f ca="1">IF(OR(tblTraining[[#This Row],[Status]]="Renewed",tblTraining[[#This Row],[NextDueDate]]=""),"",tblTraining[[#This Row],[NextDueDate]]-TODAY())</f>
        <v>516</v>
      </c>
      <c r="I972" s="15" t="str" cm="1">
        <f t="array" aca="1" ref="I9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3" spans="1:9" x14ac:dyDescent="0.25">
      <c r="A973" s="15">
        <f t="shared" si="15"/>
        <v>972</v>
      </c>
      <c r="B973" s="15" t="s">
        <v>89</v>
      </c>
      <c r="C973" s="15" t="str" cm="1">
        <f t="array" ref="C973">IFERROR(_xlfn.XLOOKUP(B973, tblPeople[PersonID], tblPeople[PersonName], ""), "")</f>
        <v>Elina Guda</v>
      </c>
      <c r="D973" s="15" t="s">
        <v>202</v>
      </c>
      <c r="E973" s="16" t="str">
        <f>IFERROR(_xlfn.XLOOKUP(D973, tblCourses[CourseID], tblCourses[CourseName], ""), "")</f>
        <v>Maintenance Procedures &amp; Standard Maintenance Practices (Refresher)</v>
      </c>
      <c r="F973" s="17">
        <v>46073</v>
      </c>
      <c r="G973" s="17" cm="1">
        <f t="array" ref="G9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73" s="15">
        <f ca="1">IF(OR(tblTraining[[#This Row],[Status]]="Renewed",tblTraining[[#This Row],[NextDueDate]]=""),"",tblTraining[[#This Row],[NextDueDate]]-TODAY())</f>
        <v>517</v>
      </c>
      <c r="I973" s="15" t="str" cm="1">
        <f t="array" aca="1" ref="I9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4" spans="1:9" x14ac:dyDescent="0.25">
      <c r="A974" s="15">
        <f t="shared" si="15"/>
        <v>973</v>
      </c>
      <c r="B974" s="15" t="s">
        <v>103</v>
      </c>
      <c r="C974" s="15" t="str" cm="1">
        <f t="array" ref="C974">IFERROR(_xlfn.XLOOKUP(B974, tblPeople[PersonID], tblPeople[PersonName], ""), "")</f>
        <v>Smith Harun</v>
      </c>
      <c r="D974" s="15" t="s">
        <v>202</v>
      </c>
      <c r="E974" s="16" t="str">
        <f>IFERROR(_xlfn.XLOOKUP(D974, tblCourses[CourseID], tblCourses[CourseName], ""), "")</f>
        <v>Maintenance Procedures &amp; Standard Maintenance Practices (Refresher)</v>
      </c>
      <c r="F974" s="17">
        <v>46073</v>
      </c>
      <c r="G974" s="17" t="str" cm="1">
        <f t="array" ref="G9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4" s="15" t="str">
        <f ca="1">IF(OR(tblTraining[[#This Row],[Status]]="Renewed",tblTraining[[#This Row],[NextDueDate]]=""),"",tblTraining[[#This Row],[NextDueDate]]-TODAY())</f>
        <v/>
      </c>
      <c r="I974" s="15" t="str" cm="1">
        <f t="array" aca="1" ref="I9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75" spans="1:9" x14ac:dyDescent="0.25">
      <c r="A975" s="15">
        <f t="shared" si="15"/>
        <v>974</v>
      </c>
      <c r="B975" s="15" t="s">
        <v>104</v>
      </c>
      <c r="C975" s="15" t="str" cm="1">
        <f t="array" ref="C975">IFERROR(_xlfn.XLOOKUP(B975, tblPeople[PersonID], tblPeople[PersonName], ""), "")</f>
        <v>Douglas Hurgins</v>
      </c>
      <c r="D975" s="15" t="s">
        <v>202</v>
      </c>
      <c r="E975" s="16" t="str">
        <f>IFERROR(_xlfn.XLOOKUP(D975, tblCourses[CourseID], tblCourses[CourseName], ""), "")</f>
        <v>Maintenance Procedures &amp; Standard Maintenance Practices (Refresher)</v>
      </c>
      <c r="F975" s="17">
        <v>46073</v>
      </c>
      <c r="G975" s="17" cm="1">
        <f t="array" ref="G9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75" s="15">
        <f ca="1">IF(OR(tblTraining[[#This Row],[Status]]="Renewed",tblTraining[[#This Row],[NextDueDate]]=""),"",tblTraining[[#This Row],[NextDueDate]]-TODAY())</f>
        <v>517</v>
      </c>
      <c r="I975" s="15" t="str" cm="1">
        <f t="array" aca="1" ref="I9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6" spans="1:9" x14ac:dyDescent="0.25">
      <c r="A976" s="15">
        <f t="shared" si="15"/>
        <v>975</v>
      </c>
      <c r="B976" s="15" t="s">
        <v>105</v>
      </c>
      <c r="C976" s="15" t="str" cm="1">
        <f t="array" ref="C976">IFERROR(_xlfn.XLOOKUP(B976, tblPeople[PersonID], tblPeople[PersonName], ""), "")</f>
        <v>Fred Magotsi</v>
      </c>
      <c r="D976" s="15" t="s">
        <v>202</v>
      </c>
      <c r="E976" s="16" t="str">
        <f>IFERROR(_xlfn.XLOOKUP(D976, tblCourses[CourseID], tblCourses[CourseName], ""), "")</f>
        <v>Maintenance Procedures &amp; Standard Maintenance Practices (Refresher)</v>
      </c>
      <c r="F976" s="17">
        <v>46073</v>
      </c>
      <c r="G976" s="17" cm="1">
        <f t="array" ref="G9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76" s="15">
        <f ca="1">IF(OR(tblTraining[[#This Row],[Status]]="Renewed",tblTraining[[#This Row],[NextDueDate]]=""),"",tblTraining[[#This Row],[NextDueDate]]-TODAY())</f>
        <v>517</v>
      </c>
      <c r="I976" s="15" t="str" cm="1">
        <f t="array" aca="1" ref="I9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7" spans="1:9" x14ac:dyDescent="0.25">
      <c r="A977" s="15">
        <f t="shared" si="15"/>
        <v>976</v>
      </c>
      <c r="B977" s="15" t="s">
        <v>102</v>
      </c>
      <c r="C977" s="15" t="str" cm="1">
        <f t="array" ref="C977">IFERROR(_xlfn.XLOOKUP(B977, tblPeople[PersonID], tblPeople[PersonName], ""), "")</f>
        <v>William Mlati</v>
      </c>
      <c r="D977" s="15" t="s">
        <v>202</v>
      </c>
      <c r="E977" s="16" t="str">
        <f>IFERROR(_xlfn.XLOOKUP(D977, tblCourses[CourseID], tblCourses[CourseName], ""), "")</f>
        <v>Maintenance Procedures &amp; Standard Maintenance Practices (Refresher)</v>
      </c>
      <c r="F977" s="17">
        <v>46073</v>
      </c>
      <c r="G977" s="17" cm="1">
        <f t="array" ref="G9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77" s="15">
        <f ca="1">IF(OR(tblTraining[[#This Row],[Status]]="Renewed",tblTraining[[#This Row],[NextDueDate]]=""),"",tblTraining[[#This Row],[NextDueDate]]-TODAY())</f>
        <v>517</v>
      </c>
      <c r="I977" s="15" t="str" cm="1">
        <f t="array" aca="1" ref="I9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8" spans="1:9" x14ac:dyDescent="0.25">
      <c r="A978" s="15">
        <f t="shared" si="15"/>
        <v>977</v>
      </c>
      <c r="B978" s="15" t="s">
        <v>153</v>
      </c>
      <c r="C978" s="15" t="str" cm="1">
        <f t="array" ref="C978">IFERROR(_xlfn.XLOOKUP(B978, tblPeople[PersonID], tblPeople[PersonName], ""), "")</f>
        <v>Majid Mohamed</v>
      </c>
      <c r="D978" s="15" t="s">
        <v>202</v>
      </c>
      <c r="E978" s="16" t="str">
        <f>IFERROR(_xlfn.XLOOKUP(D978, tblCourses[CourseID], tblCourses[CourseName], ""), "")</f>
        <v>Maintenance Procedures &amp; Standard Maintenance Practices (Refresher)</v>
      </c>
      <c r="F978" s="17">
        <v>46073</v>
      </c>
      <c r="G978" s="17" cm="1">
        <f t="array" ref="G9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78" s="15">
        <f ca="1">IF(OR(tblTraining[[#This Row],[Status]]="Renewed",tblTraining[[#This Row],[NextDueDate]]=""),"",tblTraining[[#This Row],[NextDueDate]]-TODAY())</f>
        <v>517</v>
      </c>
      <c r="I978" s="15" t="str" cm="1">
        <f t="array" aca="1" ref="I9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9" spans="1:9" x14ac:dyDescent="0.25">
      <c r="A979" s="15">
        <f t="shared" si="15"/>
        <v>978</v>
      </c>
      <c r="B979" s="15" t="s">
        <v>100</v>
      </c>
      <c r="C979" s="15" t="str" cm="1">
        <f t="array" ref="C979">IFERROR(_xlfn.XLOOKUP(B979, tblPeople[PersonID], tblPeople[PersonName], ""), "")</f>
        <v>John Muriithi</v>
      </c>
      <c r="D979" s="15" t="s">
        <v>202</v>
      </c>
      <c r="E979" s="16" t="str">
        <f>IFERROR(_xlfn.XLOOKUP(D979, tblCourses[CourseID], tblCourses[CourseName], ""), "")</f>
        <v>Maintenance Procedures &amp; Standard Maintenance Practices (Refresher)</v>
      </c>
      <c r="F979" s="17">
        <v>46073</v>
      </c>
      <c r="G979" s="17" cm="1">
        <f t="array" ref="G9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79" s="15">
        <f ca="1">IF(OR(tblTraining[[#This Row],[Status]]="Renewed",tblTraining[[#This Row],[NextDueDate]]=""),"",tblTraining[[#This Row],[NextDueDate]]-TODAY())</f>
        <v>517</v>
      </c>
      <c r="I979" s="15" t="str" cm="1">
        <f t="array" aca="1" ref="I9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0" spans="1:9" x14ac:dyDescent="0.25">
      <c r="A980" s="15">
        <f t="shared" si="15"/>
        <v>979</v>
      </c>
      <c r="B980" s="15" t="s">
        <v>135</v>
      </c>
      <c r="C980" s="15" t="str" cm="1">
        <f t="array" ref="C980">IFERROR(_xlfn.XLOOKUP(B980, tblPeople[PersonID], tblPeople[PersonName], ""), "")</f>
        <v>Francis Muriuki</v>
      </c>
      <c r="D980" s="15" t="s">
        <v>202</v>
      </c>
      <c r="E980" s="16" t="str">
        <f>IFERROR(_xlfn.XLOOKUP(D980, tblCourses[CourseID], tblCourses[CourseName], ""), "")</f>
        <v>Maintenance Procedures &amp; Standard Maintenance Practices (Refresher)</v>
      </c>
      <c r="F980" s="17">
        <v>46073</v>
      </c>
      <c r="G980" s="17" cm="1">
        <f t="array" ref="G9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0" s="15">
        <f ca="1">IF(OR(tblTraining[[#This Row],[Status]]="Renewed",tblTraining[[#This Row],[NextDueDate]]=""),"",tblTraining[[#This Row],[NextDueDate]]-TODAY())</f>
        <v>517</v>
      </c>
      <c r="I980" s="15" t="str" cm="1">
        <f t="array" aca="1" ref="I9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1" spans="1:9" x14ac:dyDescent="0.25">
      <c r="A981" s="15">
        <f t="shared" si="15"/>
        <v>980</v>
      </c>
      <c r="B981" s="15" t="s">
        <v>157</v>
      </c>
      <c r="C981" s="15" t="str" cm="1">
        <f t="array" ref="C981">IFERROR(_xlfn.XLOOKUP(B981, tblPeople[PersonID], tblPeople[PersonName], ""), "")</f>
        <v>Stephen Mutambu</v>
      </c>
      <c r="D981" s="15" t="s">
        <v>202</v>
      </c>
      <c r="E981" s="16" t="str">
        <f>IFERROR(_xlfn.XLOOKUP(D981, tblCourses[CourseID], tblCourses[CourseName], ""), "")</f>
        <v>Maintenance Procedures &amp; Standard Maintenance Practices (Refresher)</v>
      </c>
      <c r="F981" s="17">
        <v>46073</v>
      </c>
      <c r="G981" s="17" cm="1">
        <f t="array" ref="G9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1" s="15">
        <f ca="1">IF(OR(tblTraining[[#This Row],[Status]]="Renewed",tblTraining[[#This Row],[NextDueDate]]=""),"",tblTraining[[#This Row],[NextDueDate]]-TODAY())</f>
        <v>517</v>
      </c>
      <c r="I981" s="15" t="str" cm="1">
        <f t="array" aca="1" ref="I9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2" spans="1:9" x14ac:dyDescent="0.25">
      <c r="A982" s="15">
        <f t="shared" si="15"/>
        <v>981</v>
      </c>
      <c r="B982" s="15" t="s">
        <v>94</v>
      </c>
      <c r="C982" s="15" t="str" cm="1">
        <f t="array" ref="C982">IFERROR(_xlfn.XLOOKUP(B982, tblPeople[PersonID], tblPeople[PersonName], ""), "")</f>
        <v>Moses Musyoka</v>
      </c>
      <c r="D982" s="15" t="s">
        <v>202</v>
      </c>
      <c r="E982" s="16" t="str">
        <f>IFERROR(_xlfn.XLOOKUP(D982, tblCourses[CourseID], tblCourses[CourseName], ""), "")</f>
        <v>Maintenance Procedures &amp; Standard Maintenance Practices (Refresher)</v>
      </c>
      <c r="F982" s="17">
        <v>46073</v>
      </c>
      <c r="G982" s="17" cm="1">
        <f t="array" ref="G9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2" s="15">
        <f ca="1">IF(OR(tblTraining[[#This Row],[Status]]="Renewed",tblTraining[[#This Row],[NextDueDate]]=""),"",tblTraining[[#This Row],[NextDueDate]]-TODAY())</f>
        <v>517</v>
      </c>
      <c r="I982" s="15" t="str" cm="1">
        <f t="array" aca="1" ref="I9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3" spans="1:9" x14ac:dyDescent="0.25">
      <c r="A983" s="15">
        <f t="shared" si="15"/>
        <v>982</v>
      </c>
      <c r="B983" s="15" t="s">
        <v>101</v>
      </c>
      <c r="C983" s="15" t="str" cm="1">
        <f t="array" ref="C983">IFERROR(_xlfn.XLOOKUP(B983, tblPeople[PersonID], tblPeople[PersonName], ""), "")</f>
        <v>Paul Mzera</v>
      </c>
      <c r="D983" s="15" t="s">
        <v>202</v>
      </c>
      <c r="E983" s="16" t="str">
        <f>IFERROR(_xlfn.XLOOKUP(D983, tblCourses[CourseID], tblCourses[CourseName], ""), "")</f>
        <v>Maintenance Procedures &amp; Standard Maintenance Practices (Refresher)</v>
      </c>
      <c r="F983" s="17">
        <v>46073</v>
      </c>
      <c r="G983" s="17" cm="1">
        <f t="array" ref="G9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3" s="15">
        <f ca="1">IF(OR(tblTraining[[#This Row],[Status]]="Renewed",tblTraining[[#This Row],[NextDueDate]]=""),"",tblTraining[[#This Row],[NextDueDate]]-TODAY())</f>
        <v>517</v>
      </c>
      <c r="I983" s="15" t="str" cm="1">
        <f t="array" aca="1" ref="I9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4" spans="1:9" x14ac:dyDescent="0.25">
      <c r="A984" s="15">
        <f t="shared" si="15"/>
        <v>983</v>
      </c>
      <c r="B984" s="15" t="s">
        <v>118</v>
      </c>
      <c r="C984" s="15" t="str" cm="1">
        <f t="array" ref="C984">IFERROR(_xlfn.XLOOKUP(B984, tblPeople[PersonID], tblPeople[PersonName], ""), "")</f>
        <v>Michael Olunga</v>
      </c>
      <c r="D984" s="15" t="s">
        <v>202</v>
      </c>
      <c r="E984" s="16" t="str">
        <f>IFERROR(_xlfn.XLOOKUP(D984, tblCourses[CourseID], tblCourses[CourseName], ""), "")</f>
        <v>Maintenance Procedures &amp; Standard Maintenance Practices (Refresher)</v>
      </c>
      <c r="F984" s="17">
        <v>46073</v>
      </c>
      <c r="G984" s="17" cm="1">
        <f t="array" ref="G9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4" s="15">
        <f ca="1">IF(OR(tblTraining[[#This Row],[Status]]="Renewed",tblTraining[[#This Row],[NextDueDate]]=""),"",tblTraining[[#This Row],[NextDueDate]]-TODAY())</f>
        <v>517</v>
      </c>
      <c r="I984" s="15" t="str" cm="1">
        <f t="array" aca="1" ref="I9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5" spans="1:9" x14ac:dyDescent="0.25">
      <c r="A985" s="15">
        <f t="shared" si="15"/>
        <v>984</v>
      </c>
      <c r="B985" s="15" t="s">
        <v>161</v>
      </c>
      <c r="C985" s="15" t="str" cm="1">
        <f t="array" ref="C985">IFERROR(_xlfn.XLOOKUP(B985, tblPeople[PersonID], tblPeople[PersonName], ""), "")</f>
        <v>Francis Omondi</v>
      </c>
      <c r="D985" s="15" t="s">
        <v>202</v>
      </c>
      <c r="E985" s="16" t="str">
        <f>IFERROR(_xlfn.XLOOKUP(D985, tblCourses[CourseID], tblCourses[CourseName], ""), "")</f>
        <v>Maintenance Procedures &amp; Standard Maintenance Practices (Refresher)</v>
      </c>
      <c r="F985" s="17">
        <v>46073</v>
      </c>
      <c r="G985" s="17" t="str" cm="1">
        <f t="array" ref="G9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5" s="15" t="str">
        <f ca="1">IF(OR(tblTraining[[#This Row],[Status]]="Renewed",tblTraining[[#This Row],[NextDueDate]]=""),"",tblTraining[[#This Row],[NextDueDate]]-TODAY())</f>
        <v/>
      </c>
      <c r="I985" s="15" t="str" cm="1">
        <f t="array" aca="1" ref="I9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86" spans="1:9" x14ac:dyDescent="0.25">
      <c r="A986" s="15">
        <f t="shared" si="15"/>
        <v>985</v>
      </c>
      <c r="B986" s="15" t="s">
        <v>92</v>
      </c>
      <c r="C986" s="15" t="str" cm="1">
        <f t="array" ref="C986">IFERROR(_xlfn.XLOOKUP(B986, tblPeople[PersonID], tblPeople[PersonName], ""), "")</f>
        <v>Reuben Otieno</v>
      </c>
      <c r="D986" s="15" t="s">
        <v>202</v>
      </c>
      <c r="E986" s="16" t="str">
        <f>IFERROR(_xlfn.XLOOKUP(D986, tblCourses[CourseID], tblCourses[CourseName], ""), "")</f>
        <v>Maintenance Procedures &amp; Standard Maintenance Practices (Refresher)</v>
      </c>
      <c r="F986" s="17">
        <v>46073</v>
      </c>
      <c r="G986" s="17" cm="1">
        <f t="array" ref="G9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6" s="15">
        <f ca="1">IF(OR(tblTraining[[#This Row],[Status]]="Renewed",tblTraining[[#This Row],[NextDueDate]]=""),"",tblTraining[[#This Row],[NextDueDate]]-TODAY())</f>
        <v>517</v>
      </c>
      <c r="I986" s="15" t="str" cm="1">
        <f t="array" aca="1" ref="I9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7" spans="1:9" x14ac:dyDescent="0.25">
      <c r="A987" s="15">
        <f t="shared" si="15"/>
        <v>986</v>
      </c>
      <c r="B987" s="15" t="s">
        <v>93</v>
      </c>
      <c r="C987" s="15" t="str" cm="1">
        <f t="array" ref="C987">IFERROR(_xlfn.XLOOKUP(B987, tblPeople[PersonID], tblPeople[PersonName], ""), "")</f>
        <v>Stephen Tunje</v>
      </c>
      <c r="D987" s="15" t="s">
        <v>202</v>
      </c>
      <c r="E987" s="16" t="str">
        <f>IFERROR(_xlfn.XLOOKUP(D987, tblCourses[CourseID], tblCourses[CourseName], ""), "")</f>
        <v>Maintenance Procedures &amp; Standard Maintenance Practices (Refresher)</v>
      </c>
      <c r="F987" s="17">
        <v>46073</v>
      </c>
      <c r="G987" s="17" cm="1">
        <f t="array" ref="G9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7" s="15">
        <f ca="1">IF(OR(tblTraining[[#This Row],[Status]]="Renewed",tblTraining[[#This Row],[NextDueDate]]=""),"",tblTraining[[#This Row],[NextDueDate]]-TODAY())</f>
        <v>517</v>
      </c>
      <c r="I987" s="15" t="str" cm="1">
        <f t="array" aca="1" ref="I9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8" spans="1:9" x14ac:dyDescent="0.25">
      <c r="A988" s="15">
        <f t="shared" si="15"/>
        <v>987</v>
      </c>
      <c r="B988" s="15" t="s">
        <v>166</v>
      </c>
      <c r="C988" s="15" t="str" cm="1">
        <f t="array" ref="C988">IFERROR(_xlfn.XLOOKUP(B988, tblPeople[PersonID], tblPeople[PersonName], ""), "")</f>
        <v>Hannah Wambui</v>
      </c>
      <c r="D988" s="15" t="s">
        <v>202</v>
      </c>
      <c r="E988" s="16" t="str">
        <f>IFERROR(_xlfn.XLOOKUP(D988, tblCourses[CourseID], tblCourses[CourseName], ""), "")</f>
        <v>Maintenance Procedures &amp; Standard Maintenance Practices (Refresher)</v>
      </c>
      <c r="F988" s="17">
        <v>46073</v>
      </c>
      <c r="G988" s="17" cm="1">
        <f t="array" ref="G9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8" s="15">
        <f ca="1">IF(OR(tblTraining[[#This Row],[Status]]="Renewed",tblTraining[[#This Row],[NextDueDate]]=""),"",tblTraining[[#This Row],[NextDueDate]]-TODAY())</f>
        <v>517</v>
      </c>
      <c r="I988" s="15" t="str" cm="1">
        <f t="array" aca="1" ref="I9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9" spans="1:9" x14ac:dyDescent="0.25">
      <c r="A989" s="15">
        <f t="shared" si="15"/>
        <v>988</v>
      </c>
      <c r="B989" s="15" t="s">
        <v>157</v>
      </c>
      <c r="C989" s="15" t="str" cm="1">
        <f t="array" ref="C989">IFERROR(_xlfn.XLOOKUP(B989, tblPeople[PersonID], tblPeople[PersonName], ""), "")</f>
        <v>Stephen Mutambu</v>
      </c>
      <c r="D989" s="15" t="s">
        <v>185</v>
      </c>
      <c r="E989" s="16" t="str">
        <f>IFERROR(_xlfn.XLOOKUP(D989, tblCourses[CourseID], tblCourses[CourseName], ""), "")</f>
        <v>Leadership &amp; Management</v>
      </c>
      <c r="F989" s="17">
        <v>46045</v>
      </c>
      <c r="G989" s="17" t="str" cm="1">
        <f t="array" ref="G9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9" s="15" t="str">
        <f ca="1">IF(OR(tblTraining[[#This Row],[Status]]="Renewed",tblTraining[[#This Row],[NextDueDate]]=""),"",tblTraining[[#This Row],[NextDueDate]]-TODAY())</f>
        <v/>
      </c>
      <c r="I989" s="15" t="str" cm="1">
        <f t="array" aca="1" ref="I9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0" spans="1:9" x14ac:dyDescent="0.25">
      <c r="A990" s="15">
        <f t="shared" si="15"/>
        <v>989</v>
      </c>
      <c r="B990" s="15" t="s">
        <v>274</v>
      </c>
      <c r="C990" s="15" t="str" cm="1">
        <f t="array" ref="C990">IFERROR(_xlfn.XLOOKUP(B990, tblPeople[PersonID], tblPeople[PersonName], ""), "")</f>
        <v>Dorine Edna</v>
      </c>
      <c r="D990" s="15" t="s">
        <v>408</v>
      </c>
      <c r="E990" s="16" t="str">
        <f>IFERROR(_xlfn.XLOOKUP(D990, tblCourses[CourseID], tblCourses[CourseName], ""), "")</f>
        <v>Records Management</v>
      </c>
      <c r="F990" s="17">
        <v>45989</v>
      </c>
      <c r="G990" s="17" t="str" cm="1">
        <f t="array" ref="G9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0" s="15" t="str">
        <f ca="1">IF(OR(tblTraining[[#This Row],[Status]]="Renewed",tblTraining[[#This Row],[NextDueDate]]=""),"",tblTraining[[#This Row],[NextDueDate]]-TODAY())</f>
        <v/>
      </c>
      <c r="I990" s="15" t="str" cm="1">
        <f t="array" aca="1" ref="I9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1" spans="1:9" x14ac:dyDescent="0.25">
      <c r="A991" s="15">
        <f t="shared" si="15"/>
        <v>990</v>
      </c>
      <c r="B991" s="15" t="s">
        <v>119</v>
      </c>
      <c r="C991" s="15" t="str" cm="1">
        <f t="array" ref="C991">IFERROR(_xlfn.XLOOKUP(B991, tblPeople[PersonID], tblPeople[PersonName], ""), "")</f>
        <v>Walter Edupu</v>
      </c>
      <c r="D991" s="15" t="s">
        <v>408</v>
      </c>
      <c r="E991" s="16" t="str">
        <f>IFERROR(_xlfn.XLOOKUP(D991, tblCourses[CourseID], tblCourses[CourseName], ""), "")</f>
        <v>Records Management</v>
      </c>
      <c r="F991" s="17">
        <v>45989</v>
      </c>
      <c r="G991" s="17" t="str" cm="1">
        <f t="array" ref="G9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1" s="15" t="str">
        <f ca="1">IF(OR(tblTraining[[#This Row],[Status]]="Renewed",tblTraining[[#This Row],[NextDueDate]]=""),"",tblTraining[[#This Row],[NextDueDate]]-TODAY())</f>
        <v/>
      </c>
      <c r="I991" s="15" t="str" cm="1">
        <f t="array" aca="1" ref="I9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2" spans="1:9" x14ac:dyDescent="0.25">
      <c r="A992" s="15">
        <f t="shared" si="15"/>
        <v>991</v>
      </c>
      <c r="B992" s="15" t="s">
        <v>89</v>
      </c>
      <c r="C992" s="15" t="str" cm="1">
        <f t="array" ref="C992">IFERROR(_xlfn.XLOOKUP(B992, tblPeople[PersonID], tblPeople[PersonName], ""), "")</f>
        <v>Elina Guda</v>
      </c>
      <c r="D992" s="15" t="s">
        <v>408</v>
      </c>
      <c r="E992" s="16" t="str">
        <f>IFERROR(_xlfn.XLOOKUP(D992, tblCourses[CourseID], tblCourses[CourseName], ""), "")</f>
        <v>Records Management</v>
      </c>
      <c r="F992" s="17">
        <v>45989</v>
      </c>
      <c r="G992" s="17" t="str" cm="1">
        <f t="array" ref="G9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2" s="15" t="str">
        <f ca="1">IF(OR(tblTraining[[#This Row],[Status]]="Renewed",tblTraining[[#This Row],[NextDueDate]]=""),"",tblTraining[[#This Row],[NextDueDate]]-TODAY())</f>
        <v/>
      </c>
      <c r="I992" s="15" t="str" cm="1">
        <f t="array" aca="1" ref="I9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3" spans="1:9" x14ac:dyDescent="0.25">
      <c r="A993" s="15">
        <f t="shared" si="15"/>
        <v>992</v>
      </c>
      <c r="B993" s="15" t="s">
        <v>409</v>
      </c>
      <c r="C993" s="15" t="str" cm="1">
        <f t="array" ref="C993">IFERROR(_xlfn.XLOOKUP(B993, tblPeople[PersonID], tblPeople[PersonName], ""), "")</f>
        <v>Venessa Ikileng'</v>
      </c>
      <c r="D993" s="15" t="s">
        <v>408</v>
      </c>
      <c r="E993" s="16" t="str">
        <f>IFERROR(_xlfn.XLOOKUP(D993, tblCourses[CourseID], tblCourses[CourseName], ""), "")</f>
        <v>Records Management</v>
      </c>
      <c r="F993" s="17">
        <v>45989</v>
      </c>
      <c r="G993" s="17" t="str" cm="1">
        <f t="array" ref="G9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3" s="15" t="str">
        <f ca="1">IF(OR(tblTraining[[#This Row],[Status]]="Renewed",tblTraining[[#This Row],[NextDueDate]]=""),"",tblTraining[[#This Row],[NextDueDate]]-TODAY())</f>
        <v/>
      </c>
      <c r="I993" s="15" t="str" cm="1">
        <f t="array" aca="1" ref="I9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4" spans="1:9" x14ac:dyDescent="0.25">
      <c r="A994" s="15">
        <f t="shared" si="15"/>
        <v>993</v>
      </c>
      <c r="B994" s="15" t="s">
        <v>410</v>
      </c>
      <c r="C994" s="15" t="str" cm="1">
        <f t="array" ref="C994">IFERROR(_xlfn.XLOOKUP(B994, tblPeople[PersonID], tblPeople[PersonName], ""), "")</f>
        <v>Prudence Muhami</v>
      </c>
      <c r="D994" s="15" t="s">
        <v>408</v>
      </c>
      <c r="E994" s="16" t="str">
        <f>IFERROR(_xlfn.XLOOKUP(D994, tblCourses[CourseID], tblCourses[CourseName], ""), "")</f>
        <v>Records Management</v>
      </c>
      <c r="F994" s="17">
        <v>45989</v>
      </c>
      <c r="G994" s="17" t="str" cm="1">
        <f t="array" ref="G9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4" s="15" t="str">
        <f ca="1">IF(OR(tblTraining[[#This Row],[Status]]="Renewed",tblTraining[[#This Row],[NextDueDate]]=""),"",tblTraining[[#This Row],[NextDueDate]]-TODAY())</f>
        <v/>
      </c>
      <c r="I994" s="15" t="str" cm="1">
        <f t="array" aca="1" ref="I9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5" spans="1:9" x14ac:dyDescent="0.25">
      <c r="A995" s="15">
        <f t="shared" si="15"/>
        <v>994</v>
      </c>
      <c r="B995" s="15" t="s">
        <v>157</v>
      </c>
      <c r="C995" s="15" t="str" cm="1">
        <f t="array" ref="C995">IFERROR(_xlfn.XLOOKUP(B995, tblPeople[PersonID], tblPeople[PersonName], ""), "")</f>
        <v>Stephen Mutambu</v>
      </c>
      <c r="D995" s="15" t="s">
        <v>408</v>
      </c>
      <c r="E995" s="16" t="str">
        <f>IFERROR(_xlfn.XLOOKUP(D995, tblCourses[CourseID], tblCourses[CourseName], ""), "")</f>
        <v>Records Management</v>
      </c>
      <c r="F995" s="17">
        <v>45989</v>
      </c>
      <c r="G995" s="17" t="str" cm="1">
        <f t="array" ref="G9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5" s="15" t="str">
        <f ca="1">IF(OR(tblTraining[[#This Row],[Status]]="Renewed",tblTraining[[#This Row],[NextDueDate]]=""),"",tblTraining[[#This Row],[NextDueDate]]-TODAY())</f>
        <v/>
      </c>
      <c r="I995" s="15" t="str" cm="1">
        <f t="array" aca="1" ref="I9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6" spans="1:9" x14ac:dyDescent="0.25">
      <c r="A996" s="15">
        <f t="shared" si="15"/>
        <v>995</v>
      </c>
      <c r="B996" s="15" t="s">
        <v>154</v>
      </c>
      <c r="C996" s="15" t="str" cm="1">
        <f t="array" ref="C996">IFERROR(_xlfn.XLOOKUP(B996, tblPeople[PersonID], tblPeople[PersonName], ""), "")</f>
        <v>Judith Wandera</v>
      </c>
      <c r="D996" s="15" t="s">
        <v>408</v>
      </c>
      <c r="E996" s="16" t="str">
        <f>IFERROR(_xlfn.XLOOKUP(D996, tblCourses[CourseID], tblCourses[CourseName], ""), "")</f>
        <v>Records Management</v>
      </c>
      <c r="F996" s="17">
        <v>45989</v>
      </c>
      <c r="G996" s="17" t="str" cm="1">
        <f t="array" ref="G9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6" s="15" t="str">
        <f ca="1">IF(OR(tblTraining[[#This Row],[Status]]="Renewed",tblTraining[[#This Row],[NextDueDate]]=""),"",tblTraining[[#This Row],[NextDueDate]]-TODAY())</f>
        <v/>
      </c>
      <c r="I996" s="15" t="str" cm="1">
        <f t="array" aca="1" ref="I9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7" spans="1:9" x14ac:dyDescent="0.25">
      <c r="A997" s="15">
        <f t="shared" si="15"/>
        <v>996</v>
      </c>
      <c r="B997" s="15" t="s">
        <v>413</v>
      </c>
      <c r="C997" s="15" t="str" cm="1">
        <f t="array" ref="C997">IFERROR(_xlfn.XLOOKUP(B997, tblPeople[PersonID], tblPeople[PersonName], ""), "")</f>
        <v>James Muisyo</v>
      </c>
      <c r="D997" s="15" t="s">
        <v>412</v>
      </c>
      <c r="E997" s="16" t="str">
        <f>IFERROR(_xlfn.XLOOKUP(D997, tblCourses[CourseID], tblCourses[CourseName], ""), "")</f>
        <v>Aviation Documentation Management and Control</v>
      </c>
      <c r="F997" s="17">
        <v>46080</v>
      </c>
      <c r="G997" s="17" t="str" cm="1">
        <f t="array" ref="G9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7" s="15" t="str">
        <f ca="1">IF(OR(tblTraining[[#This Row],[Status]]="Renewed",tblTraining[[#This Row],[NextDueDate]]=""),"",tblTraining[[#This Row],[NextDueDate]]-TODAY())</f>
        <v/>
      </c>
      <c r="I997" s="15" t="str" cm="1">
        <f t="array" aca="1" ref="I9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8" spans="1:9" x14ac:dyDescent="0.25">
      <c r="A998" s="15">
        <f t="shared" si="15"/>
        <v>997</v>
      </c>
      <c r="B998" s="15" t="s">
        <v>85</v>
      </c>
      <c r="C998" s="15" t="str" cm="1">
        <f t="array" ref="C998">IFERROR(_xlfn.XLOOKUP(B998, tblPeople[PersonID], tblPeople[PersonName], ""), "")</f>
        <v>Titus Shunza</v>
      </c>
      <c r="D998" s="15" t="s">
        <v>412</v>
      </c>
      <c r="E998" s="16" t="str">
        <f>IFERROR(_xlfn.XLOOKUP(D998, tblCourses[CourseID], tblCourses[CourseName], ""), "")</f>
        <v>Aviation Documentation Management and Control</v>
      </c>
      <c r="F998" s="17">
        <v>46080</v>
      </c>
      <c r="G998" s="17" t="str" cm="1">
        <f t="array" ref="G9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8" s="15" t="str">
        <f ca="1">IF(OR(tblTraining[[#This Row],[Status]]="Renewed",tblTraining[[#This Row],[NextDueDate]]=""),"",tblTraining[[#This Row],[NextDueDate]]-TODAY())</f>
        <v/>
      </c>
      <c r="I998" s="15" t="str" cm="1">
        <f t="array" aca="1" ref="I9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9" spans="1:9" x14ac:dyDescent="0.25">
      <c r="A999" s="15">
        <f t="shared" si="15"/>
        <v>998</v>
      </c>
      <c r="B999" s="15" t="s">
        <v>103</v>
      </c>
      <c r="C999" s="15" t="str" cm="1">
        <f t="array" ref="C999">IFERROR(_xlfn.XLOOKUP(B999, tblPeople[PersonID], tblPeople[PersonName], ""), "")</f>
        <v>Smith Harun</v>
      </c>
      <c r="D999" s="15" t="s">
        <v>25</v>
      </c>
      <c r="E999" s="16" t="str">
        <f>IFERROR(_xlfn.XLOOKUP(D999, tblCourses[CourseID], tblCourses[CourseName], ""), "")</f>
        <v>Pratt &amp; Whitney Canada PT6A Engine With P&amp;WC PT6A
20/ 27/ 41/ 42/ 60A/ 67D/ 112/ 114A/ 140 (Refresher)</v>
      </c>
      <c r="F999" s="17">
        <v>46059</v>
      </c>
      <c r="G999" s="17" cm="1">
        <f t="array" ref="G9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99" s="15">
        <f ca="1">IF(OR(tblTraining[[#This Row],[Status]]="Renewed",tblTraining[[#This Row],[NextDueDate]]=""),"",tblTraining[[#This Row],[NextDueDate]]-TODAY())</f>
        <v>503</v>
      </c>
      <c r="I999" s="15" t="str" cm="1">
        <f t="array" aca="1" ref="I9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0" spans="1:9" x14ac:dyDescent="0.25">
      <c r="A1000" s="15">
        <f t="shared" si="15"/>
        <v>999</v>
      </c>
      <c r="B1000" s="15" t="s">
        <v>150</v>
      </c>
      <c r="C1000" s="15" t="str" cm="1">
        <f t="array" ref="C1000">IFERROR(_xlfn.XLOOKUP(B1000, tblPeople[PersonID], tblPeople[PersonName], ""), "")</f>
        <v>Kea Kazungu</v>
      </c>
      <c r="D1000" s="15" t="s">
        <v>25</v>
      </c>
      <c r="E1000" s="16" t="str">
        <f>IFERROR(_xlfn.XLOOKUP(D1000, tblCourses[CourseID], tblCourses[CourseName], ""), "")</f>
        <v>Pratt &amp; Whitney Canada PT6A Engine With P&amp;WC PT6A
20/ 27/ 41/ 42/ 60A/ 67D/ 112/ 114A/ 140 (Refresher)</v>
      </c>
      <c r="F1000" s="17">
        <v>46059</v>
      </c>
      <c r="G1000" s="17" cm="1">
        <f t="array" ref="G10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1000" s="15">
        <f ca="1">IF(OR(tblTraining[[#This Row],[Status]]="Renewed",tblTraining[[#This Row],[NextDueDate]]=""),"",tblTraining[[#This Row],[NextDueDate]]-TODAY())</f>
        <v>503</v>
      </c>
      <c r="I1000" s="15" t="str" cm="1">
        <f t="array" aca="1" ref="I10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1" spans="1:9" x14ac:dyDescent="0.25">
      <c r="A1001" s="15">
        <f t="shared" si="15"/>
        <v>1000</v>
      </c>
      <c r="B1001" s="15" t="s">
        <v>102</v>
      </c>
      <c r="C1001" s="15" t="str" cm="1">
        <f t="array" ref="C1001">IFERROR(_xlfn.XLOOKUP(B1001, tblPeople[PersonID], tblPeople[PersonName], ""), "")</f>
        <v>William Mlati</v>
      </c>
      <c r="D1001" s="15" t="s">
        <v>25</v>
      </c>
      <c r="E1001" s="16" t="str">
        <f>IFERROR(_xlfn.XLOOKUP(D1001, tblCourses[CourseID], tblCourses[CourseName], ""), "")</f>
        <v>Pratt &amp; Whitney Canada PT6A Engine With P&amp;WC PT6A
20/ 27/ 41/ 42/ 60A/ 67D/ 112/ 114A/ 140 (Refresher)</v>
      </c>
      <c r="F1001" s="17">
        <v>46059</v>
      </c>
      <c r="G1001" s="17" cm="1">
        <f t="array" ref="G10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1001" s="15">
        <f ca="1">IF(OR(tblTraining[[#This Row],[Status]]="Renewed",tblTraining[[#This Row],[NextDueDate]]=""),"",tblTraining[[#This Row],[NextDueDate]]-TODAY())</f>
        <v>503</v>
      </c>
      <c r="I1001" s="15" t="str" cm="1">
        <f t="array" aca="1" ref="I10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2" spans="1:9" x14ac:dyDescent="0.25">
      <c r="A1002" s="15">
        <f t="shared" si="15"/>
        <v>1001</v>
      </c>
      <c r="B1002" s="15" t="s">
        <v>82</v>
      </c>
      <c r="C1002" s="15" t="str" cm="1">
        <f t="array" ref="C1002">IFERROR(_xlfn.XLOOKUP(B1002, tblPeople[PersonID], tblPeople[PersonName], ""), "")</f>
        <v>Philip Mwania</v>
      </c>
      <c r="D1002" s="15" t="s">
        <v>25</v>
      </c>
      <c r="E1002" s="16" t="str">
        <f>IFERROR(_xlfn.XLOOKUP(D1002, tblCourses[CourseID], tblCourses[CourseName], ""), "")</f>
        <v>Pratt &amp; Whitney Canada PT6A Engine With P&amp;WC PT6A
20/ 27/ 41/ 42/ 60A/ 67D/ 112/ 114A/ 140 (Refresher)</v>
      </c>
      <c r="F1002" s="17">
        <v>46059</v>
      </c>
      <c r="G1002" s="17" cm="1">
        <f t="array" ref="G10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1002" s="15">
        <f ca="1">IF(OR(tblTraining[[#This Row],[Status]]="Renewed",tblTraining[[#This Row],[NextDueDate]]=""),"",tblTraining[[#This Row],[NextDueDate]]-TODAY())</f>
        <v>503</v>
      </c>
      <c r="I1002" s="15" t="str" cm="1">
        <f t="array" aca="1" ref="I10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3" spans="1:9" x14ac:dyDescent="0.25">
      <c r="A1003" s="15">
        <f t="shared" si="15"/>
        <v>1002</v>
      </c>
      <c r="B1003" s="15" t="s">
        <v>85</v>
      </c>
      <c r="C1003" s="15" t="str" cm="1">
        <f t="array" ref="C1003">IFERROR(_xlfn.XLOOKUP(B1003, tblPeople[PersonID], tblPeople[PersonName], ""), "")</f>
        <v>Titus Shunza</v>
      </c>
      <c r="D1003" s="15" t="s">
        <v>25</v>
      </c>
      <c r="E1003" s="16" t="str">
        <f>IFERROR(_xlfn.XLOOKUP(D1003, tblCourses[CourseID], tblCourses[CourseName], ""), "")</f>
        <v>Pratt &amp; Whitney Canada PT6A Engine With P&amp;WC PT6A
20/ 27/ 41/ 42/ 60A/ 67D/ 112/ 114A/ 140 (Refresher)</v>
      </c>
      <c r="F1003" s="17">
        <v>46059</v>
      </c>
      <c r="G1003" s="17" cm="1">
        <f t="array" ref="G10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1003" s="15">
        <f ca="1">IF(OR(tblTraining[[#This Row],[Status]]="Renewed",tblTraining[[#This Row],[NextDueDate]]=""),"",tblTraining[[#This Row],[NextDueDate]]-TODAY())</f>
        <v>503</v>
      </c>
      <c r="I1003" s="15" t="str" cm="1">
        <f t="array" aca="1" ref="I10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4" spans="1:9" x14ac:dyDescent="0.25">
      <c r="A1004" s="15">
        <f t="shared" si="15"/>
        <v>1003</v>
      </c>
      <c r="B1004" s="15" t="s">
        <v>409</v>
      </c>
      <c r="C1004" s="15" t="str" cm="1">
        <f t="array" ref="C1004">IFERROR(_xlfn.XLOOKUP(B1004, tblPeople[PersonID], tblPeople[PersonName], ""), "")</f>
        <v>Venessa Ikileng'</v>
      </c>
      <c r="D1004" s="15" t="s">
        <v>407</v>
      </c>
      <c r="E1004" s="16" t="str">
        <f>IFERROR(_xlfn.XLOOKUP(D1004, tblCourses[CourseID], tblCourses[CourseName], ""), "")</f>
        <v>Maintenance Planning &amp; Production Control</v>
      </c>
      <c r="F1004" s="17">
        <v>45996</v>
      </c>
      <c r="G1004" s="17" t="str" cm="1">
        <f t="array" ref="G10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4" s="15" t="str">
        <f ca="1">IF(OR(tblTraining[[#This Row],[Status]]="Renewed",tblTraining[[#This Row],[NextDueDate]]=""),"",tblTraining[[#This Row],[NextDueDate]]-TODAY())</f>
        <v/>
      </c>
      <c r="I1004" s="15" t="str" cm="1">
        <f t="array" aca="1" ref="I10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5" spans="1:9" x14ac:dyDescent="0.25">
      <c r="A1005" s="15">
        <f t="shared" si="15"/>
        <v>1004</v>
      </c>
      <c r="B1005" s="15" t="s">
        <v>154</v>
      </c>
      <c r="C1005" s="15" t="str" cm="1">
        <f t="array" ref="C1005">IFERROR(_xlfn.XLOOKUP(B1005, tblPeople[PersonID], tblPeople[PersonName], ""), "")</f>
        <v>Judith Wandera</v>
      </c>
      <c r="D1005" s="15" t="s">
        <v>407</v>
      </c>
      <c r="E1005" s="16" t="str">
        <f>IFERROR(_xlfn.XLOOKUP(D1005, tblCourses[CourseID], tblCourses[CourseName], ""), "")</f>
        <v>Maintenance Planning &amp; Production Control</v>
      </c>
      <c r="F1005" s="17">
        <v>45996</v>
      </c>
      <c r="G1005" s="17" t="str" cm="1">
        <f t="array" ref="G10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5" s="15" t="str">
        <f ca="1">IF(OR(tblTraining[[#This Row],[Status]]="Renewed",tblTraining[[#This Row],[NextDueDate]]=""),"",tblTraining[[#This Row],[NextDueDate]]-TODAY())</f>
        <v/>
      </c>
      <c r="I1005" s="15" t="str" cm="1">
        <f t="array" aca="1" ref="I10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6" spans="1:9" x14ac:dyDescent="0.25">
      <c r="A1006" s="15">
        <f t="shared" si="15"/>
        <v>1005</v>
      </c>
      <c r="B1006" s="15" t="s">
        <v>274</v>
      </c>
      <c r="C1006" s="15" t="str" cm="1">
        <f t="array" ref="C1006">IFERROR(_xlfn.XLOOKUP(B1006, tblPeople[PersonID], tblPeople[PersonName], ""), "")</f>
        <v>Dorine Edna</v>
      </c>
      <c r="D1006" s="15" t="s">
        <v>407</v>
      </c>
      <c r="E1006" s="16" t="str">
        <f>IFERROR(_xlfn.XLOOKUP(D1006, tblCourses[CourseID], tblCourses[CourseName], ""), "")</f>
        <v>Maintenance Planning &amp; Production Control</v>
      </c>
      <c r="F1006" s="17">
        <v>45996</v>
      </c>
      <c r="G1006" s="17" t="str" cm="1">
        <f t="array" ref="G10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6" s="15" t="str">
        <f ca="1">IF(OR(tblTraining[[#This Row],[Status]]="Renewed",tblTraining[[#This Row],[NextDueDate]]=""),"",tblTraining[[#This Row],[NextDueDate]]-TODAY())</f>
        <v/>
      </c>
      <c r="I1006" s="15" t="str" cm="1">
        <f t="array" aca="1" ref="I10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7" spans="1:9" x14ac:dyDescent="0.25">
      <c r="A1007" s="15">
        <f t="shared" si="15"/>
        <v>1006</v>
      </c>
      <c r="B1007" s="15" t="s">
        <v>119</v>
      </c>
      <c r="C1007" s="15" t="str" cm="1">
        <f t="array" ref="C1007">IFERROR(_xlfn.XLOOKUP(B1007, tblPeople[PersonID], tblPeople[PersonName], ""), "")</f>
        <v>Walter Edupu</v>
      </c>
      <c r="D1007" s="15" t="s">
        <v>407</v>
      </c>
      <c r="E1007" s="16" t="str">
        <f>IFERROR(_xlfn.XLOOKUP(D1007, tblCourses[CourseID], tblCourses[CourseName], ""), "")</f>
        <v>Maintenance Planning &amp; Production Control</v>
      </c>
      <c r="F1007" s="17">
        <v>45996</v>
      </c>
      <c r="G1007" s="17" t="str" cm="1">
        <f t="array" ref="G10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7" s="15" t="str">
        <f ca="1">IF(OR(tblTraining[[#This Row],[Status]]="Renewed",tblTraining[[#This Row],[NextDueDate]]=""),"",tblTraining[[#This Row],[NextDueDate]]-TODAY())</f>
        <v/>
      </c>
      <c r="I1007" s="15" t="str" cm="1">
        <f t="array" aca="1" ref="I10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8" spans="1:9" x14ac:dyDescent="0.25">
      <c r="A1008" s="15">
        <f t="shared" si="15"/>
        <v>1007</v>
      </c>
      <c r="B1008" s="15" t="s">
        <v>89</v>
      </c>
      <c r="C1008" s="15" t="str" cm="1">
        <f t="array" ref="C1008">IFERROR(_xlfn.XLOOKUP(B1008, tblPeople[PersonID], tblPeople[PersonName], ""), "")</f>
        <v>Elina Guda</v>
      </c>
      <c r="D1008" s="15" t="s">
        <v>407</v>
      </c>
      <c r="E1008" s="16" t="str">
        <f>IFERROR(_xlfn.XLOOKUP(D1008, tblCourses[CourseID], tblCourses[CourseName], ""), "")</f>
        <v>Maintenance Planning &amp; Production Control</v>
      </c>
      <c r="F1008" s="17">
        <v>45996</v>
      </c>
      <c r="G1008" s="17" t="str" cm="1">
        <f t="array" ref="G10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8" s="15" t="str">
        <f ca="1">IF(OR(tblTraining[[#This Row],[Status]]="Renewed",tblTraining[[#This Row],[NextDueDate]]=""),"",tblTraining[[#This Row],[NextDueDate]]-TODAY())</f>
        <v/>
      </c>
      <c r="I1008" s="15" t="str" cm="1">
        <f t="array" aca="1" ref="I10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9" spans="1:9" x14ac:dyDescent="0.25">
      <c r="A1009" s="15">
        <f t="shared" si="15"/>
        <v>1008</v>
      </c>
      <c r="B1009" s="15" t="s">
        <v>410</v>
      </c>
      <c r="C1009" s="15" t="str" cm="1">
        <f t="array" ref="C1009">IFERROR(_xlfn.XLOOKUP(B1009, tblPeople[PersonID], tblPeople[PersonName], ""), "")</f>
        <v>Prudence Muhami</v>
      </c>
      <c r="D1009" s="15" t="s">
        <v>407</v>
      </c>
      <c r="E1009" s="16" t="str">
        <f>IFERROR(_xlfn.XLOOKUP(D1009, tblCourses[CourseID], tblCourses[CourseName], ""), "")</f>
        <v>Maintenance Planning &amp; Production Control</v>
      </c>
      <c r="F1009" s="17">
        <v>45996</v>
      </c>
      <c r="G1009" s="17" t="str" cm="1">
        <f t="array" ref="G10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9" s="15" t="str">
        <f ca="1">IF(OR(tblTraining[[#This Row],[Status]]="Renewed",tblTraining[[#This Row],[NextDueDate]]=""),"",tblTraining[[#This Row],[NextDueDate]]-TODAY())</f>
        <v/>
      </c>
      <c r="I1009" s="15" t="str" cm="1">
        <f t="array" aca="1" ref="I10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0" spans="1:9" x14ac:dyDescent="0.25">
      <c r="A1010" s="15">
        <f t="shared" si="15"/>
        <v>1009</v>
      </c>
      <c r="B1010" s="15" t="s">
        <v>117</v>
      </c>
      <c r="C1010" s="15" t="str" cm="1">
        <f t="array" ref="C1010">IFERROR(_xlfn.XLOOKUP(B1010, tblPeople[PersonID], tblPeople[PersonName], ""), "")</f>
        <v>Mercy Etende</v>
      </c>
      <c r="D1010" s="15" t="s">
        <v>202</v>
      </c>
      <c r="E1010" s="16" t="str">
        <f>IFERROR(_xlfn.XLOOKUP(D1010, tblCourses[CourseID], tblCourses[CourseName], ""), "")</f>
        <v>Maintenance Procedures &amp; Standard Maintenance Practices (Refresher)</v>
      </c>
      <c r="F1010" s="17">
        <v>46079</v>
      </c>
      <c r="G1010" s="17" cm="1">
        <f t="array" ref="G10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0" s="15">
        <f ca="1">IF(OR(tblTraining[[#This Row],[Status]]="Renewed",tblTraining[[#This Row],[NextDueDate]]=""),"",tblTraining[[#This Row],[NextDueDate]]-TODAY())</f>
        <v>523</v>
      </c>
      <c r="I1010" s="15" t="str" cm="1">
        <f t="array" aca="1" ref="I10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1" spans="1:9" x14ac:dyDescent="0.25">
      <c r="A1011" s="15">
        <f t="shared" si="15"/>
        <v>1010</v>
      </c>
      <c r="B1011" s="15" t="s">
        <v>103</v>
      </c>
      <c r="C1011" s="15" t="str" cm="1">
        <f t="array" ref="C1011">IFERROR(_xlfn.XLOOKUP(B1011, tblPeople[PersonID], tblPeople[PersonName], ""), "")</f>
        <v>Smith Harun</v>
      </c>
      <c r="D1011" s="15" t="s">
        <v>202</v>
      </c>
      <c r="E1011" s="16" t="str">
        <f>IFERROR(_xlfn.XLOOKUP(D1011, tblCourses[CourseID], tblCourses[CourseName], ""), "")</f>
        <v>Maintenance Procedures &amp; Standard Maintenance Practices (Refresher)</v>
      </c>
      <c r="F1011" s="17">
        <v>46079</v>
      </c>
      <c r="G1011" s="17" cm="1">
        <f t="array" ref="G10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1" s="15">
        <f ca="1">IF(OR(tblTraining[[#This Row],[Status]]="Renewed",tblTraining[[#This Row],[NextDueDate]]=""),"",tblTraining[[#This Row],[NextDueDate]]-TODAY())</f>
        <v>523</v>
      </c>
      <c r="I1011" s="15" t="str" cm="1">
        <f t="array" aca="1" ref="I10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2" spans="1:9" x14ac:dyDescent="0.25">
      <c r="A1012" s="15">
        <f t="shared" si="15"/>
        <v>1011</v>
      </c>
      <c r="B1012" s="15" t="s">
        <v>83</v>
      </c>
      <c r="C1012" s="15" t="str" cm="1">
        <f t="array" ref="C1012">IFERROR(_xlfn.XLOOKUP(B1012, tblPeople[PersonID], tblPeople[PersonName], ""), "")</f>
        <v>Wycliffe Kanana</v>
      </c>
      <c r="D1012" s="15" t="s">
        <v>202</v>
      </c>
      <c r="E1012" s="16" t="str">
        <f>IFERROR(_xlfn.XLOOKUP(D1012, tblCourses[CourseID], tblCourses[CourseName], ""), "")</f>
        <v>Maintenance Procedures &amp; Standard Maintenance Practices (Refresher)</v>
      </c>
      <c r="F1012" s="17">
        <v>46079</v>
      </c>
      <c r="G1012" s="17" cm="1">
        <f t="array" ref="G10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2" s="15">
        <f ca="1">IF(OR(tblTraining[[#This Row],[Status]]="Renewed",tblTraining[[#This Row],[NextDueDate]]=""),"",tblTraining[[#This Row],[NextDueDate]]-TODAY())</f>
        <v>523</v>
      </c>
      <c r="I1012" s="15" t="str" cm="1">
        <f t="array" aca="1" ref="I10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3" spans="1:9" x14ac:dyDescent="0.25">
      <c r="A1013" s="15">
        <f t="shared" si="15"/>
        <v>1012</v>
      </c>
      <c r="B1013" s="15" t="s">
        <v>99</v>
      </c>
      <c r="C1013" s="15" t="str" cm="1">
        <f t="array" ref="C1013">IFERROR(_xlfn.XLOOKUP(B1013, tblPeople[PersonID], tblPeople[PersonName], ""), "")</f>
        <v>Bernard Kibiwott</v>
      </c>
      <c r="D1013" s="15" t="s">
        <v>202</v>
      </c>
      <c r="E1013" s="16" t="str">
        <f>IFERROR(_xlfn.XLOOKUP(D1013, tblCourses[CourseID], tblCourses[CourseName], ""), "")</f>
        <v>Maintenance Procedures &amp; Standard Maintenance Practices (Refresher)</v>
      </c>
      <c r="F1013" s="17">
        <v>46079</v>
      </c>
      <c r="G1013" s="17" cm="1">
        <f t="array" ref="G10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3" s="15">
        <f ca="1">IF(OR(tblTraining[[#This Row],[Status]]="Renewed",tblTraining[[#This Row],[NextDueDate]]=""),"",tblTraining[[#This Row],[NextDueDate]]-TODAY())</f>
        <v>523</v>
      </c>
      <c r="I1013" s="15" t="str" cm="1">
        <f t="array" aca="1" ref="I10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4" spans="1:9" x14ac:dyDescent="0.25">
      <c r="A1014" s="15">
        <f t="shared" si="15"/>
        <v>1013</v>
      </c>
      <c r="B1014" s="15" t="s">
        <v>91</v>
      </c>
      <c r="C1014" s="15" t="str" cm="1">
        <f t="array" ref="C1014">IFERROR(_xlfn.XLOOKUP(B1014, tblPeople[PersonID], tblPeople[PersonName], ""), "")</f>
        <v>Dunstan Kwalanda</v>
      </c>
      <c r="D1014" s="15" t="s">
        <v>202</v>
      </c>
      <c r="E1014" s="16" t="str">
        <f>IFERROR(_xlfn.XLOOKUP(D1014, tblCourses[CourseID], tblCourses[CourseName], ""), "")</f>
        <v>Maintenance Procedures &amp; Standard Maintenance Practices (Refresher)</v>
      </c>
      <c r="F1014" s="17">
        <v>46079</v>
      </c>
      <c r="G1014" s="17" cm="1">
        <f t="array" ref="G10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4" s="15">
        <f ca="1">IF(OR(tblTraining[[#This Row],[Status]]="Renewed",tblTraining[[#This Row],[NextDueDate]]=""),"",tblTraining[[#This Row],[NextDueDate]]-TODAY())</f>
        <v>523</v>
      </c>
      <c r="I1014" s="15" t="str" cm="1">
        <f t="array" aca="1" ref="I10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5" spans="1:9" x14ac:dyDescent="0.25">
      <c r="A1015" s="15">
        <f t="shared" si="15"/>
        <v>1014</v>
      </c>
      <c r="B1015" s="15" t="s">
        <v>156</v>
      </c>
      <c r="C1015" s="15" t="str" cm="1">
        <f t="array" ref="C1015">IFERROR(_xlfn.XLOOKUP(B1015, tblPeople[PersonID], tblPeople[PersonName], ""), "")</f>
        <v>Urbanus Muema</v>
      </c>
      <c r="D1015" s="15" t="s">
        <v>202</v>
      </c>
      <c r="E1015" s="16" t="str">
        <f>IFERROR(_xlfn.XLOOKUP(D1015, tblCourses[CourseID], tblCourses[CourseName], ""), "")</f>
        <v>Maintenance Procedures &amp; Standard Maintenance Practices (Refresher)</v>
      </c>
      <c r="F1015" s="17">
        <v>46079</v>
      </c>
      <c r="G1015" s="17" cm="1">
        <f t="array" ref="G10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5" s="15">
        <f ca="1">IF(OR(tblTraining[[#This Row],[Status]]="Renewed",tblTraining[[#This Row],[NextDueDate]]=""),"",tblTraining[[#This Row],[NextDueDate]]-TODAY())</f>
        <v>523</v>
      </c>
      <c r="I1015" s="15" t="str" cm="1">
        <f t="array" aca="1" ref="I10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6" spans="1:9" x14ac:dyDescent="0.25">
      <c r="A1016" s="15">
        <f t="shared" si="15"/>
        <v>1015</v>
      </c>
      <c r="B1016" s="15" t="s">
        <v>84</v>
      </c>
      <c r="C1016" s="15" t="str" cm="1">
        <f t="array" ref="C1016">IFERROR(_xlfn.XLOOKUP(B1016, tblPeople[PersonID], tblPeople[PersonName], ""), "")</f>
        <v>Patrick Musau</v>
      </c>
      <c r="D1016" s="15" t="s">
        <v>202</v>
      </c>
      <c r="E1016" s="16" t="str">
        <f>IFERROR(_xlfn.XLOOKUP(D1016, tblCourses[CourseID], tblCourses[CourseName], ""), "")</f>
        <v>Maintenance Procedures &amp; Standard Maintenance Practices (Refresher)</v>
      </c>
      <c r="F1016" s="17">
        <v>46079</v>
      </c>
      <c r="G1016" s="17" cm="1">
        <f t="array" ref="G10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6" s="15">
        <f ca="1">IF(OR(tblTraining[[#This Row],[Status]]="Renewed",tblTraining[[#This Row],[NextDueDate]]=""),"",tblTraining[[#This Row],[NextDueDate]]-TODAY())</f>
        <v>523</v>
      </c>
      <c r="I1016" s="15" t="str" cm="1">
        <f t="array" aca="1" ref="I10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7" spans="1:9" x14ac:dyDescent="0.25">
      <c r="A1017" s="15">
        <f t="shared" si="15"/>
        <v>1016</v>
      </c>
      <c r="B1017" s="15" t="s">
        <v>82</v>
      </c>
      <c r="C1017" s="15" t="str" cm="1">
        <f t="array" ref="C1017">IFERROR(_xlfn.XLOOKUP(B1017, tblPeople[PersonID], tblPeople[PersonName], ""), "")</f>
        <v>Philip Mwania</v>
      </c>
      <c r="D1017" s="15" t="s">
        <v>202</v>
      </c>
      <c r="E1017" s="16" t="str">
        <f>IFERROR(_xlfn.XLOOKUP(D1017, tblCourses[CourseID], tblCourses[CourseName], ""), "")</f>
        <v>Maintenance Procedures &amp; Standard Maintenance Practices (Refresher)</v>
      </c>
      <c r="F1017" s="17">
        <v>46079</v>
      </c>
      <c r="G1017" s="17" cm="1">
        <f t="array" ref="G10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7" s="15">
        <f ca="1">IF(OR(tblTraining[[#This Row],[Status]]="Renewed",tblTraining[[#This Row],[NextDueDate]]=""),"",tblTraining[[#This Row],[NextDueDate]]-TODAY())</f>
        <v>523</v>
      </c>
      <c r="I1017" s="15" t="str" cm="1">
        <f t="array" aca="1" ref="I10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8" spans="1:9" x14ac:dyDescent="0.25">
      <c r="A1018" s="15">
        <f t="shared" si="15"/>
        <v>1017</v>
      </c>
      <c r="B1018" s="15" t="s">
        <v>112</v>
      </c>
      <c r="C1018" s="15" t="str" cm="1">
        <f t="array" ref="C1018">IFERROR(_xlfn.XLOOKUP(B1018, tblPeople[PersonID], tblPeople[PersonName], ""), "")</f>
        <v>Patrick Mwangi</v>
      </c>
      <c r="D1018" s="15" t="s">
        <v>202</v>
      </c>
      <c r="E1018" s="16" t="str">
        <f>IFERROR(_xlfn.XLOOKUP(D1018, tblCourses[CourseID], tblCourses[CourseName], ""), "")</f>
        <v>Maintenance Procedures &amp; Standard Maintenance Practices (Refresher)</v>
      </c>
      <c r="F1018" s="17">
        <v>46079</v>
      </c>
      <c r="G1018" s="17" cm="1">
        <f t="array" ref="G10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8" s="15">
        <f ca="1">IF(OR(tblTraining[[#This Row],[Status]]="Renewed",tblTraining[[#This Row],[NextDueDate]]=""),"",tblTraining[[#This Row],[NextDueDate]]-TODAY())</f>
        <v>523</v>
      </c>
      <c r="I1018" s="15" t="str" cm="1">
        <f t="array" aca="1" ref="I10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9" spans="1:9" x14ac:dyDescent="0.25">
      <c r="A1019" s="15">
        <f t="shared" si="15"/>
        <v>1018</v>
      </c>
      <c r="B1019" s="15" t="s">
        <v>107</v>
      </c>
      <c r="C1019" s="15" t="str" cm="1">
        <f t="array" ref="C1019">IFERROR(_xlfn.XLOOKUP(B1019, tblPeople[PersonID], tblPeople[PersonName], ""), "")</f>
        <v>Julius Nyawira</v>
      </c>
      <c r="D1019" s="15" t="s">
        <v>202</v>
      </c>
      <c r="E1019" s="16" t="str">
        <f>IFERROR(_xlfn.XLOOKUP(D1019, tblCourses[CourseID], tblCourses[CourseName], ""), "")</f>
        <v>Maintenance Procedures &amp; Standard Maintenance Practices (Refresher)</v>
      </c>
      <c r="F1019" s="17">
        <v>46079</v>
      </c>
      <c r="G1019" s="17" cm="1">
        <f t="array" ref="G10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9" s="15">
        <f ca="1">IF(OR(tblTraining[[#This Row],[Status]]="Renewed",tblTraining[[#This Row],[NextDueDate]]=""),"",tblTraining[[#This Row],[NextDueDate]]-TODAY())</f>
        <v>523</v>
      </c>
      <c r="I1019" s="15" t="str" cm="1">
        <f t="array" aca="1" ref="I10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0" spans="1:9" x14ac:dyDescent="0.25">
      <c r="A1020" s="15">
        <f t="shared" si="15"/>
        <v>1019</v>
      </c>
      <c r="B1020" s="15" t="s">
        <v>161</v>
      </c>
      <c r="C1020" s="15" t="str" cm="1">
        <f t="array" ref="C1020">IFERROR(_xlfn.XLOOKUP(B1020, tblPeople[PersonID], tblPeople[PersonName], ""), "")</f>
        <v>Francis Omondi</v>
      </c>
      <c r="D1020" s="15" t="s">
        <v>202</v>
      </c>
      <c r="E1020" s="16" t="str">
        <f>IFERROR(_xlfn.XLOOKUP(D1020, tblCourses[CourseID], tblCourses[CourseName], ""), "")</f>
        <v>Maintenance Procedures &amp; Standard Maintenance Practices (Refresher)</v>
      </c>
      <c r="F1020" s="17">
        <v>46079</v>
      </c>
      <c r="G1020" s="17" cm="1">
        <f t="array" ref="G10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20" s="15">
        <f ca="1">IF(OR(tblTraining[[#This Row],[Status]]="Renewed",tblTraining[[#This Row],[NextDueDate]]=""),"",tblTraining[[#This Row],[NextDueDate]]-TODAY())</f>
        <v>523</v>
      </c>
      <c r="I1020" s="15" t="str" cm="1">
        <f t="array" aca="1" ref="I10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1" spans="1:9" x14ac:dyDescent="0.25">
      <c r="A1021" s="15">
        <f t="shared" si="15"/>
        <v>1020</v>
      </c>
      <c r="B1021" s="15" t="s">
        <v>154</v>
      </c>
      <c r="C1021" s="15" t="str" cm="1">
        <f t="array" ref="C1021">IFERROR(_xlfn.XLOOKUP(B1021, tblPeople[PersonID], tblPeople[PersonName], ""), "")</f>
        <v>Judith Wandera</v>
      </c>
      <c r="D1021" s="15" t="s">
        <v>202</v>
      </c>
      <c r="E1021" s="16" t="str">
        <f>IFERROR(_xlfn.XLOOKUP(D1021, tblCourses[CourseID], tblCourses[CourseName], ""), "")</f>
        <v>Maintenance Procedures &amp; Standard Maintenance Practices (Refresher)</v>
      </c>
      <c r="F1021" s="17">
        <v>46079</v>
      </c>
      <c r="G1021" s="17" cm="1">
        <f t="array" ref="G10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21" s="15">
        <f ca="1">IF(OR(tblTraining[[#This Row],[Status]]="Renewed",tblTraining[[#This Row],[NextDueDate]]=""),"",tblTraining[[#This Row],[NextDueDate]]-TODAY())</f>
        <v>523</v>
      </c>
      <c r="I1021" s="15" t="str" cm="1">
        <f t="array" aca="1" ref="I10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2" spans="1:9" x14ac:dyDescent="0.25">
      <c r="A1022" s="15">
        <f t="shared" si="15"/>
        <v>1021</v>
      </c>
      <c r="B1022" s="15" t="s">
        <v>81</v>
      </c>
      <c r="C1022" s="15" t="str" cm="1">
        <f t="array" ref="C1022">IFERROR(_xlfn.XLOOKUP(B1022, tblPeople[PersonID], tblPeople[PersonName], ""), "")</f>
        <v>Gideon Mwasio</v>
      </c>
      <c r="D1022" s="15" t="s">
        <v>202</v>
      </c>
      <c r="E1022" s="16" t="str">
        <f>IFERROR(_xlfn.XLOOKUP(D1022, tblCourses[CourseID], tblCourses[CourseName], ""), "")</f>
        <v>Maintenance Procedures &amp; Standard Maintenance Practices (Refresher)</v>
      </c>
      <c r="F1022" s="17">
        <v>46073</v>
      </c>
      <c r="G1022" s="17" cm="1">
        <f t="array" ref="G10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1022" s="15">
        <f ca="1">IF(OR(tblTraining[[#This Row],[Status]]="Renewed",tblTraining[[#This Row],[NextDueDate]]=""),"",tblTraining[[#This Row],[NextDueDate]]-TODAY())</f>
        <v>517</v>
      </c>
      <c r="I1022" s="15" t="str" cm="1">
        <f t="array" aca="1" ref="I10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3" spans="1:9" x14ac:dyDescent="0.25">
      <c r="A1023" s="15">
        <f t="shared" si="15"/>
        <v>1022</v>
      </c>
      <c r="B1023" s="15" t="s">
        <v>106</v>
      </c>
      <c r="C1023" s="15" t="str" cm="1">
        <f t="array" ref="C1023">IFERROR(_xlfn.XLOOKUP(B1023, tblPeople[PersonID], tblPeople[PersonName], ""), "")</f>
        <v>James Mugo</v>
      </c>
      <c r="D1023" s="15" t="s">
        <v>22</v>
      </c>
      <c r="E1023" s="16" t="str">
        <f>IFERROR(_xlfn.XLOOKUP(D1023, tblCourses[CourseID], tblCourses[CourseName], ""), "")</f>
        <v>Human Factors in Aviation (Refresher)</v>
      </c>
      <c r="F1023" s="17">
        <v>46075</v>
      </c>
      <c r="G1023" s="17" cm="1">
        <f t="array" ref="G10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46805</v>
      </c>
      <c r="H1023" s="15">
        <f ca="1">IF(OR(tblTraining[[#This Row],[Status]]="Renewed",tblTraining[[#This Row],[NextDueDate]]=""),"",tblTraining[[#This Row],[NextDueDate]]-TODAY())</f>
        <v>519</v>
      </c>
      <c r="I1023" s="15" t="str" cm="1">
        <f t="array" aca="1" ref="I10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4" spans="1:9" x14ac:dyDescent="0.25">
      <c r="A1024" s="15">
        <f t="shared" si="15"/>
        <v>1023</v>
      </c>
      <c r="B1024" s="15" t="s">
        <v>361</v>
      </c>
      <c r="C1024" s="15" t="str" cm="1">
        <f t="array" ref="C1024">IFERROR(_xlfn.XLOOKUP(B1024, tblPeople[PersonID], tblPeople[PersonName], ""), "")</f>
        <v>Jackline Muembu</v>
      </c>
      <c r="D1024" s="15" t="s">
        <v>428</v>
      </c>
      <c r="E1024" s="16" t="str">
        <f>IFERROR(_xlfn.XLOOKUP(D1024, tblCourses[CourseID], tblCourses[CourseName], ""), "")</f>
        <v>EASA Awareness Initial</v>
      </c>
      <c r="F1024" s="17">
        <v>45719</v>
      </c>
      <c r="G1024" s="17" cm="1">
        <f t="array" ref="G10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46449</v>
      </c>
      <c r="H1024" s="15">
        <f ca="1">IF(OR(tblTraining[[#This Row],[Status]]="Renewed",tblTraining[[#This Row],[NextDueDate]]=""),"",tblTraining[[#This Row],[NextDueDate]]-TODAY())</f>
        <v>163</v>
      </c>
      <c r="I1024" s="15" t="str" cm="1">
        <f t="array" aca="1" ref="I10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5" spans="1:9" x14ac:dyDescent="0.25">
      <c r="A1025" s="15">
        <f t="shared" si="15"/>
        <v>1024</v>
      </c>
      <c r="B1025" s="15" t="s">
        <v>361</v>
      </c>
      <c r="C1025" s="15" t="str" cm="1">
        <f t="array" ref="C1025">IFERROR(_xlfn.XLOOKUP(B1025, tblPeople[PersonID], tblPeople[PersonName], ""), "")</f>
        <v>Jackline Muembu</v>
      </c>
      <c r="D1025" s="15" t="s">
        <v>426</v>
      </c>
      <c r="E1025" s="16" t="str">
        <f>IFERROR(_xlfn.XLOOKUP(D1025, tblCourses[CourseID], tblCourses[CourseName], ""), "")</f>
        <v>Electrostatic Discharge Sensitive (ESDs)</v>
      </c>
      <c r="F1025" s="17">
        <v>45720</v>
      </c>
      <c r="G1025" s="17" cm="1">
        <f t="array" ref="G10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46450</v>
      </c>
      <c r="H1025" s="15">
        <f ca="1">IF(OR(tblTraining[[#This Row],[Status]]="Renewed",tblTraining[[#This Row],[NextDueDate]]=""),"",tblTraining[[#This Row],[NextDueDate]]-TODAY())</f>
        <v>164</v>
      </c>
      <c r="I1025" s="15" t="str" cm="1">
        <f t="array" aca="1" ref="I10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6" spans="1:9" x14ac:dyDescent="0.25">
      <c r="A1026" s="15">
        <f t="shared" si="15"/>
        <v>1025</v>
      </c>
      <c r="B1026" s="15" t="s">
        <v>361</v>
      </c>
      <c r="C1026" s="15" t="str" cm="1">
        <f t="array" ref="C1026">IFERROR(_xlfn.XLOOKUP(B1026, tblPeople[PersonID], tblPeople[PersonName], ""), "")</f>
        <v>Jackline Muembu</v>
      </c>
      <c r="D1026" s="15" t="s">
        <v>425</v>
      </c>
      <c r="E1026" s="16" t="str">
        <f>IFERROR(_xlfn.XLOOKUP(D1026, tblCourses[CourseID], tblCourses[CourseName], ""), "")</f>
        <v>Incoming Goods Inspection Procedures</v>
      </c>
      <c r="F1026" s="17">
        <v>45754</v>
      </c>
      <c r="G1026" s="17" cm="1">
        <f t="array" ref="G10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46484</v>
      </c>
      <c r="H1026" s="15">
        <f ca="1">IF(OR(tblTraining[[#This Row],[Status]]="Renewed",tblTraining[[#This Row],[NextDueDate]]=""),"",tblTraining[[#This Row],[NextDueDate]]-TODAY())</f>
        <v>198</v>
      </c>
      <c r="I1026" s="15" t="str" cm="1">
        <f t="array" aca="1" ref="I10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7" spans="1:9" x14ac:dyDescent="0.25">
      <c r="A1027" s="15">
        <f t="shared" si="15"/>
        <v>1026</v>
      </c>
      <c r="B1027" s="15" t="s">
        <v>95</v>
      </c>
      <c r="C1027" s="15" t="str" cm="1">
        <f t="array" ref="C1027">IFERROR(_xlfn.XLOOKUP(B1027, tblPeople[PersonID], tblPeople[PersonName], ""), "")</f>
        <v>Walter Kibet</v>
      </c>
      <c r="D1027" s="15" t="s">
        <v>24</v>
      </c>
      <c r="E1027" s="16" t="str">
        <f>IFERROR(_xlfn.XLOOKUP(D1027, tblCourses[CourseID], tblCourses[CourseName], ""), "")</f>
        <v>Human Factors in Aviation (Initial)</v>
      </c>
      <c r="F1027" s="17">
        <v>45389</v>
      </c>
      <c r="G1027" s="17" t="str" cm="1">
        <f t="array" ref="G10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27" s="15" t="str">
        <f ca="1">IF(OR(tblTraining[[#This Row],[Status]]="Renewed",tblTraining[[#This Row],[NextDueDate]]=""),"",tblTraining[[#This Row],[NextDueDate]]-TODAY())</f>
        <v/>
      </c>
      <c r="I1027" s="15" t="str" cm="1">
        <f t="array" aca="1" ref="I10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8" spans="1:9" x14ac:dyDescent="0.25">
      <c r="A1028" s="15">
        <f t="shared" ref="A1028:A1091" si="16">A1027+1</f>
        <v>1027</v>
      </c>
      <c r="B1028" s="15" t="s">
        <v>95</v>
      </c>
      <c r="C1028" s="15" t="str" cm="1">
        <f t="array" ref="C1028">IFERROR(_xlfn.XLOOKUP(B1028, tblPeople[PersonID], tblPeople[PersonName], ""), "")</f>
        <v>Walter Kibet</v>
      </c>
      <c r="D1028" s="15" t="s">
        <v>22</v>
      </c>
      <c r="E1028" s="16" t="str">
        <f>IFERROR(_xlfn.XLOOKUP(D1028, tblCourses[CourseID], tblCourses[CourseName], ""), "")</f>
        <v>Human Factors in Aviation (Refresher)</v>
      </c>
      <c r="F1028" s="17">
        <v>45389</v>
      </c>
      <c r="G1028" s="17" t="str" cm="1">
        <f t="array" ref="G10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28" s="15" t="str">
        <f ca="1">IF(OR(tblTraining[[#This Row],[Status]]="Renewed",tblTraining[[#This Row],[NextDueDate]]=""),"",tblTraining[[#This Row],[NextDueDate]]-TODAY())</f>
        <v/>
      </c>
      <c r="I1028" s="15" t="str" cm="1">
        <f t="array" aca="1" ref="I10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29" spans="1:9" x14ac:dyDescent="0.25">
      <c r="A1029" s="15">
        <f t="shared" si="16"/>
        <v>1028</v>
      </c>
      <c r="B1029" s="15" t="s">
        <v>81</v>
      </c>
      <c r="C1029" s="15" t="str" cm="1">
        <f t="array" ref="C1029">IFERROR(_xlfn.XLOOKUP(B1029, tblPeople[PersonID], tblPeople[PersonName], ""), "")</f>
        <v>Gideon Mwasio</v>
      </c>
      <c r="D1029" s="15" t="s">
        <v>22</v>
      </c>
      <c r="E1029" s="16" t="str">
        <f>IFERROR(_xlfn.XLOOKUP(D1029, tblCourses[CourseID], tblCourses[CourseName], ""), "")</f>
        <v>Human Factors in Aviation (Refresher)</v>
      </c>
      <c r="F1029" s="17">
        <v>46062</v>
      </c>
      <c r="G1029" s="17" cm="1">
        <f t="array" ref="G10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46792</v>
      </c>
      <c r="H1029" s="15">
        <f ca="1">IF(OR(tblTraining[[#This Row],[Status]]="Renewed",tblTraining[[#This Row],[NextDueDate]]=""),"",tblTraining[[#This Row],[NextDueDate]]-TODAY())</f>
        <v>506</v>
      </c>
      <c r="I1029" s="15" t="str" cm="1">
        <f t="array" aca="1" ref="I10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0" spans="1:9" x14ac:dyDescent="0.25">
      <c r="A1030" s="15">
        <f t="shared" si="16"/>
        <v>1029</v>
      </c>
      <c r="B1030" s="15" t="s">
        <v>119</v>
      </c>
      <c r="C1030" s="15" t="str" cm="1">
        <f t="array" ref="C1030">IFERROR(_xlfn.XLOOKUP(B1030, tblPeople[PersonID], tblPeople[PersonName], ""), "")</f>
        <v>Walter Edupu</v>
      </c>
      <c r="D1030" s="15" t="s">
        <v>202</v>
      </c>
      <c r="E1030" s="16" t="str">
        <f>IFERROR(_xlfn.XLOOKUP(D1030, tblCourses[CourseID], tblCourses[CourseName], ""), "")</f>
        <v>Maintenance Procedures &amp; Standard Maintenance Practices (Refresher)</v>
      </c>
      <c r="F1030" s="17">
        <v>46008</v>
      </c>
      <c r="G1030" s="17" cm="1">
        <f t="array" ref="G10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46738</v>
      </c>
      <c r="H1030" s="15">
        <f ca="1">IF(OR(tblTraining[[#This Row],[Status]]="Renewed",tblTraining[[#This Row],[NextDueDate]]=""),"",tblTraining[[#This Row],[NextDueDate]]-TODAY())</f>
        <v>452</v>
      </c>
      <c r="I1030" s="15" t="str" cm="1">
        <f t="array" aca="1" ref="I10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1" spans="1:9" x14ac:dyDescent="0.25">
      <c r="A1031" s="15">
        <f t="shared" si="16"/>
        <v>1030</v>
      </c>
      <c r="B1031" s="15" t="s">
        <v>150</v>
      </c>
      <c r="C1031" s="15" t="str" cm="1">
        <f t="array" ref="C1031">IFERROR(_xlfn.XLOOKUP(B1031, tblPeople[PersonID], tblPeople[PersonName], ""), "")</f>
        <v>Kea Kazungu</v>
      </c>
      <c r="D1031" s="15" t="s">
        <v>202</v>
      </c>
      <c r="E1031" s="16" t="str">
        <f>IFERROR(_xlfn.XLOOKUP(D1031, tblCourses[CourseID], tblCourses[CourseName], ""), "")</f>
        <v>Maintenance Procedures &amp; Standard Maintenance Practices (Refresher)</v>
      </c>
      <c r="F1031" s="17">
        <v>46053</v>
      </c>
      <c r="G1031" s="17" cm="1">
        <f t="array" ref="G10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46783</v>
      </c>
      <c r="H1031" s="15">
        <f ca="1">IF(OR(tblTraining[[#This Row],[Status]]="Renewed",tblTraining[[#This Row],[NextDueDate]]=""),"",tblTraining[[#This Row],[NextDueDate]]-TODAY())</f>
        <v>497</v>
      </c>
      <c r="I1031" s="15" t="str" cm="1">
        <f t="array" aca="1" ref="I10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2" spans="1:9" x14ac:dyDescent="0.25">
      <c r="A1032" s="15">
        <f t="shared" si="16"/>
        <v>1031</v>
      </c>
      <c r="B1032" s="15" t="s">
        <v>166</v>
      </c>
      <c r="C1032" s="15" t="str" cm="1">
        <f t="array" ref="C1032">IFERROR(_xlfn.XLOOKUP(B1032, tblPeople[PersonID], tblPeople[PersonName], ""), "")</f>
        <v>Hannah Wambui</v>
      </c>
      <c r="D1032" s="15" t="s">
        <v>22</v>
      </c>
      <c r="E1032" s="16" t="str">
        <f>IFERROR(_xlfn.XLOOKUP(D1032, tblCourses[CourseID], tblCourses[CourseName], ""), "")</f>
        <v>Human Factors in Aviation (Refresher)</v>
      </c>
      <c r="F1032" s="17">
        <v>45808</v>
      </c>
      <c r="G1032" s="17" cm="1">
        <f t="array" ref="G10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46538</v>
      </c>
      <c r="H1032" s="15">
        <f ca="1">IF(OR(tblTraining[[#This Row],[Status]]="Renewed",tblTraining[[#This Row],[NextDueDate]]=""),"",tblTraining[[#This Row],[NextDueDate]]-TODAY())</f>
        <v>252</v>
      </c>
      <c r="I1032" s="15" t="str" cm="1">
        <f t="array" aca="1" ref="I10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3" spans="1:9" x14ac:dyDescent="0.25">
      <c r="A1033" s="15">
        <f t="shared" si="16"/>
        <v>1032</v>
      </c>
      <c r="B1033" s="15" t="s">
        <v>117</v>
      </c>
      <c r="C1033" s="15" t="str" cm="1">
        <f t="array" ref="C1033">IFERROR(_xlfn.XLOOKUP(B1033, tblPeople[PersonID], tblPeople[PersonName], ""), "")</f>
        <v>Mercy Etende</v>
      </c>
      <c r="D1033" s="15" t="s">
        <v>426</v>
      </c>
      <c r="E1033" s="16" t="str">
        <f>IFERROR(_xlfn.XLOOKUP(D1033, tblCourses[CourseID], tblCourses[CourseName], ""), "")</f>
        <v>Electrostatic Discharge Sensitive (ESDs)</v>
      </c>
      <c r="F1033" s="17">
        <v>46083</v>
      </c>
      <c r="G1033" s="17" t="str" cm="1">
        <f t="array" ref="G10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3" s="15" t="str">
        <f ca="1">IF(OR(tblTraining[[#This Row],[Status]]="Renewed",tblTraining[[#This Row],[NextDueDate]]=""),"",tblTraining[[#This Row],[NextDueDate]]-TODAY())</f>
        <v/>
      </c>
      <c r="I1033" s="15" t="str" cm="1">
        <f t="array" aca="1" ref="I10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34" spans="1:9" x14ac:dyDescent="0.25">
      <c r="A1034" s="15">
        <f t="shared" si="16"/>
        <v>1033</v>
      </c>
      <c r="B1034" s="15" t="s">
        <v>95</v>
      </c>
      <c r="C1034" s="15" t="str" cm="1">
        <f t="array" ref="C1034">IFERROR(_xlfn.XLOOKUP(B1034, tblPeople[PersonID], tblPeople[PersonName], ""), "")</f>
        <v>Walter Kibet</v>
      </c>
      <c r="D1034" s="15" t="s">
        <v>426</v>
      </c>
      <c r="E1034" s="16" t="str">
        <f>IFERROR(_xlfn.XLOOKUP(D1034, tblCourses[CourseID], tblCourses[CourseName], ""), "")</f>
        <v>Electrostatic Discharge Sensitive (ESDs)</v>
      </c>
      <c r="F1034" s="17">
        <v>46083</v>
      </c>
      <c r="G1034" s="17" t="str" cm="1">
        <f t="array" ref="G10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4" s="15" t="str">
        <f ca="1">IF(OR(tblTraining[[#This Row],[Status]]="Renewed",tblTraining[[#This Row],[NextDueDate]]=""),"",tblTraining[[#This Row],[NextDueDate]]-TODAY())</f>
        <v/>
      </c>
      <c r="I1034" s="15" t="str" cm="1">
        <f t="array" aca="1" ref="I10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35" spans="1:9" x14ac:dyDescent="0.25">
      <c r="A1035" s="15">
        <f t="shared" si="16"/>
        <v>1034</v>
      </c>
      <c r="B1035" s="15" t="s">
        <v>117</v>
      </c>
      <c r="C1035" s="15" t="str" cm="1">
        <f t="array" ref="C1035">IFERROR(_xlfn.XLOOKUP(B1035, tblPeople[PersonID], tblPeople[PersonName], ""), "")</f>
        <v>Mercy Etende</v>
      </c>
      <c r="D1035" s="15" t="s">
        <v>428</v>
      </c>
      <c r="E1035" s="16" t="str">
        <f>IFERROR(_xlfn.XLOOKUP(D1035, tblCourses[CourseID], tblCourses[CourseName], ""), "")</f>
        <v>EASA Awareness Initial</v>
      </c>
      <c r="F1035" s="17">
        <v>46084</v>
      </c>
      <c r="G1035" s="17" t="str" cm="1">
        <f t="array" ref="G10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5" s="15" t="str">
        <f ca="1">IF(OR(tblTraining[[#This Row],[Status]]="Renewed",tblTraining[[#This Row],[NextDueDate]]=""),"",tblTraining[[#This Row],[NextDueDate]]-TODAY())</f>
        <v/>
      </c>
      <c r="I1035" s="15" t="str" cm="1">
        <f t="array" aca="1" ref="I10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36" spans="1:9" x14ac:dyDescent="0.25">
      <c r="A1036" s="15">
        <f t="shared" si="16"/>
        <v>1035</v>
      </c>
      <c r="B1036" s="15" t="s">
        <v>95</v>
      </c>
      <c r="C1036" s="15" t="str" cm="1">
        <f t="array" ref="C1036">IFERROR(_xlfn.XLOOKUP(B1036, tblPeople[PersonID], tblPeople[PersonName], ""), "")</f>
        <v>Walter Kibet</v>
      </c>
      <c r="D1036" s="15" t="s">
        <v>428</v>
      </c>
      <c r="E1036" s="16" t="str">
        <f>IFERROR(_xlfn.XLOOKUP(D1036, tblCourses[CourseID], tblCourses[CourseName], ""), "")</f>
        <v>EASA Awareness Initial</v>
      </c>
      <c r="F1036" s="17">
        <v>46084</v>
      </c>
      <c r="G1036" s="17" t="str" cm="1">
        <f t="array" ref="G10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6" s="15" t="str">
        <f ca="1">IF(OR(tblTraining[[#This Row],[Status]]="Renewed",tblTraining[[#This Row],[NextDueDate]]=""),"",tblTraining[[#This Row],[NextDueDate]]-TODAY())</f>
        <v/>
      </c>
      <c r="I1036" s="15" t="str" cm="1">
        <f t="array" aca="1" ref="I10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37" spans="1:9" x14ac:dyDescent="0.25">
      <c r="A1037" s="15">
        <f t="shared" si="16"/>
        <v>1036</v>
      </c>
      <c r="B1037" s="15" t="s">
        <v>117</v>
      </c>
      <c r="C1037" s="15" t="str" cm="1">
        <f t="array" ref="C1037">IFERROR(_xlfn.XLOOKUP(B1037, tblPeople[PersonID], tblPeople[PersonName], ""), "")</f>
        <v>Mercy Etende</v>
      </c>
      <c r="D1037" s="15" t="s">
        <v>425</v>
      </c>
      <c r="E1037" s="16" t="str">
        <f>IFERROR(_xlfn.XLOOKUP(D1037, tblCourses[CourseID], tblCourses[CourseName], ""), "")</f>
        <v>Incoming Goods Inspection Procedures</v>
      </c>
      <c r="F1037" s="17">
        <v>46087</v>
      </c>
      <c r="G1037" s="17" cm="1">
        <f t="array" ref="G10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46818</v>
      </c>
      <c r="H1037" s="15">
        <f ca="1">IF(OR(tblTraining[[#This Row],[Status]]="Renewed",tblTraining[[#This Row],[NextDueDate]]=""),"",tblTraining[[#This Row],[NextDueDate]]-TODAY())</f>
        <v>532</v>
      </c>
      <c r="I1037" s="15" t="str" cm="1">
        <f t="array" aca="1" ref="I10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8" spans="1:9" x14ac:dyDescent="0.25">
      <c r="A1038" s="15">
        <f t="shared" si="16"/>
        <v>1037</v>
      </c>
      <c r="B1038" s="15" t="s">
        <v>95</v>
      </c>
      <c r="C1038" s="15" t="str" cm="1">
        <f t="array" ref="C1038">IFERROR(_xlfn.XLOOKUP(B1038, tblPeople[PersonID], tblPeople[PersonName], ""), "")</f>
        <v>Walter Kibet</v>
      </c>
      <c r="D1038" s="15" t="s">
        <v>425</v>
      </c>
      <c r="E1038" s="16" t="str">
        <f>IFERROR(_xlfn.XLOOKUP(D1038, tblCourses[CourseID], tblCourses[CourseName], ""), "")</f>
        <v>Incoming Goods Inspection Procedures</v>
      </c>
      <c r="F1038" s="17">
        <v>46087</v>
      </c>
      <c r="G1038" s="17" cm="1">
        <f t="array" ref="G10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46818</v>
      </c>
      <c r="H1038" s="15">
        <f ca="1">IF(OR(tblTraining[[#This Row],[Status]]="Renewed",tblTraining[[#This Row],[NextDueDate]]=""),"",tblTraining[[#This Row],[NextDueDate]]-TODAY())</f>
        <v>532</v>
      </c>
      <c r="I1038" s="15" t="str" cm="1">
        <f t="array" aca="1" ref="I10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9" spans="1:9" x14ac:dyDescent="0.25">
      <c r="A1039" s="15">
        <f t="shared" si="16"/>
        <v>1038</v>
      </c>
      <c r="B1039" s="15" t="s">
        <v>101</v>
      </c>
      <c r="C1039" s="15" t="str" cm="1">
        <f t="array" ref="C1039">IFERROR(_xlfn.XLOOKUP(B1039, tblPeople[PersonID], tblPeople[PersonName], ""), "")</f>
        <v>Paul Mzera</v>
      </c>
      <c r="D1039" s="15" t="s">
        <v>75</v>
      </c>
      <c r="E1039" s="16" t="str">
        <f>IFERROR(_xlfn.XLOOKUP(D1039, tblCourses[CourseID], tblCourses[CourseName], ""), "")</f>
        <v>Fuel Tank Safety Phase 1 &amp; 2 Course (Refresher)</v>
      </c>
      <c r="F1039" s="17">
        <v>46089</v>
      </c>
      <c r="G1039" s="17" cm="1">
        <f t="array" ref="G10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46820</v>
      </c>
      <c r="H1039" s="15">
        <f ca="1">IF(OR(tblTraining[[#This Row],[Status]]="Renewed",tblTraining[[#This Row],[NextDueDate]]=""),"",tblTraining[[#This Row],[NextDueDate]]-TODAY())</f>
        <v>534</v>
      </c>
      <c r="I1039" s="15" t="str" cm="1">
        <f t="array" aca="1" ref="I10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0" spans="1:9" x14ac:dyDescent="0.25">
      <c r="A1040" s="15">
        <f t="shared" si="16"/>
        <v>1039</v>
      </c>
      <c r="B1040" s="15" t="s">
        <v>94</v>
      </c>
      <c r="C1040" s="15" t="str" cm="1">
        <f t="array" ref="C1040">IFERROR(_xlfn.XLOOKUP(B1040, tblPeople[PersonID], tblPeople[PersonName], ""), "")</f>
        <v>Moses Musyoka</v>
      </c>
      <c r="D1040" s="15" t="s">
        <v>75</v>
      </c>
      <c r="E1040" s="16" t="str">
        <f>IFERROR(_xlfn.XLOOKUP(D1040, tblCourses[CourseID], tblCourses[CourseName], ""), "")</f>
        <v>Fuel Tank Safety Phase 1 &amp; 2 Course (Refresher)</v>
      </c>
      <c r="F1040" s="17">
        <v>46098</v>
      </c>
      <c r="G1040" s="17" cm="1">
        <f t="array" ref="G10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46829</v>
      </c>
      <c r="H1040" s="15">
        <f ca="1">IF(OR(tblTraining[[#This Row],[Status]]="Renewed",tblTraining[[#This Row],[NextDueDate]]=""),"",tblTraining[[#This Row],[NextDueDate]]-TODAY())</f>
        <v>543</v>
      </c>
      <c r="I1040" s="15" t="str" cm="1">
        <f t="array" aca="1" ref="I10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1" spans="1:9" x14ac:dyDescent="0.25">
      <c r="A1041" s="15">
        <f t="shared" si="16"/>
        <v>1040</v>
      </c>
      <c r="B1041" s="15" t="s">
        <v>98</v>
      </c>
      <c r="C1041" s="15" t="str" cm="1">
        <f t="array" ref="C1041">IFERROR(_xlfn.XLOOKUP(B1041, tblPeople[PersonID], tblPeople[PersonName], ""), "")</f>
        <v>Thadeus Mong’are</v>
      </c>
      <c r="D1041" s="15" t="s">
        <v>75</v>
      </c>
      <c r="E1041" s="16" t="str">
        <f>IFERROR(_xlfn.XLOOKUP(D1041, tblCourses[CourseID], tblCourses[CourseName], ""), "")</f>
        <v>Fuel Tank Safety Phase 1 &amp; 2 Course (Refresher)</v>
      </c>
      <c r="F1041" s="17">
        <v>46110</v>
      </c>
      <c r="G1041" s="17" cm="1">
        <f t="array" ref="G10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46841</v>
      </c>
      <c r="H1041" s="15">
        <f ca="1">IF(OR(tblTraining[[#This Row],[Status]]="Renewed",tblTraining[[#This Row],[NextDueDate]]=""),"",tblTraining[[#This Row],[NextDueDate]]-TODAY())</f>
        <v>555</v>
      </c>
      <c r="I1041" s="15" t="str" cm="1">
        <f t="array" aca="1" ref="I10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2" spans="1:9" x14ac:dyDescent="0.25">
      <c r="A1042" s="15">
        <f t="shared" si="16"/>
        <v>1041</v>
      </c>
      <c r="B1042" s="15" t="s">
        <v>98</v>
      </c>
      <c r="C1042" s="15" t="str" cm="1">
        <f t="array" ref="C1042">IFERROR(_xlfn.XLOOKUP(B1042, tblPeople[PersonID], tblPeople[PersonName], ""), "")</f>
        <v>Thadeus Mong’are</v>
      </c>
      <c r="D1042" s="15" t="s">
        <v>22</v>
      </c>
      <c r="E1042" s="16" t="str">
        <f>IFERROR(_xlfn.XLOOKUP(D1042, tblCourses[CourseID], tblCourses[CourseName], ""), "")</f>
        <v>Human Factors in Aviation (Refresher)</v>
      </c>
      <c r="F1042" s="17">
        <v>46110</v>
      </c>
      <c r="G1042" s="17" cm="1">
        <f t="array" ref="G10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46841</v>
      </c>
      <c r="H1042" s="15">
        <f ca="1">IF(OR(tblTraining[[#This Row],[Status]]="Renewed",tblTraining[[#This Row],[NextDueDate]]=""),"",tblTraining[[#This Row],[NextDueDate]]-TODAY())</f>
        <v>555</v>
      </c>
      <c r="I1042" s="15" t="str" cm="1">
        <f t="array" aca="1" ref="I10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3" spans="1:9" x14ac:dyDescent="0.25">
      <c r="A1043" s="15">
        <f t="shared" si="16"/>
        <v>1042</v>
      </c>
      <c r="B1043" s="15" t="s">
        <v>413</v>
      </c>
      <c r="C1043" s="15" t="str" cm="1">
        <f t="array" ref="C1043">IFERROR(_xlfn.XLOOKUP(B1043, tblPeople[PersonID], tblPeople[PersonName], ""), "")</f>
        <v>James Muisyo</v>
      </c>
      <c r="D1043" s="15" t="s">
        <v>24</v>
      </c>
      <c r="E1043" s="16" t="str">
        <f>IFERROR(_xlfn.XLOOKUP(D1043, tblCourses[CourseID], tblCourses[CourseName], ""), "")</f>
        <v>Human Factors in Aviation (Initial)</v>
      </c>
      <c r="F1043" s="17">
        <v>46111</v>
      </c>
      <c r="G1043" s="17" t="str" cm="1">
        <f t="array" ref="G10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3" s="15" t="str">
        <f ca="1">IF(OR(tblTraining[[#This Row],[Status]]="Renewed",tblTraining[[#This Row],[NextDueDate]]=""),"",tblTraining[[#This Row],[NextDueDate]]-TODAY())</f>
        <v/>
      </c>
      <c r="I1043" s="15" t="str" cm="1">
        <f t="array" aca="1" ref="I10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4" spans="1:9" x14ac:dyDescent="0.25">
      <c r="A1044" s="15">
        <f t="shared" si="16"/>
        <v>1043</v>
      </c>
      <c r="B1044" s="15" t="s">
        <v>413</v>
      </c>
      <c r="C1044" s="15" t="str" cm="1">
        <f t="array" ref="C1044">IFERROR(_xlfn.XLOOKUP(B1044, tblPeople[PersonID], tblPeople[PersonName], ""), "")</f>
        <v>James Muisyo</v>
      </c>
      <c r="D1044" s="15" t="s">
        <v>22</v>
      </c>
      <c r="E1044" s="16" t="str">
        <f>IFERROR(_xlfn.XLOOKUP(D1044, tblCourses[CourseID], tblCourses[CourseName], ""), "")</f>
        <v>Human Factors in Aviation (Refresher)</v>
      </c>
      <c r="F1044" s="17">
        <v>46111</v>
      </c>
      <c r="G1044" s="17" t="str" cm="1">
        <f t="array" ref="G10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4" s="15" t="str">
        <f ca="1">IF(OR(tblTraining[[#This Row],[Status]]="Renewed",tblTraining[[#This Row],[NextDueDate]]=""),"",tblTraining[[#This Row],[NextDueDate]]-TODAY())</f>
        <v/>
      </c>
      <c r="I1044" s="15" t="str" cm="1">
        <f t="array" aca="1" ref="I10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45" spans="1:9" x14ac:dyDescent="0.25">
      <c r="A1045" s="15">
        <f t="shared" si="16"/>
        <v>1044</v>
      </c>
      <c r="B1045" s="15" t="s">
        <v>157</v>
      </c>
      <c r="C1045" s="15" t="str" cm="1">
        <f t="array" ref="C1045">IFERROR(_xlfn.XLOOKUP(B1045, tblPeople[PersonID], tblPeople[PersonName], ""), "")</f>
        <v>Stephen Mutambu</v>
      </c>
      <c r="D1045" s="15" t="s">
        <v>75</v>
      </c>
      <c r="E1045" s="16" t="str">
        <f>IFERROR(_xlfn.XLOOKUP(D1045, tblCourses[CourseID], tblCourses[CourseName], ""), "")</f>
        <v>Fuel Tank Safety Phase 1 &amp; 2 Course (Refresher)</v>
      </c>
      <c r="F1045" s="17">
        <v>46116</v>
      </c>
      <c r="G1045" s="17" cm="1">
        <f t="array" ref="G10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46847</v>
      </c>
      <c r="H1045" s="15">
        <f ca="1">IF(OR(tblTraining[[#This Row],[Status]]="Renewed",tblTraining[[#This Row],[NextDueDate]]=""),"",tblTraining[[#This Row],[NextDueDate]]-TODAY())</f>
        <v>561</v>
      </c>
      <c r="I1045" s="15" t="str" cm="1">
        <f t="array" aca="1" ref="I10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6" spans="1:9" x14ac:dyDescent="0.25">
      <c r="A1046" s="15">
        <f t="shared" si="16"/>
        <v>1045</v>
      </c>
      <c r="B1046" s="15" t="s">
        <v>95</v>
      </c>
      <c r="C1046" s="15" t="str" cm="1">
        <f t="array" ref="C1046">IFERROR(_xlfn.XLOOKUP(B1046, tblPeople[PersonID], tblPeople[PersonName], ""), "")</f>
        <v>Walter Kibet</v>
      </c>
      <c r="D1046" s="15" t="s">
        <v>22</v>
      </c>
      <c r="E1046" s="16" t="str">
        <f>IFERROR(_xlfn.XLOOKUP(D1046, tblCourses[CourseID], tblCourses[CourseName], ""), "")</f>
        <v>Human Factors in Aviation (Refresher)</v>
      </c>
      <c r="F1046" s="17">
        <v>46115</v>
      </c>
      <c r="G1046" s="17" cm="1">
        <f t="array" ref="G10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46846</v>
      </c>
      <c r="H1046" s="15">
        <f ca="1">IF(OR(tblTraining[[#This Row],[Status]]="Renewed",tblTraining[[#This Row],[NextDueDate]]=""),"",tblTraining[[#This Row],[NextDueDate]]-TODAY())</f>
        <v>560</v>
      </c>
      <c r="I1046" s="15" t="str" cm="1">
        <f t="array" aca="1" ref="I10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7" spans="1:9" x14ac:dyDescent="0.25">
      <c r="A1047" s="15">
        <f t="shared" si="16"/>
        <v>1046</v>
      </c>
      <c r="B1047" s="15" t="s">
        <v>90</v>
      </c>
      <c r="C1047" s="15" t="str" cm="1">
        <f t="array" ref="C1047">IFERROR(_xlfn.XLOOKUP(B1047, tblPeople[PersonID], tblPeople[PersonName], ""), "")</f>
        <v>Kendra Nambisia</v>
      </c>
      <c r="D1047" s="15" t="s">
        <v>75</v>
      </c>
      <c r="E1047" s="16" t="str">
        <f>IFERROR(_xlfn.XLOOKUP(D1047, tblCourses[CourseID], tblCourses[CourseName], ""), "")</f>
        <v>Fuel Tank Safety Phase 1 &amp; 2 Course (Refresher)</v>
      </c>
      <c r="F1047" s="17">
        <v>46123</v>
      </c>
      <c r="G1047" s="17" cm="1">
        <f t="array" ref="G10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46854</v>
      </c>
      <c r="H1047" s="15">
        <f ca="1">IF(OR(tblTraining[[#This Row],[Status]]="Renewed",tblTraining[[#This Row],[NextDueDate]]=""),"",tblTraining[[#This Row],[NextDueDate]]-TODAY())</f>
        <v>568</v>
      </c>
      <c r="I1047" s="15" t="str" cm="1">
        <f t="array" aca="1" ref="I10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8" spans="1:9" x14ac:dyDescent="0.25">
      <c r="A1048" s="15">
        <f t="shared" si="16"/>
        <v>1047</v>
      </c>
      <c r="B1048" s="15" t="s">
        <v>82</v>
      </c>
      <c r="C1048" s="15" t="str" cm="1">
        <f t="array" ref="C1048">IFERROR(_xlfn.XLOOKUP(B1048, tblPeople[PersonID], tblPeople[PersonName], ""), "")</f>
        <v>Philip Mwania</v>
      </c>
      <c r="D1048" s="15" t="s">
        <v>75</v>
      </c>
      <c r="E1048" s="16" t="str">
        <f>IFERROR(_xlfn.XLOOKUP(D1048, tblCourses[CourseID], tblCourses[CourseName], ""), "")</f>
        <v>Fuel Tank Safety Phase 1 &amp; 2 Course (Refresher)</v>
      </c>
      <c r="F1048" s="17">
        <v>46123</v>
      </c>
      <c r="G1048" s="17" cm="1">
        <f t="array" ref="G10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46854</v>
      </c>
      <c r="H1048" s="15">
        <f ca="1">IF(OR(tblTraining[[#This Row],[Status]]="Renewed",tblTraining[[#This Row],[NextDueDate]]=""),"",tblTraining[[#This Row],[NextDueDate]]-TODAY())</f>
        <v>568</v>
      </c>
      <c r="I1048" s="15" t="str" cm="1">
        <f t="array" aca="1" ref="I10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9" spans="1:9" x14ac:dyDescent="0.25">
      <c r="A1049" s="15">
        <f t="shared" si="16"/>
        <v>1048</v>
      </c>
      <c r="B1049" s="15" t="s">
        <v>274</v>
      </c>
      <c r="C1049" s="15" t="str" cm="1">
        <f t="array" ref="C1049">IFERROR(_xlfn.XLOOKUP(B1049, tblPeople[PersonID], tblPeople[PersonName], ""), "")</f>
        <v>Dorine Edna</v>
      </c>
      <c r="D1049" s="15" t="s">
        <v>24</v>
      </c>
      <c r="E1049" s="16" t="str">
        <f>IFERROR(_xlfn.XLOOKUP(D1049, tblCourses[CourseID], tblCourses[CourseName], ""), "")</f>
        <v>Human Factors in Aviation (Initial)</v>
      </c>
      <c r="F1049" s="17">
        <v>46124</v>
      </c>
      <c r="G1049" s="17" t="str" cm="1">
        <f t="array" ref="G10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9" s="15" t="str">
        <f ca="1">IF(OR(tblTraining[[#This Row],[Status]]="Renewed",tblTraining[[#This Row],[NextDueDate]]=""),"",tblTraining[[#This Row],[NextDueDate]]-TODAY())</f>
        <v/>
      </c>
      <c r="I1049" s="15" t="str" cm="1">
        <f t="array" aca="1" ref="I10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0" spans="1:9" x14ac:dyDescent="0.25">
      <c r="A1050" s="15">
        <f t="shared" si="16"/>
        <v>1049</v>
      </c>
      <c r="B1050" s="15" t="s">
        <v>274</v>
      </c>
      <c r="C1050" s="15" t="str" cm="1">
        <f t="array" ref="C1050">IFERROR(_xlfn.XLOOKUP(B1050, tblPeople[PersonID], tblPeople[PersonName], ""), "")</f>
        <v>Dorine Edna</v>
      </c>
      <c r="D1050" s="15" t="s">
        <v>22</v>
      </c>
      <c r="E1050" s="16" t="str">
        <f>IFERROR(_xlfn.XLOOKUP(D1050, tblCourses[CourseID], tblCourses[CourseName], ""), "")</f>
        <v>Human Factors in Aviation (Refresher)</v>
      </c>
      <c r="F1050" s="17">
        <v>46124</v>
      </c>
      <c r="G1050" s="17" cm="1">
        <f t="array" ref="G10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46855</v>
      </c>
      <c r="H1050" s="15">
        <f ca="1">IF(OR(tblTraining[[#This Row],[Status]]="Renewed",tblTraining[[#This Row],[NextDueDate]]=""),"",tblTraining[[#This Row],[NextDueDate]]-TODAY())</f>
        <v>569</v>
      </c>
      <c r="I1050" s="15" t="str" cm="1">
        <f t="array" aca="1" ref="I10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1" spans="1:9" x14ac:dyDescent="0.25">
      <c r="A1051" s="15">
        <f t="shared" si="16"/>
        <v>1050</v>
      </c>
      <c r="B1051" s="15" t="s">
        <v>409</v>
      </c>
      <c r="C1051" s="15" t="str" cm="1">
        <f t="array" ref="C1051">IFERROR(_xlfn.XLOOKUP(B1051, tblPeople[PersonID], tblPeople[PersonName], ""), "")</f>
        <v>Venessa Ikileng'</v>
      </c>
      <c r="D1051" s="15" t="s">
        <v>24</v>
      </c>
      <c r="E1051" s="16" t="str">
        <f>IFERROR(_xlfn.XLOOKUP(D1051, tblCourses[CourseID], tblCourses[CourseName], ""), "")</f>
        <v>Human Factors in Aviation (Initial)</v>
      </c>
      <c r="F1051" s="17">
        <v>46122</v>
      </c>
      <c r="G1051" s="17" t="str" cm="1">
        <f t="array" ref="G10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1" s="15" t="str">
        <f ca="1">IF(OR(tblTraining[[#This Row],[Status]]="Renewed",tblTraining[[#This Row],[NextDueDate]]=""),"",tblTraining[[#This Row],[NextDueDate]]-TODAY())</f>
        <v/>
      </c>
      <c r="I1051" s="15" t="str" cm="1">
        <f t="array" aca="1" ref="I10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2" spans="1:9" x14ac:dyDescent="0.25">
      <c r="A1052" s="15">
        <f t="shared" si="16"/>
        <v>1051</v>
      </c>
      <c r="B1052" s="15" t="s">
        <v>409</v>
      </c>
      <c r="C1052" s="15" t="str" cm="1">
        <f t="array" ref="C1052">IFERROR(_xlfn.XLOOKUP(B1052, tblPeople[PersonID], tblPeople[PersonName], ""), "")</f>
        <v>Venessa Ikileng'</v>
      </c>
      <c r="D1052" s="15" t="s">
        <v>22</v>
      </c>
      <c r="E1052" s="16" t="str">
        <f>IFERROR(_xlfn.XLOOKUP(D1052, tblCourses[CourseID], tblCourses[CourseName], ""), "")</f>
        <v>Human Factors in Aviation (Refresher)</v>
      </c>
      <c r="F1052" s="17">
        <v>46122</v>
      </c>
      <c r="G1052" s="17" t="str" cm="1">
        <f t="array" ref="G10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2" s="15" t="str">
        <f ca="1">IF(OR(tblTraining[[#This Row],[Status]]="Renewed",tblTraining[[#This Row],[NextDueDate]]=""),"",tblTraining[[#This Row],[NextDueDate]]-TODAY())</f>
        <v/>
      </c>
      <c r="I1052" s="15" t="str" cm="1">
        <f t="array" aca="1" ref="I10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53" spans="1:9" x14ac:dyDescent="0.25">
      <c r="A1053" s="15">
        <f t="shared" si="16"/>
        <v>1052</v>
      </c>
      <c r="B1053" s="15" t="s">
        <v>410</v>
      </c>
      <c r="C1053" s="15" t="str" cm="1">
        <f t="array" ref="C1053">IFERROR(_xlfn.XLOOKUP(B1053, tblPeople[PersonID], tblPeople[PersonName], ""), "")</f>
        <v>Prudence Muhami</v>
      </c>
      <c r="D1053" s="15" t="s">
        <v>24</v>
      </c>
      <c r="E1053" s="16" t="str">
        <f>IFERROR(_xlfn.XLOOKUP(D1053, tblCourses[CourseID], tblCourses[CourseName], ""), "")</f>
        <v>Human Factors in Aviation (Initial)</v>
      </c>
      <c r="F1053" s="17">
        <v>46115</v>
      </c>
      <c r="G1053" s="17" t="str" cm="1">
        <f t="array" ref="G10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3" s="15" t="str">
        <f ca="1">IF(OR(tblTraining[[#This Row],[Status]]="Renewed",tblTraining[[#This Row],[NextDueDate]]=""),"",tblTraining[[#This Row],[NextDueDate]]-TODAY())</f>
        <v/>
      </c>
      <c r="I1053" s="15" t="str" cm="1">
        <f t="array" aca="1" ref="I10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4" spans="1:9" x14ac:dyDescent="0.25">
      <c r="A1054" s="15">
        <f t="shared" si="16"/>
        <v>1053</v>
      </c>
      <c r="B1054" s="15" t="s">
        <v>410</v>
      </c>
      <c r="C1054" s="15" t="str" cm="1">
        <f t="array" ref="C1054">IFERROR(_xlfn.XLOOKUP(B1054, tblPeople[PersonID], tblPeople[PersonName], ""), "")</f>
        <v>Prudence Muhami</v>
      </c>
      <c r="D1054" s="15" t="s">
        <v>22</v>
      </c>
      <c r="E1054" s="16" t="str">
        <f>IFERROR(_xlfn.XLOOKUP(D1054, tblCourses[CourseID], tblCourses[CourseName], ""), "")</f>
        <v>Human Factors in Aviation (Refresher)</v>
      </c>
      <c r="F1054" s="17">
        <v>46115</v>
      </c>
      <c r="G1054" s="17" t="str" cm="1">
        <f t="array" ref="G10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4" s="15" t="str">
        <f ca="1">IF(OR(tblTraining[[#This Row],[Status]]="Renewed",tblTraining[[#This Row],[NextDueDate]]=""),"",tblTraining[[#This Row],[NextDueDate]]-TODAY())</f>
        <v/>
      </c>
      <c r="I1054" s="15" t="str" cm="1">
        <f t="array" aca="1" ref="I10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55" spans="1:9" x14ac:dyDescent="0.25">
      <c r="A1055" s="15">
        <f t="shared" si="16"/>
        <v>1054</v>
      </c>
      <c r="B1055" s="15" t="s">
        <v>135</v>
      </c>
      <c r="C1055" s="15" t="str" cm="1">
        <f t="array" ref="C1055">IFERROR(_xlfn.XLOOKUP(B1055, tblPeople[PersonID], tblPeople[PersonName], ""), "")</f>
        <v>Francis Muriuki</v>
      </c>
      <c r="D1055" s="15" t="s">
        <v>75</v>
      </c>
      <c r="E1055" s="16" t="str">
        <f>IFERROR(_xlfn.XLOOKUP(D1055, tblCourses[CourseID], tblCourses[CourseName], ""), "")</f>
        <v>Fuel Tank Safety Phase 1 &amp; 2 Course (Refresher)</v>
      </c>
      <c r="F1055" s="17">
        <v>46123</v>
      </c>
      <c r="G1055" s="17" cm="1">
        <f t="array" ref="G10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46854</v>
      </c>
      <c r="H1055" s="15">
        <f ca="1">IF(OR(tblTraining[[#This Row],[Status]]="Renewed",tblTraining[[#This Row],[NextDueDate]]=""),"",tblTraining[[#This Row],[NextDueDate]]-TODAY())</f>
        <v>568</v>
      </c>
      <c r="I1055" s="15" t="str" cm="1">
        <f t="array" aca="1" ref="I10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6" spans="1:9" x14ac:dyDescent="0.25">
      <c r="A1056" s="15">
        <f t="shared" si="16"/>
        <v>1055</v>
      </c>
      <c r="B1056" s="15" t="s">
        <v>153</v>
      </c>
      <c r="C1056" s="15" t="str" cm="1">
        <f t="array" ref="C1056">IFERROR(_xlfn.XLOOKUP(B1056, tblPeople[PersonID], tblPeople[PersonName], ""), "")</f>
        <v>Majid Mohamed</v>
      </c>
      <c r="D1056" s="15" t="s">
        <v>22</v>
      </c>
      <c r="E1056" s="16" t="str">
        <f>IFERROR(_xlfn.XLOOKUP(D1056, tblCourses[CourseID], tblCourses[CourseName], ""), "")</f>
        <v>Human Factors in Aviation (Refresher)</v>
      </c>
      <c r="F1056" s="17">
        <v>46112</v>
      </c>
      <c r="G1056" s="17" cm="1">
        <f t="array" ref="G10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46843</v>
      </c>
      <c r="H1056" s="15">
        <f ca="1">IF(OR(tblTraining[[#This Row],[Status]]="Renewed",tblTraining[[#This Row],[NextDueDate]]=""),"",tblTraining[[#This Row],[NextDueDate]]-TODAY())</f>
        <v>557</v>
      </c>
      <c r="I1056" s="15" t="str" cm="1">
        <f t="array" aca="1" ref="I10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7" spans="1:9" x14ac:dyDescent="0.25">
      <c r="A1057" s="15">
        <f t="shared" si="16"/>
        <v>1056</v>
      </c>
      <c r="B1057" s="15" t="s">
        <v>112</v>
      </c>
      <c r="C1057" s="15" t="str" cm="1">
        <f t="array" ref="C1057">IFERROR(_xlfn.XLOOKUP(B1057, tblPeople[PersonID], tblPeople[PersonName], ""), "")</f>
        <v>Patrick Mwangi</v>
      </c>
      <c r="D1057" s="15" t="s">
        <v>75</v>
      </c>
      <c r="E1057" s="16" t="str">
        <f>IFERROR(_xlfn.XLOOKUP(D1057, tblCourses[CourseID], tblCourses[CourseName], ""), "")</f>
        <v>Fuel Tank Safety Phase 1 &amp; 2 Course (Refresher)</v>
      </c>
      <c r="F1057" s="17">
        <v>46093</v>
      </c>
      <c r="G1057" s="17" cm="1">
        <f t="array" ref="G10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46824</v>
      </c>
      <c r="H1057" s="15">
        <f ca="1">IF(OR(tblTraining[[#This Row],[Status]]="Renewed",tblTraining[[#This Row],[NextDueDate]]=""),"",tblTraining[[#This Row],[NextDueDate]]-TODAY())</f>
        <v>538</v>
      </c>
      <c r="I1057" s="15" t="str" cm="1">
        <f t="array" aca="1" ref="I10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8" spans="1:9" x14ac:dyDescent="0.25">
      <c r="A1058" s="15">
        <f t="shared" si="16"/>
        <v>1057</v>
      </c>
      <c r="B1058" s="15" t="s">
        <v>107</v>
      </c>
      <c r="C1058" s="15" t="str" cm="1">
        <f t="array" ref="C1058">IFERROR(_xlfn.XLOOKUP(B1058, tblPeople[PersonID], tblPeople[PersonName], ""), "")</f>
        <v>Julius Nyawira</v>
      </c>
      <c r="D1058" s="15" t="s">
        <v>75</v>
      </c>
      <c r="E1058" s="16" t="str">
        <f>IFERROR(_xlfn.XLOOKUP(D1058, tblCourses[CourseID], tblCourses[CourseName], ""), "")</f>
        <v>Fuel Tank Safety Phase 1 &amp; 2 Course (Refresher)</v>
      </c>
      <c r="F1058" s="17">
        <v>46120</v>
      </c>
      <c r="G1058" s="17" cm="1">
        <f t="array" ref="G10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46851</v>
      </c>
      <c r="H1058" s="15">
        <f ca="1">IF(OR(tblTraining[[#This Row],[Status]]="Renewed",tblTraining[[#This Row],[NextDueDate]]=""),"",tblTraining[[#This Row],[NextDueDate]]-TODAY())</f>
        <v>565</v>
      </c>
      <c r="I1058" s="15" t="str" cm="1">
        <f t="array" aca="1" ref="I10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9" spans="1:9" x14ac:dyDescent="0.25">
      <c r="A1059" s="15">
        <f t="shared" si="16"/>
        <v>1058</v>
      </c>
      <c r="B1059" s="15" t="s">
        <v>90</v>
      </c>
      <c r="C1059" s="15" t="str" cm="1">
        <f t="array" ref="C1059">IFERROR(_xlfn.XLOOKUP(B1059, tblPeople[PersonID], tblPeople[PersonName], ""), "")</f>
        <v>Kendra Nambisia</v>
      </c>
      <c r="D1059" s="15" t="s">
        <v>179</v>
      </c>
      <c r="E1059" s="16" t="str">
        <f>IFERROR(_xlfn.XLOOKUP(D1059, tblCourses[CourseID], tblCourses[CourseName], ""), "")</f>
        <v>Aircraft Maintenance Engineers' Licence</v>
      </c>
      <c r="F1059" s="17">
        <v>46164</v>
      </c>
      <c r="G1059" s="17" cm="1">
        <f t="array" ref="G10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46895</v>
      </c>
      <c r="H1059" s="15">
        <f ca="1">IF(OR(tblTraining[[#This Row],[Status]]="Renewed",tblTraining[[#This Row],[NextDueDate]]=""),"",tblTraining[[#This Row],[NextDueDate]]-TODAY())</f>
        <v>609</v>
      </c>
      <c r="I1059" s="15" t="str" cm="1">
        <f t="array" aca="1" ref="I10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0" spans="1:9" x14ac:dyDescent="0.25">
      <c r="A1060" s="15">
        <f t="shared" si="16"/>
        <v>1059</v>
      </c>
      <c r="B1060" s="15" t="s">
        <v>100</v>
      </c>
      <c r="C1060" s="15" t="str" cm="1">
        <f t="array" ref="C1060">IFERROR(_xlfn.XLOOKUP(B1060, tblPeople[PersonID], tblPeople[PersonName], ""), "")</f>
        <v>John Muriithi</v>
      </c>
      <c r="D1060" s="15" t="s">
        <v>75</v>
      </c>
      <c r="E1060" s="16" t="str">
        <f>IFERROR(_xlfn.XLOOKUP(D1060, tblCourses[CourseID], tblCourses[CourseName], ""), "")</f>
        <v>Fuel Tank Safety Phase 1 &amp; 2 Course (Refresher)</v>
      </c>
      <c r="F1060" s="17">
        <v>46130</v>
      </c>
      <c r="G1060" s="17" cm="1">
        <f t="array" ref="G10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46861</v>
      </c>
      <c r="H1060" s="15">
        <f ca="1">IF(OR(tblTraining[[#This Row],[Status]]="Renewed",tblTraining[[#This Row],[NextDueDate]]=""),"",tblTraining[[#This Row],[NextDueDate]]-TODAY())</f>
        <v>575</v>
      </c>
      <c r="I1060" s="15" t="str" cm="1">
        <f t="array" aca="1" ref="I10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1" spans="1:9" x14ac:dyDescent="0.25">
      <c r="A1061" s="15">
        <f t="shared" si="16"/>
        <v>1060</v>
      </c>
      <c r="B1061" s="15" t="s">
        <v>397</v>
      </c>
      <c r="C1061" s="15" t="str" cm="1">
        <f t="array" ref="C1061">IFERROR(_xlfn.XLOOKUP(B1061, tblPeople[PersonID], tblPeople[PersonName], ""), "")</f>
        <v>Benson Gitahi</v>
      </c>
      <c r="D1061" s="15" t="s">
        <v>238</v>
      </c>
      <c r="E1061" s="16" t="str">
        <f>IFERROR(_xlfn.XLOOKUP(D1061, tblCourses[CourseID], tblCourses[CourseName], ""), "")</f>
        <v>Crew Resource Management (Initial)</v>
      </c>
      <c r="F1061" s="17">
        <v>46140</v>
      </c>
      <c r="G1061" s="17" t="str" cm="1">
        <f t="array" ref="G10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1" s="15" t="str">
        <f ca="1">IF(OR(tblTraining[[#This Row],[Status]]="Renewed",tblTraining[[#This Row],[NextDueDate]]=""),"",tblTraining[[#This Row],[NextDueDate]]-TODAY())</f>
        <v/>
      </c>
      <c r="I1061" s="15" t="str" cm="1">
        <f t="array" aca="1" ref="I10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2" spans="1:9" x14ac:dyDescent="0.25">
      <c r="A1062" s="15">
        <f t="shared" si="16"/>
        <v>1061</v>
      </c>
      <c r="B1062" s="15" t="s">
        <v>397</v>
      </c>
      <c r="C1062" s="15" t="str" cm="1">
        <f t="array" ref="C1062">IFERROR(_xlfn.XLOOKUP(B1062, tblPeople[PersonID], tblPeople[PersonName], ""), "")</f>
        <v>Benson Gitahi</v>
      </c>
      <c r="D1062" s="15" t="s">
        <v>237</v>
      </c>
      <c r="E1062" s="16" t="str">
        <f>IFERROR(_xlfn.XLOOKUP(D1062, tblCourses[CourseID], tblCourses[CourseName], ""), "")</f>
        <v>Crew Resource Management (Refresher)</v>
      </c>
      <c r="F1062" s="17">
        <v>46140</v>
      </c>
      <c r="G1062" s="17" cm="1">
        <f t="array" ref="G10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62" s="15">
        <f ca="1">IF(OR(tblTraining[[#This Row],[Status]]="Renewed",tblTraining[[#This Row],[NextDueDate]]=""),"",tblTraining[[#This Row],[NextDueDate]]-TODAY())</f>
        <v>585</v>
      </c>
      <c r="I1062" s="15" t="str" cm="1">
        <f t="array" aca="1" ref="I10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3" spans="1:9" x14ac:dyDescent="0.25">
      <c r="A1063" s="15">
        <f t="shared" si="16"/>
        <v>1062</v>
      </c>
      <c r="B1063" s="15" t="s">
        <v>409</v>
      </c>
      <c r="C1063" s="15" t="str" cm="1">
        <f t="array" ref="C1063">IFERROR(_xlfn.XLOOKUP(B1063, tblPeople[PersonID], tblPeople[PersonName], ""), "")</f>
        <v>Venessa Ikileng'</v>
      </c>
      <c r="D1063" s="15" t="s">
        <v>238</v>
      </c>
      <c r="E1063" s="16" t="str">
        <f>IFERROR(_xlfn.XLOOKUP(D1063, tblCourses[CourseID], tblCourses[CourseName], ""), "")</f>
        <v>Crew Resource Management (Initial)</v>
      </c>
      <c r="F1063" s="17">
        <v>46140</v>
      </c>
      <c r="G1063" s="17" t="str" cm="1">
        <f t="array" ref="G10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3" s="15" t="str">
        <f ca="1">IF(OR(tblTraining[[#This Row],[Status]]="Renewed",tblTraining[[#This Row],[NextDueDate]]=""),"",tblTraining[[#This Row],[NextDueDate]]-TODAY())</f>
        <v/>
      </c>
      <c r="I1063" s="15" t="str" cm="1">
        <f t="array" aca="1" ref="I10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4" spans="1:9" x14ac:dyDescent="0.25">
      <c r="A1064" s="15">
        <f t="shared" si="16"/>
        <v>1063</v>
      </c>
      <c r="B1064" s="15" t="s">
        <v>409</v>
      </c>
      <c r="C1064" s="15" t="str" cm="1">
        <f t="array" ref="C1064">IFERROR(_xlfn.XLOOKUP(B1064, tblPeople[PersonID], tblPeople[PersonName], ""), "")</f>
        <v>Venessa Ikileng'</v>
      </c>
      <c r="D1064" s="15" t="s">
        <v>237</v>
      </c>
      <c r="E1064" s="16" t="str">
        <f>IFERROR(_xlfn.XLOOKUP(D1064, tblCourses[CourseID], tblCourses[CourseName], ""), "")</f>
        <v>Crew Resource Management (Refresher)</v>
      </c>
      <c r="F1064" s="17">
        <v>46140</v>
      </c>
      <c r="G1064" s="17" cm="1">
        <f t="array" ref="G10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64" s="15">
        <f ca="1">IF(OR(tblTraining[[#This Row],[Status]]="Renewed",tblTraining[[#This Row],[NextDueDate]]=""),"",tblTraining[[#This Row],[NextDueDate]]-TODAY())</f>
        <v>585</v>
      </c>
      <c r="I1064" s="15" t="str" cm="1">
        <f t="array" aca="1" ref="I10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5" spans="1:9" x14ac:dyDescent="0.25">
      <c r="A1065" s="15">
        <f t="shared" si="16"/>
        <v>1064</v>
      </c>
      <c r="B1065" s="15" t="s">
        <v>410</v>
      </c>
      <c r="C1065" s="15" t="str" cm="1">
        <f t="array" ref="C1065">IFERROR(_xlfn.XLOOKUP(B1065, tblPeople[PersonID], tblPeople[PersonName], ""), "")</f>
        <v>Prudence Muhami</v>
      </c>
      <c r="D1065" s="15" t="s">
        <v>238</v>
      </c>
      <c r="E1065" s="16" t="str">
        <f>IFERROR(_xlfn.XLOOKUP(D1065, tblCourses[CourseID], tblCourses[CourseName], ""), "")</f>
        <v>Crew Resource Management (Initial)</v>
      </c>
      <c r="F1065" s="17">
        <v>46140</v>
      </c>
      <c r="G1065" s="17" t="str" cm="1">
        <f t="array" ref="G10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5" s="15" t="str">
        <f ca="1">IF(OR(tblTraining[[#This Row],[Status]]="Renewed",tblTraining[[#This Row],[NextDueDate]]=""),"",tblTraining[[#This Row],[NextDueDate]]-TODAY())</f>
        <v/>
      </c>
      <c r="I1065" s="15" t="str" cm="1">
        <f t="array" aca="1" ref="I10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6" spans="1:9" x14ac:dyDescent="0.25">
      <c r="A1066" s="15">
        <f t="shared" si="16"/>
        <v>1065</v>
      </c>
      <c r="B1066" s="15" t="s">
        <v>410</v>
      </c>
      <c r="C1066" s="15" t="str" cm="1">
        <f t="array" ref="C1066">IFERROR(_xlfn.XLOOKUP(B1066, tblPeople[PersonID], tblPeople[PersonName], ""), "")</f>
        <v>Prudence Muhami</v>
      </c>
      <c r="D1066" s="15" t="s">
        <v>237</v>
      </c>
      <c r="E1066" s="16" t="str">
        <f>IFERROR(_xlfn.XLOOKUP(D1066, tblCourses[CourseID], tblCourses[CourseName], ""), "")</f>
        <v>Crew Resource Management (Refresher)</v>
      </c>
      <c r="F1066" s="17">
        <v>46140</v>
      </c>
      <c r="G1066" s="17" cm="1">
        <f t="array" ref="G10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66" s="15">
        <f ca="1">IF(OR(tblTraining[[#This Row],[Status]]="Renewed",tblTraining[[#This Row],[NextDueDate]]=""),"",tblTraining[[#This Row],[NextDueDate]]-TODAY())</f>
        <v>585</v>
      </c>
      <c r="I1066" s="15" t="str" cm="1">
        <f t="array" aca="1" ref="I10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7" spans="1:9" x14ac:dyDescent="0.25">
      <c r="A1067" s="15">
        <f t="shared" si="16"/>
        <v>1066</v>
      </c>
      <c r="B1067" s="15" t="s">
        <v>413</v>
      </c>
      <c r="C1067" s="15" t="str" cm="1">
        <f t="array" ref="C1067">IFERROR(_xlfn.XLOOKUP(B1067, tblPeople[PersonID], tblPeople[PersonName], ""), "")</f>
        <v>James Muisyo</v>
      </c>
      <c r="D1067" s="15" t="s">
        <v>238</v>
      </c>
      <c r="E1067" s="16" t="str">
        <f>IFERROR(_xlfn.XLOOKUP(D1067, tblCourses[CourseID], tblCourses[CourseName], ""), "")</f>
        <v>Crew Resource Management (Initial)</v>
      </c>
      <c r="F1067" s="17">
        <v>46140</v>
      </c>
      <c r="G1067" s="17" t="str" cm="1">
        <f t="array" ref="G10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7" s="15" t="str">
        <f ca="1">IF(OR(tblTraining[[#This Row],[Status]]="Renewed",tblTraining[[#This Row],[NextDueDate]]=""),"",tblTraining[[#This Row],[NextDueDate]]-TODAY())</f>
        <v/>
      </c>
      <c r="I1067" s="15" t="str" cm="1">
        <f t="array" aca="1" ref="I10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8" spans="1:9" x14ac:dyDescent="0.25">
      <c r="A1068" s="15">
        <f t="shared" si="16"/>
        <v>1067</v>
      </c>
      <c r="B1068" s="15" t="s">
        <v>413</v>
      </c>
      <c r="C1068" s="15" t="str" cm="1">
        <f t="array" ref="C1068">IFERROR(_xlfn.XLOOKUP(B1068, tblPeople[PersonID], tblPeople[PersonName], ""), "")</f>
        <v>James Muisyo</v>
      </c>
      <c r="D1068" s="15" t="s">
        <v>237</v>
      </c>
      <c r="E1068" s="16" t="str">
        <f>IFERROR(_xlfn.XLOOKUP(D1068, tblCourses[CourseID], tblCourses[CourseName], ""), "")</f>
        <v>Crew Resource Management (Refresher)</v>
      </c>
      <c r="F1068" s="17">
        <v>46140</v>
      </c>
      <c r="G1068" s="17" cm="1">
        <f t="array" ref="G10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68" s="15">
        <f ca="1">IF(OR(tblTraining[[#This Row],[Status]]="Renewed",tblTraining[[#This Row],[NextDueDate]]=""),"",tblTraining[[#This Row],[NextDueDate]]-TODAY())</f>
        <v>585</v>
      </c>
      <c r="I1068" s="15" t="str" cm="1">
        <f t="array" aca="1" ref="I10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9" spans="1:9" x14ac:dyDescent="0.25">
      <c r="A1069" s="15">
        <f t="shared" si="16"/>
        <v>1068</v>
      </c>
      <c r="B1069" s="15" t="s">
        <v>442</v>
      </c>
      <c r="C1069" s="15" t="str" cm="1">
        <f t="array" ref="C1069">IFERROR(_xlfn.XLOOKUP(B1069, tblPeople[PersonID], tblPeople[PersonName], ""), "")</f>
        <v>Mary Chelagat</v>
      </c>
      <c r="D1069" s="15" t="s">
        <v>238</v>
      </c>
      <c r="E1069" s="16" t="str">
        <f>IFERROR(_xlfn.XLOOKUP(D1069, tblCourses[CourseID], tblCourses[CourseName], ""), "")</f>
        <v>Crew Resource Management (Initial)</v>
      </c>
      <c r="F1069" s="17">
        <v>46140</v>
      </c>
      <c r="G1069" s="17" t="str" cm="1">
        <f t="array" ref="G10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9" s="15" t="str">
        <f ca="1">IF(OR(tblTraining[[#This Row],[Status]]="Renewed",tblTraining[[#This Row],[NextDueDate]]=""),"",tblTraining[[#This Row],[NextDueDate]]-TODAY())</f>
        <v/>
      </c>
      <c r="I1069" s="15" t="str" cm="1">
        <f t="array" aca="1" ref="I10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0" spans="1:9" x14ac:dyDescent="0.25">
      <c r="A1070" s="15">
        <f t="shared" si="16"/>
        <v>1069</v>
      </c>
      <c r="B1070" s="15" t="s">
        <v>442</v>
      </c>
      <c r="C1070" s="15" t="str" cm="1">
        <f t="array" ref="C1070">IFERROR(_xlfn.XLOOKUP(B1070, tblPeople[PersonID], tblPeople[PersonName], ""), "")</f>
        <v>Mary Chelagat</v>
      </c>
      <c r="D1070" s="15" t="s">
        <v>237</v>
      </c>
      <c r="E1070" s="16" t="str">
        <f>IFERROR(_xlfn.XLOOKUP(D1070, tblCourses[CourseID], tblCourses[CourseName], ""), "")</f>
        <v>Crew Resource Management (Refresher)</v>
      </c>
      <c r="F1070" s="17">
        <v>46140</v>
      </c>
      <c r="G1070" s="17" cm="1">
        <f t="array" ref="G10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70" s="15">
        <f ca="1">IF(OR(tblTraining[[#This Row],[Status]]="Renewed",tblTraining[[#This Row],[NextDueDate]]=""),"",tblTraining[[#This Row],[NextDueDate]]-TODAY())</f>
        <v>585</v>
      </c>
      <c r="I1070" s="15" t="str" cm="1">
        <f t="array" aca="1" ref="I10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1" spans="1:9" x14ac:dyDescent="0.25">
      <c r="A1071" s="15">
        <f t="shared" si="16"/>
        <v>1070</v>
      </c>
      <c r="B1071" s="15" t="s">
        <v>443</v>
      </c>
      <c r="C1071" s="15" t="str" cm="1">
        <f t="array" ref="C1071">IFERROR(_xlfn.XLOOKUP(B1071, tblPeople[PersonID], tblPeople[PersonName], ""), "")</f>
        <v>Alfred Okudo</v>
      </c>
      <c r="D1071" s="15" t="s">
        <v>238</v>
      </c>
      <c r="E1071" s="16" t="str">
        <f>IFERROR(_xlfn.XLOOKUP(D1071, tblCourses[CourseID], tblCourses[CourseName], ""), "")</f>
        <v>Crew Resource Management (Initial)</v>
      </c>
      <c r="F1071" s="17">
        <v>46140</v>
      </c>
      <c r="G1071" s="17" t="str" cm="1">
        <f t="array" ref="G10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1" s="15" t="str">
        <f ca="1">IF(OR(tblTraining[[#This Row],[Status]]="Renewed",tblTraining[[#This Row],[NextDueDate]]=""),"",tblTraining[[#This Row],[NextDueDate]]-TODAY())</f>
        <v/>
      </c>
      <c r="I1071" s="15" t="str" cm="1">
        <f t="array" aca="1" ref="I10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2" spans="1:9" x14ac:dyDescent="0.25">
      <c r="A1072" s="15">
        <f t="shared" si="16"/>
        <v>1071</v>
      </c>
      <c r="B1072" s="15" t="s">
        <v>443</v>
      </c>
      <c r="C1072" s="15" t="str" cm="1">
        <f t="array" ref="C1072">IFERROR(_xlfn.XLOOKUP(B1072, tblPeople[PersonID], tblPeople[PersonName], ""), "")</f>
        <v>Alfred Okudo</v>
      </c>
      <c r="D1072" s="15" t="s">
        <v>237</v>
      </c>
      <c r="E1072" s="16" t="str">
        <f>IFERROR(_xlfn.XLOOKUP(D1072, tblCourses[CourseID], tblCourses[CourseName], ""), "")</f>
        <v>Crew Resource Management (Refresher)</v>
      </c>
      <c r="F1072" s="17">
        <v>46140</v>
      </c>
      <c r="G1072" s="17" cm="1">
        <f t="array" ref="G10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72" s="15">
        <f ca="1">IF(OR(tblTraining[[#This Row],[Status]]="Renewed",tblTraining[[#This Row],[NextDueDate]]=""),"",tblTraining[[#This Row],[NextDueDate]]-TODAY())</f>
        <v>585</v>
      </c>
      <c r="I1072" s="15" t="str" cm="1">
        <f t="array" aca="1" ref="I10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3" spans="1:9" x14ac:dyDescent="0.25">
      <c r="A1073" s="15">
        <f t="shared" si="16"/>
        <v>1072</v>
      </c>
      <c r="B1073" s="15" t="s">
        <v>444</v>
      </c>
      <c r="C1073" s="15" t="str" cm="1">
        <f t="array" ref="C1073">IFERROR(_xlfn.XLOOKUP(B1073, tblPeople[PersonID], tblPeople[PersonName], ""), "")</f>
        <v>Martin Chege</v>
      </c>
      <c r="D1073" s="15" t="s">
        <v>238</v>
      </c>
      <c r="E1073" s="16" t="str">
        <f>IFERROR(_xlfn.XLOOKUP(D1073, tblCourses[CourseID], tblCourses[CourseName], ""), "")</f>
        <v>Crew Resource Management (Initial)</v>
      </c>
      <c r="F1073" s="17">
        <v>46140</v>
      </c>
      <c r="G1073" s="17" t="str" cm="1">
        <f t="array" ref="G10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3" s="15" t="str">
        <f ca="1">IF(OR(tblTraining[[#This Row],[Status]]="Renewed",tblTraining[[#This Row],[NextDueDate]]=""),"",tblTraining[[#This Row],[NextDueDate]]-TODAY())</f>
        <v/>
      </c>
      <c r="I1073" s="15" t="str" cm="1">
        <f t="array" aca="1" ref="I10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4" spans="1:9" x14ac:dyDescent="0.25">
      <c r="A1074" s="15">
        <f t="shared" si="16"/>
        <v>1073</v>
      </c>
      <c r="B1074" s="15" t="s">
        <v>444</v>
      </c>
      <c r="C1074" s="15" t="str" cm="1">
        <f t="array" ref="C1074">IFERROR(_xlfn.XLOOKUP(B1074, tblPeople[PersonID], tblPeople[PersonName], ""), "")</f>
        <v>Martin Chege</v>
      </c>
      <c r="D1074" s="15" t="s">
        <v>237</v>
      </c>
      <c r="E1074" s="16" t="str">
        <f>IFERROR(_xlfn.XLOOKUP(D1074, tblCourses[CourseID], tblCourses[CourseName], ""), "")</f>
        <v>Crew Resource Management (Refresher)</v>
      </c>
      <c r="F1074" s="17">
        <v>46140</v>
      </c>
      <c r="G1074" s="17" cm="1">
        <f t="array" ref="G10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74" s="15">
        <f ca="1">IF(OR(tblTraining[[#This Row],[Status]]="Renewed",tblTraining[[#This Row],[NextDueDate]]=""),"",tblTraining[[#This Row],[NextDueDate]]-TODAY())</f>
        <v>585</v>
      </c>
      <c r="I1074" s="15" t="str" cm="1">
        <f t="array" aca="1" ref="I10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5" spans="1:9" x14ac:dyDescent="0.25">
      <c r="A1075" s="15">
        <f t="shared" si="16"/>
        <v>1074</v>
      </c>
      <c r="B1075" s="15" t="s">
        <v>445</v>
      </c>
      <c r="C1075" s="15" t="str" cm="1">
        <f t="array" ref="C1075">IFERROR(_xlfn.XLOOKUP(B1075, tblPeople[PersonID], tblPeople[PersonName], ""), "")</f>
        <v>Brian Muga</v>
      </c>
      <c r="D1075" s="15" t="s">
        <v>238</v>
      </c>
      <c r="E1075" s="16" t="str">
        <f>IFERROR(_xlfn.XLOOKUP(D1075, tblCourses[CourseID], tblCourses[CourseName], ""), "")</f>
        <v>Crew Resource Management (Initial)</v>
      </c>
      <c r="F1075" s="17">
        <v>46140</v>
      </c>
      <c r="G1075" s="17" t="str" cm="1">
        <f t="array" ref="G10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5" s="15" t="str">
        <f ca="1">IF(OR(tblTraining[[#This Row],[Status]]="Renewed",tblTraining[[#This Row],[NextDueDate]]=""),"",tblTraining[[#This Row],[NextDueDate]]-TODAY())</f>
        <v/>
      </c>
      <c r="I1075" s="15" t="str" cm="1">
        <f t="array" aca="1" ref="I10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6" spans="1:9" x14ac:dyDescent="0.25">
      <c r="A1076" s="15">
        <f t="shared" si="16"/>
        <v>1075</v>
      </c>
      <c r="B1076" s="15" t="s">
        <v>445</v>
      </c>
      <c r="C1076" s="15" t="str" cm="1">
        <f t="array" ref="C1076">IFERROR(_xlfn.XLOOKUP(B1076, tblPeople[PersonID], tblPeople[PersonName], ""), "")</f>
        <v>Brian Muga</v>
      </c>
      <c r="D1076" s="15" t="s">
        <v>237</v>
      </c>
      <c r="E1076" s="16" t="str">
        <f>IFERROR(_xlfn.XLOOKUP(D1076, tblCourses[CourseID], tblCourses[CourseName], ""), "")</f>
        <v>Crew Resource Management (Refresher)</v>
      </c>
      <c r="F1076" s="17">
        <v>46140</v>
      </c>
      <c r="G1076" s="17" cm="1">
        <f t="array" ref="G10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76" s="15">
        <f ca="1">IF(OR(tblTraining[[#This Row],[Status]]="Renewed",tblTraining[[#This Row],[NextDueDate]]=""),"",tblTraining[[#This Row],[NextDueDate]]-TODAY())</f>
        <v>585</v>
      </c>
      <c r="I1076" s="15" t="str" cm="1">
        <f t="array" aca="1" ref="I10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7" spans="1:9" x14ac:dyDescent="0.25">
      <c r="A1077" s="15">
        <f t="shared" si="16"/>
        <v>1076</v>
      </c>
      <c r="B1077" s="15" t="s">
        <v>447</v>
      </c>
      <c r="C1077" s="15" t="str" cm="1">
        <f t="array" ref="C1077">IFERROR(_xlfn.XLOOKUP(B1077, tblPeople[PersonID], tblPeople[PersonName], ""), "")</f>
        <v>Francis Mutonga</v>
      </c>
      <c r="D1077" s="15" t="s">
        <v>238</v>
      </c>
      <c r="E1077" s="16" t="str">
        <f>IFERROR(_xlfn.XLOOKUP(D1077, tblCourses[CourseID], tblCourses[CourseName], ""), "")</f>
        <v>Crew Resource Management (Initial)</v>
      </c>
      <c r="F1077" s="17">
        <v>46140</v>
      </c>
      <c r="G1077" s="17" t="str" cm="1">
        <f t="array" ref="G10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7" s="15" t="str">
        <f ca="1">IF(OR(tblTraining[[#This Row],[Status]]="Renewed",tblTraining[[#This Row],[NextDueDate]]=""),"",tblTraining[[#This Row],[NextDueDate]]-TODAY())</f>
        <v/>
      </c>
      <c r="I1077" s="15" t="str" cm="1">
        <f t="array" aca="1" ref="I10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8" spans="1:9" x14ac:dyDescent="0.25">
      <c r="A1078" s="15">
        <f t="shared" si="16"/>
        <v>1077</v>
      </c>
      <c r="B1078" s="15" t="s">
        <v>447</v>
      </c>
      <c r="C1078" s="15" t="str" cm="1">
        <f t="array" ref="C1078">IFERROR(_xlfn.XLOOKUP(B1078, tblPeople[PersonID], tblPeople[PersonName], ""), "")</f>
        <v>Francis Mutonga</v>
      </c>
      <c r="D1078" s="15" t="s">
        <v>237</v>
      </c>
      <c r="E1078" s="16" t="str">
        <f>IFERROR(_xlfn.XLOOKUP(D1078, tblCourses[CourseID], tblCourses[CourseName], ""), "")</f>
        <v>Crew Resource Management (Refresher)</v>
      </c>
      <c r="F1078" s="17">
        <v>46140</v>
      </c>
      <c r="G1078" s="17" cm="1">
        <f t="array" ref="G10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78" s="15">
        <f ca="1">IF(OR(tblTraining[[#This Row],[Status]]="Renewed",tblTraining[[#This Row],[NextDueDate]]=""),"",tblTraining[[#This Row],[NextDueDate]]-TODAY())</f>
        <v>585</v>
      </c>
      <c r="I1078" s="15" t="str" cm="1">
        <f t="array" aca="1" ref="I10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9" spans="1:9" x14ac:dyDescent="0.25">
      <c r="A1079" s="15">
        <f t="shared" si="16"/>
        <v>1078</v>
      </c>
      <c r="B1079" s="15" t="s">
        <v>397</v>
      </c>
      <c r="C1079" s="15" t="str" cm="1">
        <f t="array" ref="C1079">IFERROR(_xlfn.XLOOKUP(B1079, tblPeople[PersonID], tblPeople[PersonName], ""), "")</f>
        <v>Benson Gitahi</v>
      </c>
      <c r="D1079" s="15" t="s">
        <v>126</v>
      </c>
      <c r="E1079" s="16" t="str">
        <f>IFERROR(_xlfn.XLOOKUP(D1079, tblCourses[CourseID], tblCourses[CourseName], ""), "")</f>
        <v>Maintenance Indoctrination</v>
      </c>
      <c r="F1079" s="17">
        <v>46136</v>
      </c>
      <c r="G1079" s="17" t="str" cm="1">
        <f t="array" ref="G10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9" s="15" t="str">
        <f ca="1">IF(OR(tblTraining[[#This Row],[Status]]="Renewed",tblTraining[[#This Row],[NextDueDate]]=""),"",tblTraining[[#This Row],[NextDueDate]]-TODAY())</f>
        <v/>
      </c>
      <c r="I1079" s="15" t="str" cm="1">
        <f t="array" aca="1" ref="I10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0" spans="1:9" x14ac:dyDescent="0.25">
      <c r="A1080" s="15">
        <f t="shared" si="16"/>
        <v>1079</v>
      </c>
      <c r="B1080" s="15" t="s">
        <v>409</v>
      </c>
      <c r="C1080" s="15" t="str" cm="1">
        <f t="array" ref="C1080">IFERROR(_xlfn.XLOOKUP(B1080, tblPeople[PersonID], tblPeople[PersonName], ""), "")</f>
        <v>Venessa Ikileng'</v>
      </c>
      <c r="D1080" s="15" t="s">
        <v>126</v>
      </c>
      <c r="E1080" s="16" t="str">
        <f>IFERROR(_xlfn.XLOOKUP(D1080, tblCourses[CourseID], tblCourses[CourseName], ""), "")</f>
        <v>Maintenance Indoctrination</v>
      </c>
      <c r="F1080" s="17">
        <v>46136</v>
      </c>
      <c r="G1080" s="17" t="str" cm="1">
        <f t="array" ref="G10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0" s="15" t="str">
        <f ca="1">IF(OR(tblTraining[[#This Row],[Status]]="Renewed",tblTraining[[#This Row],[NextDueDate]]=""),"",tblTraining[[#This Row],[NextDueDate]]-TODAY())</f>
        <v/>
      </c>
      <c r="I1080" s="15" t="str" cm="1">
        <f t="array" aca="1" ref="I10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1" spans="1:9" x14ac:dyDescent="0.25">
      <c r="A1081" s="15">
        <f t="shared" si="16"/>
        <v>1080</v>
      </c>
      <c r="B1081" s="15" t="s">
        <v>410</v>
      </c>
      <c r="C1081" s="15" t="str" cm="1">
        <f t="array" ref="C1081">IFERROR(_xlfn.XLOOKUP(B1081, tblPeople[PersonID], tblPeople[PersonName], ""), "")</f>
        <v>Prudence Muhami</v>
      </c>
      <c r="D1081" s="15" t="s">
        <v>126</v>
      </c>
      <c r="E1081" s="16" t="str">
        <f>IFERROR(_xlfn.XLOOKUP(D1081, tblCourses[CourseID], tblCourses[CourseName], ""), "")</f>
        <v>Maintenance Indoctrination</v>
      </c>
      <c r="F1081" s="17">
        <v>46136</v>
      </c>
      <c r="G1081" s="17" t="str" cm="1">
        <f t="array" ref="G10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1" s="15" t="str">
        <f ca="1">IF(OR(tblTraining[[#This Row],[Status]]="Renewed",tblTraining[[#This Row],[NextDueDate]]=""),"",tblTraining[[#This Row],[NextDueDate]]-TODAY())</f>
        <v/>
      </c>
      <c r="I1081" s="15" t="str" cm="1">
        <f t="array" aca="1" ref="I10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2" spans="1:9" x14ac:dyDescent="0.25">
      <c r="A1082" s="15">
        <f t="shared" si="16"/>
        <v>1081</v>
      </c>
      <c r="B1082" s="15" t="s">
        <v>413</v>
      </c>
      <c r="C1082" s="15" t="str" cm="1">
        <f t="array" ref="C1082">IFERROR(_xlfn.XLOOKUP(B1082, tblPeople[PersonID], tblPeople[PersonName], ""), "")</f>
        <v>James Muisyo</v>
      </c>
      <c r="D1082" s="15" t="s">
        <v>126</v>
      </c>
      <c r="E1082" s="16" t="str">
        <f>IFERROR(_xlfn.XLOOKUP(D1082, tblCourses[CourseID], tblCourses[CourseName], ""), "")</f>
        <v>Maintenance Indoctrination</v>
      </c>
      <c r="F1082" s="17">
        <v>46136</v>
      </c>
      <c r="G1082" s="17" t="str" cm="1">
        <f t="array" ref="G10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2" s="15" t="str">
        <f ca="1">IF(OR(tblTraining[[#This Row],[Status]]="Renewed",tblTraining[[#This Row],[NextDueDate]]=""),"",tblTraining[[#This Row],[NextDueDate]]-TODAY())</f>
        <v/>
      </c>
      <c r="I1082" s="15" t="str" cm="1">
        <f t="array" aca="1" ref="I10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3" spans="1:9" x14ac:dyDescent="0.25">
      <c r="A1083" s="15">
        <f t="shared" si="16"/>
        <v>1082</v>
      </c>
      <c r="B1083" s="15" t="s">
        <v>442</v>
      </c>
      <c r="C1083" s="15" t="str" cm="1">
        <f t="array" ref="C1083">IFERROR(_xlfn.XLOOKUP(B1083, tblPeople[PersonID], tblPeople[PersonName], ""), "")</f>
        <v>Mary Chelagat</v>
      </c>
      <c r="D1083" s="15" t="s">
        <v>126</v>
      </c>
      <c r="E1083" s="16" t="str">
        <f>IFERROR(_xlfn.XLOOKUP(D1083, tblCourses[CourseID], tblCourses[CourseName], ""), "")</f>
        <v>Maintenance Indoctrination</v>
      </c>
      <c r="F1083" s="17">
        <v>46136</v>
      </c>
      <c r="G1083" s="17" t="str" cm="1">
        <f t="array" ref="G10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3" s="15" t="str">
        <f ca="1">IF(OR(tblTraining[[#This Row],[Status]]="Renewed",tblTraining[[#This Row],[NextDueDate]]=""),"",tblTraining[[#This Row],[NextDueDate]]-TODAY())</f>
        <v/>
      </c>
      <c r="I1083" s="15" t="str" cm="1">
        <f t="array" aca="1" ref="I10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4" spans="1:9" x14ac:dyDescent="0.25">
      <c r="A1084" s="15">
        <f t="shared" si="16"/>
        <v>1083</v>
      </c>
      <c r="B1084" s="15" t="s">
        <v>443</v>
      </c>
      <c r="C1084" s="15" t="str" cm="1">
        <f t="array" ref="C1084">IFERROR(_xlfn.XLOOKUP(B1084, tblPeople[PersonID], tblPeople[PersonName], ""), "")</f>
        <v>Alfred Okudo</v>
      </c>
      <c r="D1084" s="15" t="s">
        <v>126</v>
      </c>
      <c r="E1084" s="16" t="str">
        <f>IFERROR(_xlfn.XLOOKUP(D1084, tblCourses[CourseID], tblCourses[CourseName], ""), "")</f>
        <v>Maintenance Indoctrination</v>
      </c>
      <c r="F1084" s="17">
        <v>46136</v>
      </c>
      <c r="G1084" s="17" t="str" cm="1">
        <f t="array" ref="G10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4" s="15" t="str">
        <f ca="1">IF(OR(tblTraining[[#This Row],[Status]]="Renewed",tblTraining[[#This Row],[NextDueDate]]=""),"",tblTraining[[#This Row],[NextDueDate]]-TODAY())</f>
        <v/>
      </c>
      <c r="I1084" s="15" t="str" cm="1">
        <f t="array" aca="1" ref="I10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5" spans="1:9" x14ac:dyDescent="0.25">
      <c r="A1085" s="15">
        <f t="shared" si="16"/>
        <v>1084</v>
      </c>
      <c r="B1085" s="15" t="s">
        <v>444</v>
      </c>
      <c r="C1085" s="15" t="str" cm="1">
        <f t="array" ref="C1085">IFERROR(_xlfn.XLOOKUP(B1085, tblPeople[PersonID], tblPeople[PersonName], ""), "")</f>
        <v>Martin Chege</v>
      </c>
      <c r="D1085" s="15" t="s">
        <v>126</v>
      </c>
      <c r="E1085" s="16" t="str">
        <f>IFERROR(_xlfn.XLOOKUP(D1085, tblCourses[CourseID], tblCourses[CourseName], ""), "")</f>
        <v>Maintenance Indoctrination</v>
      </c>
      <c r="F1085" s="17">
        <v>46136</v>
      </c>
      <c r="G1085" s="17" t="str" cm="1">
        <f t="array" ref="G10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5" s="15" t="str">
        <f ca="1">IF(OR(tblTraining[[#This Row],[Status]]="Renewed",tblTraining[[#This Row],[NextDueDate]]=""),"",tblTraining[[#This Row],[NextDueDate]]-TODAY())</f>
        <v/>
      </c>
      <c r="I1085" s="15" t="str" cm="1">
        <f t="array" aca="1" ref="I10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6" spans="1:9" x14ac:dyDescent="0.25">
      <c r="A1086" s="15">
        <f t="shared" si="16"/>
        <v>1085</v>
      </c>
      <c r="B1086" s="15" t="s">
        <v>445</v>
      </c>
      <c r="C1086" s="15" t="str" cm="1">
        <f t="array" ref="C1086">IFERROR(_xlfn.XLOOKUP(B1086, tblPeople[PersonID], tblPeople[PersonName], ""), "")</f>
        <v>Brian Muga</v>
      </c>
      <c r="D1086" s="15" t="s">
        <v>126</v>
      </c>
      <c r="E1086" s="16" t="str">
        <f>IFERROR(_xlfn.XLOOKUP(D1086, tblCourses[CourseID], tblCourses[CourseName], ""), "")</f>
        <v>Maintenance Indoctrination</v>
      </c>
      <c r="F1086" s="17">
        <v>46136</v>
      </c>
      <c r="G1086" s="17" t="str" cm="1">
        <f t="array" ref="G10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6" s="15" t="str">
        <f ca="1">IF(OR(tblTraining[[#This Row],[Status]]="Renewed",tblTraining[[#This Row],[NextDueDate]]=""),"",tblTraining[[#This Row],[NextDueDate]]-TODAY())</f>
        <v/>
      </c>
      <c r="I1086" s="15" t="str" cm="1">
        <f t="array" aca="1" ref="I10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7" spans="1:9" x14ac:dyDescent="0.25">
      <c r="A1087" s="15">
        <f t="shared" si="16"/>
        <v>1086</v>
      </c>
      <c r="B1087" s="15" t="s">
        <v>450</v>
      </c>
      <c r="C1087" s="15" t="str" cm="1">
        <f t="array" ref="C1087">IFERROR(_xlfn.XLOOKUP(B1087, tblPeople[PersonID], tblPeople[PersonName], ""), "")</f>
        <v>Evans Maingi</v>
      </c>
      <c r="D1087" s="15" t="s">
        <v>126</v>
      </c>
      <c r="E1087" s="16" t="str">
        <f>IFERROR(_xlfn.XLOOKUP(D1087, tblCourses[CourseID], tblCourses[CourseName], ""), "")</f>
        <v>Maintenance Indoctrination</v>
      </c>
      <c r="F1087" s="17">
        <v>46136</v>
      </c>
      <c r="G1087" s="17" t="str" cm="1">
        <f t="array" ref="G10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7" s="15" t="str">
        <f ca="1">IF(OR(tblTraining[[#This Row],[Status]]="Renewed",tblTraining[[#This Row],[NextDueDate]]=""),"",tblTraining[[#This Row],[NextDueDate]]-TODAY())</f>
        <v/>
      </c>
      <c r="I1087" s="15" t="str" cm="1">
        <f t="array" aca="1" ref="I10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8" spans="1:9" x14ac:dyDescent="0.25">
      <c r="A1088" s="15">
        <f t="shared" si="16"/>
        <v>1087</v>
      </c>
      <c r="B1088" s="15" t="s">
        <v>447</v>
      </c>
      <c r="C1088" s="15" t="str" cm="1">
        <f t="array" ref="C1088">IFERROR(_xlfn.XLOOKUP(B1088, tblPeople[PersonID], tblPeople[PersonName], ""), "")</f>
        <v>Francis Mutonga</v>
      </c>
      <c r="D1088" s="15" t="s">
        <v>126</v>
      </c>
      <c r="E1088" s="16" t="str">
        <f>IFERROR(_xlfn.XLOOKUP(D1088, tblCourses[CourseID], tblCourses[CourseName], ""), "")</f>
        <v>Maintenance Indoctrination</v>
      </c>
      <c r="F1088" s="17">
        <v>46136</v>
      </c>
      <c r="G1088" s="17" t="str" cm="1">
        <f t="array" ref="G10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8" s="15" t="str">
        <f ca="1">IF(OR(tblTraining[[#This Row],[Status]]="Renewed",tblTraining[[#This Row],[NextDueDate]]=""),"",tblTraining[[#This Row],[NextDueDate]]-TODAY())</f>
        <v/>
      </c>
      <c r="I1088" s="15" t="str" cm="1">
        <f t="array" aca="1" ref="I10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9" spans="1:9" x14ac:dyDescent="0.25">
      <c r="A1089" s="15">
        <f t="shared" si="16"/>
        <v>1088</v>
      </c>
      <c r="B1089" s="15" t="s">
        <v>397</v>
      </c>
      <c r="C1089" s="15" t="str" cm="1">
        <f t="array" ref="C1089">IFERROR(_xlfn.XLOOKUP(B1089, tblPeople[PersonID], tblPeople[PersonName], ""), "")</f>
        <v>Benson Gitahi</v>
      </c>
      <c r="D1089" s="15" t="s">
        <v>124</v>
      </c>
      <c r="E1089" s="16" t="str">
        <f>IFERROR(_xlfn.XLOOKUP(D1089, tblCourses[CourseID], tblCourses[CourseName], ""), "")</f>
        <v>Aviation Security (Initial)</v>
      </c>
      <c r="F1089" s="17">
        <v>46142</v>
      </c>
      <c r="G1089" s="17" t="str" cm="1">
        <f t="array" ref="G10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9" s="15" t="str">
        <f ca="1">IF(OR(tblTraining[[#This Row],[Status]]="Renewed",tblTraining[[#This Row],[NextDueDate]]=""),"",tblTraining[[#This Row],[NextDueDate]]-TODAY())</f>
        <v/>
      </c>
      <c r="I1089" s="15" t="str" cm="1">
        <f t="array" aca="1" ref="I10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0" spans="1:9" x14ac:dyDescent="0.25">
      <c r="A1090" s="15">
        <f t="shared" si="16"/>
        <v>1089</v>
      </c>
      <c r="B1090" s="15" t="s">
        <v>397</v>
      </c>
      <c r="C1090" s="15" t="str" cm="1">
        <f t="array" ref="C1090">IFERROR(_xlfn.XLOOKUP(B1090, tblPeople[PersonID], tblPeople[PersonName], ""), "")</f>
        <v>Benson Gitahi</v>
      </c>
      <c r="D1090" s="15" t="s">
        <v>125</v>
      </c>
      <c r="E1090" s="16" t="str">
        <f>IFERROR(_xlfn.XLOOKUP(D1090, tblCourses[CourseID], tblCourses[CourseName], ""), "")</f>
        <v>Aviation Security (Refresher)</v>
      </c>
      <c r="F1090" s="17">
        <v>46142</v>
      </c>
      <c r="G1090" s="17" cm="1">
        <f t="array" ref="G10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90" s="15">
        <f ca="1">IF(OR(tblTraining[[#This Row],[Status]]="Renewed",tblTraining[[#This Row],[NextDueDate]]=""),"",tblTraining[[#This Row],[NextDueDate]]-TODAY())</f>
        <v>587</v>
      </c>
      <c r="I1090" s="15" t="str" cm="1">
        <f t="array" aca="1" ref="I10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1" spans="1:9" x14ac:dyDescent="0.25">
      <c r="A1091" s="15">
        <f t="shared" si="16"/>
        <v>1090</v>
      </c>
      <c r="B1091" s="15" t="s">
        <v>409</v>
      </c>
      <c r="C1091" s="15" t="str" cm="1">
        <f t="array" ref="C1091">IFERROR(_xlfn.XLOOKUP(B1091, tblPeople[PersonID], tblPeople[PersonName], ""), "")</f>
        <v>Venessa Ikileng'</v>
      </c>
      <c r="D1091" s="15" t="s">
        <v>124</v>
      </c>
      <c r="E1091" s="16" t="str">
        <f>IFERROR(_xlfn.XLOOKUP(D1091, tblCourses[CourseID], tblCourses[CourseName], ""), "")</f>
        <v>Aviation Security (Initial)</v>
      </c>
      <c r="F1091" s="17">
        <v>46142</v>
      </c>
      <c r="G1091" s="17" t="str" cm="1">
        <f t="array" ref="G10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1" s="15" t="str">
        <f ca="1">IF(OR(tblTraining[[#This Row],[Status]]="Renewed",tblTraining[[#This Row],[NextDueDate]]=""),"",tblTraining[[#This Row],[NextDueDate]]-TODAY())</f>
        <v/>
      </c>
      <c r="I1091" s="15" t="str" cm="1">
        <f t="array" aca="1" ref="I10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2" spans="1:9" x14ac:dyDescent="0.25">
      <c r="A1092" s="15">
        <f t="shared" ref="A1092:A1155" si="17">A1091+1</f>
        <v>1091</v>
      </c>
      <c r="B1092" s="15" t="s">
        <v>409</v>
      </c>
      <c r="C1092" s="15" t="str" cm="1">
        <f t="array" ref="C1092">IFERROR(_xlfn.XLOOKUP(B1092, tblPeople[PersonID], tblPeople[PersonName], ""), "")</f>
        <v>Venessa Ikileng'</v>
      </c>
      <c r="D1092" s="15" t="s">
        <v>125</v>
      </c>
      <c r="E1092" s="16" t="str">
        <f>IFERROR(_xlfn.XLOOKUP(D1092, tblCourses[CourseID], tblCourses[CourseName], ""), "")</f>
        <v>Aviation Security (Refresher)</v>
      </c>
      <c r="F1092" s="17">
        <v>46142</v>
      </c>
      <c r="G1092" s="17" cm="1">
        <f t="array" ref="G10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92" s="15">
        <f ca="1">IF(OR(tblTraining[[#This Row],[Status]]="Renewed",tblTraining[[#This Row],[NextDueDate]]=""),"",tblTraining[[#This Row],[NextDueDate]]-TODAY())</f>
        <v>587</v>
      </c>
      <c r="I1092" s="15" t="str" cm="1">
        <f t="array" aca="1" ref="I10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3" spans="1:9" x14ac:dyDescent="0.25">
      <c r="A1093" s="15">
        <f t="shared" si="17"/>
        <v>1092</v>
      </c>
      <c r="B1093" s="15" t="s">
        <v>410</v>
      </c>
      <c r="C1093" s="15" t="str" cm="1">
        <f t="array" ref="C1093">IFERROR(_xlfn.XLOOKUP(B1093, tblPeople[PersonID], tblPeople[PersonName], ""), "")</f>
        <v>Prudence Muhami</v>
      </c>
      <c r="D1093" s="15" t="s">
        <v>124</v>
      </c>
      <c r="E1093" s="16" t="str">
        <f>IFERROR(_xlfn.XLOOKUP(D1093, tblCourses[CourseID], tblCourses[CourseName], ""), "")</f>
        <v>Aviation Security (Initial)</v>
      </c>
      <c r="F1093" s="17">
        <v>46142</v>
      </c>
      <c r="G1093" s="17" t="str" cm="1">
        <f t="array" ref="G10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3" s="15" t="str">
        <f ca="1">IF(OR(tblTraining[[#This Row],[Status]]="Renewed",tblTraining[[#This Row],[NextDueDate]]=""),"",tblTraining[[#This Row],[NextDueDate]]-TODAY())</f>
        <v/>
      </c>
      <c r="I1093" s="15" t="str" cm="1">
        <f t="array" aca="1" ref="I10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4" spans="1:9" x14ac:dyDescent="0.25">
      <c r="A1094" s="15">
        <f t="shared" si="17"/>
        <v>1093</v>
      </c>
      <c r="B1094" s="15" t="s">
        <v>410</v>
      </c>
      <c r="C1094" s="15" t="str" cm="1">
        <f t="array" ref="C1094">IFERROR(_xlfn.XLOOKUP(B1094, tblPeople[PersonID], tblPeople[PersonName], ""), "")</f>
        <v>Prudence Muhami</v>
      </c>
      <c r="D1094" s="15" t="s">
        <v>125</v>
      </c>
      <c r="E1094" s="16" t="str">
        <f>IFERROR(_xlfn.XLOOKUP(D1094, tblCourses[CourseID], tblCourses[CourseName], ""), "")</f>
        <v>Aviation Security (Refresher)</v>
      </c>
      <c r="F1094" s="17">
        <v>46142</v>
      </c>
      <c r="G1094" s="17" cm="1">
        <f t="array" ref="G10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94" s="15">
        <f ca="1">IF(OR(tblTraining[[#This Row],[Status]]="Renewed",tblTraining[[#This Row],[NextDueDate]]=""),"",tblTraining[[#This Row],[NextDueDate]]-TODAY())</f>
        <v>587</v>
      </c>
      <c r="I1094" s="15" t="str" cm="1">
        <f t="array" aca="1" ref="I10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5" spans="1:9" x14ac:dyDescent="0.25">
      <c r="A1095" s="15">
        <f t="shared" si="17"/>
        <v>1094</v>
      </c>
      <c r="B1095" s="15" t="s">
        <v>413</v>
      </c>
      <c r="C1095" s="15" t="str" cm="1">
        <f t="array" ref="C1095">IFERROR(_xlfn.XLOOKUP(B1095, tblPeople[PersonID], tblPeople[PersonName], ""), "")</f>
        <v>James Muisyo</v>
      </c>
      <c r="D1095" s="15" t="s">
        <v>124</v>
      </c>
      <c r="E1095" s="16" t="str">
        <f>IFERROR(_xlfn.XLOOKUP(D1095, tblCourses[CourseID], tblCourses[CourseName], ""), "")</f>
        <v>Aviation Security (Initial)</v>
      </c>
      <c r="F1095" s="17">
        <v>46142</v>
      </c>
      <c r="G1095" s="17" t="str" cm="1">
        <f t="array" ref="G10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5" s="15" t="str">
        <f ca="1">IF(OR(tblTraining[[#This Row],[Status]]="Renewed",tblTraining[[#This Row],[NextDueDate]]=""),"",tblTraining[[#This Row],[NextDueDate]]-TODAY())</f>
        <v/>
      </c>
      <c r="I1095" s="15" t="str" cm="1">
        <f t="array" aca="1" ref="I10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6" spans="1:9" x14ac:dyDescent="0.25">
      <c r="A1096" s="15">
        <f t="shared" si="17"/>
        <v>1095</v>
      </c>
      <c r="B1096" s="15" t="s">
        <v>413</v>
      </c>
      <c r="C1096" s="15" t="str" cm="1">
        <f t="array" ref="C1096">IFERROR(_xlfn.XLOOKUP(B1096, tblPeople[PersonID], tblPeople[PersonName], ""), "")</f>
        <v>James Muisyo</v>
      </c>
      <c r="D1096" s="15" t="s">
        <v>125</v>
      </c>
      <c r="E1096" s="16" t="str">
        <f>IFERROR(_xlfn.XLOOKUP(D1096, tblCourses[CourseID], tblCourses[CourseName], ""), "")</f>
        <v>Aviation Security (Refresher)</v>
      </c>
      <c r="F1096" s="17">
        <v>46142</v>
      </c>
      <c r="G1096" s="17" cm="1">
        <f t="array" ref="G10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96" s="15">
        <f ca="1">IF(OR(tblTraining[[#This Row],[Status]]="Renewed",tblTraining[[#This Row],[NextDueDate]]=""),"",tblTraining[[#This Row],[NextDueDate]]-TODAY())</f>
        <v>587</v>
      </c>
      <c r="I1096" s="15" t="str" cm="1">
        <f t="array" aca="1" ref="I10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7" spans="1:9" x14ac:dyDescent="0.25">
      <c r="A1097" s="15">
        <f t="shared" si="17"/>
        <v>1096</v>
      </c>
      <c r="B1097" s="15" t="s">
        <v>442</v>
      </c>
      <c r="C1097" s="15" t="str" cm="1">
        <f t="array" ref="C1097">IFERROR(_xlfn.XLOOKUP(B1097, tblPeople[PersonID], tblPeople[PersonName], ""), "")</f>
        <v>Mary Chelagat</v>
      </c>
      <c r="D1097" s="15" t="s">
        <v>124</v>
      </c>
      <c r="E1097" s="16" t="str">
        <f>IFERROR(_xlfn.XLOOKUP(D1097, tblCourses[CourseID], tblCourses[CourseName], ""), "")</f>
        <v>Aviation Security (Initial)</v>
      </c>
      <c r="F1097" s="17">
        <v>46142</v>
      </c>
      <c r="G1097" s="17" t="str" cm="1">
        <f t="array" ref="G10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7" s="15" t="str">
        <f ca="1">IF(OR(tblTraining[[#This Row],[Status]]="Renewed",tblTraining[[#This Row],[NextDueDate]]=""),"",tblTraining[[#This Row],[NextDueDate]]-TODAY())</f>
        <v/>
      </c>
      <c r="I1097" s="15" t="str" cm="1">
        <f t="array" aca="1" ref="I10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8" spans="1:9" x14ac:dyDescent="0.25">
      <c r="A1098" s="15">
        <f t="shared" si="17"/>
        <v>1097</v>
      </c>
      <c r="B1098" s="15" t="s">
        <v>442</v>
      </c>
      <c r="C1098" s="15" t="str" cm="1">
        <f t="array" ref="C1098">IFERROR(_xlfn.XLOOKUP(B1098, tblPeople[PersonID], tblPeople[PersonName], ""), "")</f>
        <v>Mary Chelagat</v>
      </c>
      <c r="D1098" s="15" t="s">
        <v>125</v>
      </c>
      <c r="E1098" s="16" t="str">
        <f>IFERROR(_xlfn.XLOOKUP(D1098, tblCourses[CourseID], tblCourses[CourseName], ""), "")</f>
        <v>Aviation Security (Refresher)</v>
      </c>
      <c r="F1098" s="17">
        <v>46142</v>
      </c>
      <c r="G1098" s="17" cm="1">
        <f t="array" ref="G10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98" s="15">
        <f ca="1">IF(OR(tblTraining[[#This Row],[Status]]="Renewed",tblTraining[[#This Row],[NextDueDate]]=""),"",tblTraining[[#This Row],[NextDueDate]]-TODAY())</f>
        <v>587</v>
      </c>
      <c r="I1098" s="15" t="str" cm="1">
        <f t="array" aca="1" ref="I10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9" spans="1:9" x14ac:dyDescent="0.25">
      <c r="A1099" s="15">
        <f t="shared" si="17"/>
        <v>1098</v>
      </c>
      <c r="B1099" s="15" t="s">
        <v>443</v>
      </c>
      <c r="C1099" s="15" t="str" cm="1">
        <f t="array" ref="C1099">IFERROR(_xlfn.XLOOKUP(B1099, tblPeople[PersonID], tblPeople[PersonName], ""), "")</f>
        <v>Alfred Okudo</v>
      </c>
      <c r="D1099" s="15" t="s">
        <v>124</v>
      </c>
      <c r="E1099" s="16" t="str">
        <f>IFERROR(_xlfn.XLOOKUP(D1099, tblCourses[CourseID], tblCourses[CourseName], ""), "")</f>
        <v>Aviation Security (Initial)</v>
      </c>
      <c r="F1099" s="17">
        <v>46142</v>
      </c>
      <c r="G1099" s="17" t="str" cm="1">
        <f t="array" ref="G10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9" s="15" t="str">
        <f ca="1">IF(OR(tblTraining[[#This Row],[Status]]="Renewed",tblTraining[[#This Row],[NextDueDate]]=""),"",tblTraining[[#This Row],[NextDueDate]]-TODAY())</f>
        <v/>
      </c>
      <c r="I1099" s="15" t="str" cm="1">
        <f t="array" aca="1" ref="I10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0" spans="1:9" x14ac:dyDescent="0.25">
      <c r="A1100" s="15">
        <f t="shared" si="17"/>
        <v>1099</v>
      </c>
      <c r="B1100" s="15" t="s">
        <v>443</v>
      </c>
      <c r="C1100" s="15" t="str" cm="1">
        <f t="array" ref="C1100">IFERROR(_xlfn.XLOOKUP(B1100, tblPeople[PersonID], tblPeople[PersonName], ""), "")</f>
        <v>Alfred Okudo</v>
      </c>
      <c r="D1100" s="15" t="s">
        <v>125</v>
      </c>
      <c r="E1100" s="16" t="str">
        <f>IFERROR(_xlfn.XLOOKUP(D1100, tblCourses[CourseID], tblCourses[CourseName], ""), "")</f>
        <v>Aviation Security (Refresher)</v>
      </c>
      <c r="F1100" s="17">
        <v>46142</v>
      </c>
      <c r="G1100" s="17" cm="1">
        <f t="array" ref="G11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100" s="15">
        <f ca="1">IF(OR(tblTraining[[#This Row],[Status]]="Renewed",tblTraining[[#This Row],[NextDueDate]]=""),"",tblTraining[[#This Row],[NextDueDate]]-TODAY())</f>
        <v>587</v>
      </c>
      <c r="I1100" s="15" t="str" cm="1">
        <f t="array" aca="1" ref="I11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1" spans="1:9" x14ac:dyDescent="0.25">
      <c r="A1101" s="15">
        <f t="shared" si="17"/>
        <v>1100</v>
      </c>
      <c r="B1101" s="15" t="s">
        <v>444</v>
      </c>
      <c r="C1101" s="15" t="str" cm="1">
        <f t="array" ref="C1101">IFERROR(_xlfn.XLOOKUP(B1101, tblPeople[PersonID], tblPeople[PersonName], ""), "")</f>
        <v>Martin Chege</v>
      </c>
      <c r="D1101" s="15" t="s">
        <v>124</v>
      </c>
      <c r="E1101" s="16" t="str">
        <f>IFERROR(_xlfn.XLOOKUP(D1101, tblCourses[CourseID], tblCourses[CourseName], ""), "")</f>
        <v>Aviation Security (Initial)</v>
      </c>
      <c r="F1101" s="17">
        <v>46142</v>
      </c>
      <c r="G1101" s="17" t="str" cm="1">
        <f t="array" ref="G11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1" s="15" t="str">
        <f ca="1">IF(OR(tblTraining[[#This Row],[Status]]="Renewed",tblTraining[[#This Row],[NextDueDate]]=""),"",tblTraining[[#This Row],[NextDueDate]]-TODAY())</f>
        <v/>
      </c>
      <c r="I1101" s="15" t="str" cm="1">
        <f t="array" aca="1" ref="I11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2" spans="1:9" x14ac:dyDescent="0.25">
      <c r="A1102" s="15">
        <f t="shared" si="17"/>
        <v>1101</v>
      </c>
      <c r="B1102" s="15" t="s">
        <v>444</v>
      </c>
      <c r="C1102" s="15" t="str" cm="1">
        <f t="array" ref="C1102">IFERROR(_xlfn.XLOOKUP(B1102, tblPeople[PersonID], tblPeople[PersonName], ""), "")</f>
        <v>Martin Chege</v>
      </c>
      <c r="D1102" s="15" t="s">
        <v>125</v>
      </c>
      <c r="E1102" s="16" t="str">
        <f>IFERROR(_xlfn.XLOOKUP(D1102, tblCourses[CourseID], tblCourses[CourseName], ""), "")</f>
        <v>Aviation Security (Refresher)</v>
      </c>
      <c r="F1102" s="17">
        <v>46142</v>
      </c>
      <c r="G1102" s="17" cm="1">
        <f t="array" ref="G11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102" s="15">
        <f ca="1">IF(OR(tblTraining[[#This Row],[Status]]="Renewed",tblTraining[[#This Row],[NextDueDate]]=""),"",tblTraining[[#This Row],[NextDueDate]]-TODAY())</f>
        <v>587</v>
      </c>
      <c r="I1102" s="15" t="str" cm="1">
        <f t="array" aca="1" ref="I11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3" spans="1:9" x14ac:dyDescent="0.25">
      <c r="A1103" s="15">
        <f t="shared" si="17"/>
        <v>1102</v>
      </c>
      <c r="B1103" s="15" t="s">
        <v>445</v>
      </c>
      <c r="C1103" s="15" t="str" cm="1">
        <f t="array" ref="C1103">IFERROR(_xlfn.XLOOKUP(B1103, tblPeople[PersonID], tblPeople[PersonName], ""), "")</f>
        <v>Brian Muga</v>
      </c>
      <c r="D1103" s="15" t="s">
        <v>124</v>
      </c>
      <c r="E1103" s="16" t="str">
        <f>IFERROR(_xlfn.XLOOKUP(D1103, tblCourses[CourseID], tblCourses[CourseName], ""), "")</f>
        <v>Aviation Security (Initial)</v>
      </c>
      <c r="F1103" s="17">
        <v>46142</v>
      </c>
      <c r="G1103" s="17" t="str" cm="1">
        <f t="array" ref="G11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3" s="15" t="str">
        <f ca="1">IF(OR(tblTraining[[#This Row],[Status]]="Renewed",tblTraining[[#This Row],[NextDueDate]]=""),"",tblTraining[[#This Row],[NextDueDate]]-TODAY())</f>
        <v/>
      </c>
      <c r="I1103" s="15" t="str" cm="1">
        <f t="array" aca="1" ref="I11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4" spans="1:9" x14ac:dyDescent="0.25">
      <c r="A1104" s="15">
        <f t="shared" si="17"/>
        <v>1103</v>
      </c>
      <c r="B1104" s="15" t="s">
        <v>445</v>
      </c>
      <c r="C1104" s="15" t="str" cm="1">
        <f t="array" ref="C1104">IFERROR(_xlfn.XLOOKUP(B1104, tblPeople[PersonID], tblPeople[PersonName], ""), "")</f>
        <v>Brian Muga</v>
      </c>
      <c r="D1104" s="15" t="s">
        <v>125</v>
      </c>
      <c r="E1104" s="16" t="str">
        <f>IFERROR(_xlfn.XLOOKUP(D1104, tblCourses[CourseID], tblCourses[CourseName], ""), "")</f>
        <v>Aviation Security (Refresher)</v>
      </c>
      <c r="F1104" s="17">
        <v>46142</v>
      </c>
      <c r="G1104" s="17" cm="1">
        <f t="array" ref="G11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104" s="15">
        <f ca="1">IF(OR(tblTraining[[#This Row],[Status]]="Renewed",tblTraining[[#This Row],[NextDueDate]]=""),"",tblTraining[[#This Row],[NextDueDate]]-TODAY())</f>
        <v>587</v>
      </c>
      <c r="I1104" s="15" t="str" cm="1">
        <f t="array" aca="1" ref="I11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5" spans="1:9" x14ac:dyDescent="0.25">
      <c r="A1105" s="15">
        <f t="shared" si="17"/>
        <v>1104</v>
      </c>
      <c r="B1105" s="15" t="s">
        <v>450</v>
      </c>
      <c r="C1105" s="15" t="str" cm="1">
        <f t="array" ref="C1105">IFERROR(_xlfn.XLOOKUP(B1105, tblPeople[PersonID], tblPeople[PersonName], ""), "")</f>
        <v>Evans Maingi</v>
      </c>
      <c r="D1105" s="15" t="s">
        <v>124</v>
      </c>
      <c r="E1105" s="16" t="str">
        <f>IFERROR(_xlfn.XLOOKUP(D1105, tblCourses[CourseID], tblCourses[CourseName], ""), "")</f>
        <v>Aviation Security (Initial)</v>
      </c>
      <c r="F1105" s="17">
        <v>46142</v>
      </c>
      <c r="G1105" s="17" t="str" cm="1">
        <f t="array" ref="G11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5" s="15" t="str">
        <f ca="1">IF(OR(tblTraining[[#This Row],[Status]]="Renewed",tblTraining[[#This Row],[NextDueDate]]=""),"",tblTraining[[#This Row],[NextDueDate]]-TODAY())</f>
        <v/>
      </c>
      <c r="I1105" s="15" t="str" cm="1">
        <f t="array" aca="1" ref="I11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6" spans="1:9" x14ac:dyDescent="0.25">
      <c r="A1106" s="15">
        <f t="shared" si="17"/>
        <v>1105</v>
      </c>
      <c r="B1106" s="15" t="s">
        <v>450</v>
      </c>
      <c r="C1106" s="15" t="str" cm="1">
        <f t="array" ref="C1106">IFERROR(_xlfn.XLOOKUP(B1106, tblPeople[PersonID], tblPeople[PersonName], ""), "")</f>
        <v>Evans Maingi</v>
      </c>
      <c r="D1106" s="15" t="s">
        <v>125</v>
      </c>
      <c r="E1106" s="16" t="str">
        <f>IFERROR(_xlfn.XLOOKUP(D1106, tblCourses[CourseID], tblCourses[CourseName], ""), "")</f>
        <v>Aviation Security (Refresher)</v>
      </c>
      <c r="F1106" s="17">
        <v>46142</v>
      </c>
      <c r="G1106" s="17" cm="1">
        <f t="array" ref="G11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106" s="15">
        <f ca="1">IF(OR(tblTraining[[#This Row],[Status]]="Renewed",tblTraining[[#This Row],[NextDueDate]]=""),"",tblTraining[[#This Row],[NextDueDate]]-TODAY())</f>
        <v>587</v>
      </c>
      <c r="I1106" s="15" t="str" cm="1">
        <f t="array" aca="1" ref="I11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7" spans="1:9" x14ac:dyDescent="0.25">
      <c r="A1107" s="15">
        <f t="shared" si="17"/>
        <v>1106</v>
      </c>
      <c r="B1107" s="15" t="s">
        <v>447</v>
      </c>
      <c r="C1107" s="15" t="str" cm="1">
        <f t="array" ref="C1107">IFERROR(_xlfn.XLOOKUP(B1107, tblPeople[PersonID], tblPeople[PersonName], ""), "")</f>
        <v>Francis Mutonga</v>
      </c>
      <c r="D1107" s="15" t="s">
        <v>124</v>
      </c>
      <c r="E1107" s="16" t="str">
        <f>IFERROR(_xlfn.XLOOKUP(D1107, tblCourses[CourseID], tblCourses[CourseName], ""), "")</f>
        <v>Aviation Security (Initial)</v>
      </c>
      <c r="F1107" s="17">
        <v>46142</v>
      </c>
      <c r="G1107" s="17" t="str" cm="1">
        <f t="array" ref="G11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7" s="15" t="str">
        <f ca="1">IF(OR(tblTraining[[#This Row],[Status]]="Renewed",tblTraining[[#This Row],[NextDueDate]]=""),"",tblTraining[[#This Row],[NextDueDate]]-TODAY())</f>
        <v/>
      </c>
      <c r="I1107" s="15" t="str" cm="1">
        <f t="array" aca="1" ref="I11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8" spans="1:9" x14ac:dyDescent="0.25">
      <c r="A1108" s="15">
        <f t="shared" si="17"/>
        <v>1107</v>
      </c>
      <c r="B1108" s="15" t="s">
        <v>447</v>
      </c>
      <c r="C1108" s="15" t="str" cm="1">
        <f t="array" ref="C1108">IFERROR(_xlfn.XLOOKUP(B1108, tblPeople[PersonID], tblPeople[PersonName], ""), "")</f>
        <v>Francis Mutonga</v>
      </c>
      <c r="D1108" s="15" t="s">
        <v>125</v>
      </c>
      <c r="E1108" s="16" t="str">
        <f>IFERROR(_xlfn.XLOOKUP(D1108, tblCourses[CourseID], tblCourses[CourseName], ""), "")</f>
        <v>Aviation Security (Refresher)</v>
      </c>
      <c r="F1108" s="17">
        <v>46142</v>
      </c>
      <c r="G1108" s="17" cm="1">
        <f t="array" ref="G11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108" s="15">
        <f ca="1">IF(OR(tblTraining[[#This Row],[Status]]="Renewed",tblTraining[[#This Row],[NextDueDate]]=""),"",tblTraining[[#This Row],[NextDueDate]]-TODAY())</f>
        <v>587</v>
      </c>
      <c r="I1108" s="15" t="str" cm="1">
        <f t="array" aca="1" ref="I11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9" spans="1:9" x14ac:dyDescent="0.25">
      <c r="A1109" s="15">
        <f t="shared" si="17"/>
        <v>1108</v>
      </c>
      <c r="B1109" s="15" t="s">
        <v>397</v>
      </c>
      <c r="C1109" s="15" t="str" cm="1">
        <f t="array" ref="C1109">IFERROR(_xlfn.XLOOKUP(B1109, tblPeople[PersonID], tblPeople[PersonName], ""), "")</f>
        <v>Benson Gitahi</v>
      </c>
      <c r="D1109" s="15" t="s">
        <v>32</v>
      </c>
      <c r="E1109" s="16" t="str">
        <f>IFERROR(_xlfn.XLOOKUP(D1109, tblCourses[CourseID], tblCourses[CourseName], ""), "")</f>
        <v>Dangerous Goods Regulations (CBTA 7.3) (Initial)</v>
      </c>
      <c r="F1109" s="17">
        <v>46153</v>
      </c>
      <c r="G1109" s="17" t="str" cm="1">
        <f t="array" ref="G11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9" s="15" t="str">
        <f ca="1">IF(OR(tblTraining[[#This Row],[Status]]="Renewed",tblTraining[[#This Row],[NextDueDate]]=""),"",tblTraining[[#This Row],[NextDueDate]]-TODAY())</f>
        <v/>
      </c>
      <c r="I1109" s="15" t="str" cm="1">
        <f t="array" aca="1" ref="I11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0" spans="1:9" x14ac:dyDescent="0.25">
      <c r="A1110" s="15">
        <f t="shared" si="17"/>
        <v>1109</v>
      </c>
      <c r="B1110" s="15" t="s">
        <v>397</v>
      </c>
      <c r="C1110" s="15" t="str" cm="1">
        <f t="array" ref="C1110">IFERROR(_xlfn.XLOOKUP(B1110, tblPeople[PersonID], tblPeople[PersonName], ""), "")</f>
        <v>Benson Gitahi</v>
      </c>
      <c r="D1110" s="15" t="s">
        <v>30</v>
      </c>
      <c r="E1110" s="16" t="str">
        <f>IFERROR(_xlfn.XLOOKUP(D1110, tblCourses[CourseID], tblCourses[CourseName], ""), "")</f>
        <v>Dangerous Goods Regulations (CBTA 7.3) (Refresher)</v>
      </c>
      <c r="F1110" s="17">
        <v>46153</v>
      </c>
      <c r="G1110" s="17" cm="1">
        <f t="array" ref="G11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10" s="15">
        <f ca="1">IF(OR(tblTraining[[#This Row],[Status]]="Renewed",tblTraining[[#This Row],[NextDueDate]]=""),"",tblTraining[[#This Row],[NextDueDate]]-TODAY())</f>
        <v>598</v>
      </c>
      <c r="I1110" s="15" t="str" cm="1">
        <f t="array" aca="1" ref="I11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1" spans="1:9" x14ac:dyDescent="0.25">
      <c r="A1111" s="15">
        <f t="shared" si="17"/>
        <v>1110</v>
      </c>
      <c r="B1111" s="15" t="s">
        <v>409</v>
      </c>
      <c r="C1111" s="15" t="str" cm="1">
        <f t="array" ref="C1111">IFERROR(_xlfn.XLOOKUP(B1111, tblPeople[PersonID], tblPeople[PersonName], ""), "")</f>
        <v>Venessa Ikileng'</v>
      </c>
      <c r="D1111" s="15" t="s">
        <v>32</v>
      </c>
      <c r="E1111" s="16" t="str">
        <f>IFERROR(_xlfn.XLOOKUP(D1111, tblCourses[CourseID], tblCourses[CourseName], ""), "")</f>
        <v>Dangerous Goods Regulations (CBTA 7.3) (Initial)</v>
      </c>
      <c r="F1111" s="17">
        <v>46153</v>
      </c>
      <c r="G1111" s="17" t="str" cm="1">
        <f t="array" ref="G11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1" s="15" t="str">
        <f ca="1">IF(OR(tblTraining[[#This Row],[Status]]="Renewed",tblTraining[[#This Row],[NextDueDate]]=""),"",tblTraining[[#This Row],[NextDueDate]]-TODAY())</f>
        <v/>
      </c>
      <c r="I1111" s="15" t="str" cm="1">
        <f t="array" aca="1" ref="I11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2" spans="1:9" x14ac:dyDescent="0.25">
      <c r="A1112" s="15">
        <f t="shared" si="17"/>
        <v>1111</v>
      </c>
      <c r="B1112" s="15" t="s">
        <v>409</v>
      </c>
      <c r="C1112" s="15" t="str" cm="1">
        <f t="array" ref="C1112">IFERROR(_xlfn.XLOOKUP(B1112, tblPeople[PersonID], tblPeople[PersonName], ""), "")</f>
        <v>Venessa Ikileng'</v>
      </c>
      <c r="D1112" s="15" t="s">
        <v>30</v>
      </c>
      <c r="E1112" s="16" t="str">
        <f>IFERROR(_xlfn.XLOOKUP(D1112, tblCourses[CourseID], tblCourses[CourseName], ""), "")</f>
        <v>Dangerous Goods Regulations (CBTA 7.3) (Refresher)</v>
      </c>
      <c r="F1112" s="17">
        <v>46153</v>
      </c>
      <c r="G1112" s="17" cm="1">
        <f t="array" ref="G11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12" s="15">
        <f ca="1">IF(OR(tblTraining[[#This Row],[Status]]="Renewed",tblTraining[[#This Row],[NextDueDate]]=""),"",tblTraining[[#This Row],[NextDueDate]]-TODAY())</f>
        <v>598</v>
      </c>
      <c r="I1112" s="15" t="str" cm="1">
        <f t="array" aca="1" ref="I11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3" spans="1:9" x14ac:dyDescent="0.25">
      <c r="A1113" s="15">
        <f t="shared" si="17"/>
        <v>1112</v>
      </c>
      <c r="B1113" s="15" t="s">
        <v>410</v>
      </c>
      <c r="C1113" s="15" t="str" cm="1">
        <f t="array" ref="C1113">IFERROR(_xlfn.XLOOKUP(B1113, tblPeople[PersonID], tblPeople[PersonName], ""), "")</f>
        <v>Prudence Muhami</v>
      </c>
      <c r="D1113" s="15" t="s">
        <v>32</v>
      </c>
      <c r="E1113" s="16" t="str">
        <f>IFERROR(_xlfn.XLOOKUP(D1113, tblCourses[CourseID], tblCourses[CourseName], ""), "")</f>
        <v>Dangerous Goods Regulations (CBTA 7.3) (Initial)</v>
      </c>
      <c r="F1113" s="17">
        <v>46153</v>
      </c>
      <c r="G1113" s="17" t="str" cm="1">
        <f t="array" ref="G11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3" s="15" t="str">
        <f ca="1">IF(OR(tblTraining[[#This Row],[Status]]="Renewed",tblTraining[[#This Row],[NextDueDate]]=""),"",tblTraining[[#This Row],[NextDueDate]]-TODAY())</f>
        <v/>
      </c>
      <c r="I1113" s="15" t="str" cm="1">
        <f t="array" aca="1" ref="I11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4" spans="1:9" x14ac:dyDescent="0.25">
      <c r="A1114" s="15">
        <f t="shared" si="17"/>
        <v>1113</v>
      </c>
      <c r="B1114" s="15" t="s">
        <v>410</v>
      </c>
      <c r="C1114" s="15" t="str" cm="1">
        <f t="array" ref="C1114">IFERROR(_xlfn.XLOOKUP(B1114, tblPeople[PersonID], tblPeople[PersonName], ""), "")</f>
        <v>Prudence Muhami</v>
      </c>
      <c r="D1114" s="15" t="s">
        <v>30</v>
      </c>
      <c r="E1114" s="16" t="str">
        <f>IFERROR(_xlfn.XLOOKUP(D1114, tblCourses[CourseID], tblCourses[CourseName], ""), "")</f>
        <v>Dangerous Goods Regulations (CBTA 7.3) (Refresher)</v>
      </c>
      <c r="F1114" s="17">
        <v>46153</v>
      </c>
      <c r="G1114" s="17" cm="1">
        <f t="array" ref="G11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14" s="15">
        <f ca="1">IF(OR(tblTraining[[#This Row],[Status]]="Renewed",tblTraining[[#This Row],[NextDueDate]]=""),"",tblTraining[[#This Row],[NextDueDate]]-TODAY())</f>
        <v>598</v>
      </c>
      <c r="I1114" s="15" t="str" cm="1">
        <f t="array" aca="1" ref="I11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5" spans="1:9" x14ac:dyDescent="0.25">
      <c r="A1115" s="15">
        <f t="shared" si="17"/>
        <v>1114</v>
      </c>
      <c r="B1115" s="15" t="s">
        <v>413</v>
      </c>
      <c r="C1115" s="15" t="str" cm="1">
        <f t="array" ref="C1115">IFERROR(_xlfn.XLOOKUP(B1115, tblPeople[PersonID], tblPeople[PersonName], ""), "")</f>
        <v>James Muisyo</v>
      </c>
      <c r="D1115" s="15" t="s">
        <v>32</v>
      </c>
      <c r="E1115" s="16" t="str">
        <f>IFERROR(_xlfn.XLOOKUP(D1115, tblCourses[CourseID], tblCourses[CourseName], ""), "")</f>
        <v>Dangerous Goods Regulations (CBTA 7.3) (Initial)</v>
      </c>
      <c r="F1115" s="17">
        <v>46153</v>
      </c>
      <c r="G1115" s="17" t="str" cm="1">
        <f t="array" ref="G11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5" s="15" t="str">
        <f ca="1">IF(OR(tblTraining[[#This Row],[Status]]="Renewed",tblTraining[[#This Row],[NextDueDate]]=""),"",tblTraining[[#This Row],[NextDueDate]]-TODAY())</f>
        <v/>
      </c>
      <c r="I1115" s="15" t="str" cm="1">
        <f t="array" aca="1" ref="I11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6" spans="1:9" x14ac:dyDescent="0.25">
      <c r="A1116" s="15">
        <f t="shared" si="17"/>
        <v>1115</v>
      </c>
      <c r="B1116" s="15" t="s">
        <v>413</v>
      </c>
      <c r="C1116" s="15" t="str" cm="1">
        <f t="array" ref="C1116">IFERROR(_xlfn.XLOOKUP(B1116, tblPeople[PersonID], tblPeople[PersonName], ""), "")</f>
        <v>James Muisyo</v>
      </c>
      <c r="D1116" s="15" t="s">
        <v>30</v>
      </c>
      <c r="E1116" s="16" t="str">
        <f>IFERROR(_xlfn.XLOOKUP(D1116, tblCourses[CourseID], tblCourses[CourseName], ""), "")</f>
        <v>Dangerous Goods Regulations (CBTA 7.3) (Refresher)</v>
      </c>
      <c r="F1116" s="17">
        <v>46153</v>
      </c>
      <c r="G1116" s="17" cm="1">
        <f t="array" ref="G11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16" s="15">
        <f ca="1">IF(OR(tblTraining[[#This Row],[Status]]="Renewed",tblTraining[[#This Row],[NextDueDate]]=""),"",tblTraining[[#This Row],[NextDueDate]]-TODAY())</f>
        <v>598</v>
      </c>
      <c r="I1116" s="15" t="str" cm="1">
        <f t="array" aca="1" ref="I11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7" spans="1:9" x14ac:dyDescent="0.25">
      <c r="A1117" s="15">
        <f t="shared" si="17"/>
        <v>1116</v>
      </c>
      <c r="B1117" s="15" t="s">
        <v>442</v>
      </c>
      <c r="C1117" s="15" t="str" cm="1">
        <f t="array" ref="C1117">IFERROR(_xlfn.XLOOKUP(B1117, tblPeople[PersonID], tblPeople[PersonName], ""), "")</f>
        <v>Mary Chelagat</v>
      </c>
      <c r="D1117" s="15" t="s">
        <v>32</v>
      </c>
      <c r="E1117" s="16" t="str">
        <f>IFERROR(_xlfn.XLOOKUP(D1117, tblCourses[CourseID], tblCourses[CourseName], ""), "")</f>
        <v>Dangerous Goods Regulations (CBTA 7.3) (Initial)</v>
      </c>
      <c r="F1117" s="17">
        <v>44116</v>
      </c>
      <c r="G1117" s="17" t="str" cm="1">
        <f t="array" ref="G11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7" s="15" t="str">
        <f ca="1">IF(OR(tblTraining[[#This Row],[Status]]="Renewed",tblTraining[[#This Row],[NextDueDate]]=""),"",tblTraining[[#This Row],[NextDueDate]]-TODAY())</f>
        <v/>
      </c>
      <c r="I1117" s="15" t="str" cm="1">
        <f t="array" aca="1" ref="I11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8" spans="1:9" x14ac:dyDescent="0.25">
      <c r="A1118" s="15">
        <f t="shared" si="17"/>
        <v>1117</v>
      </c>
      <c r="B1118" s="15" t="s">
        <v>442</v>
      </c>
      <c r="C1118" s="15" t="str" cm="1">
        <f t="array" ref="C1118">IFERROR(_xlfn.XLOOKUP(B1118, tblPeople[PersonID], tblPeople[PersonName], ""), "")</f>
        <v>Mary Chelagat</v>
      </c>
      <c r="D1118" s="15" t="s">
        <v>30</v>
      </c>
      <c r="E1118" s="16" t="str">
        <f>IFERROR(_xlfn.XLOOKUP(D1118, tblCourses[CourseID], tblCourses[CourseName], ""), "")</f>
        <v>Dangerous Goods Regulations (CBTA 7.3) (Refresher)</v>
      </c>
      <c r="F1118" s="17">
        <v>46153</v>
      </c>
      <c r="G1118" s="17" cm="1">
        <f t="array" ref="G11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18" s="15">
        <f ca="1">IF(OR(tblTraining[[#This Row],[Status]]="Renewed",tblTraining[[#This Row],[NextDueDate]]=""),"",tblTraining[[#This Row],[NextDueDate]]-TODAY())</f>
        <v>598</v>
      </c>
      <c r="I1118" s="15" t="str" cm="1">
        <f t="array" aca="1" ref="I11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9" spans="1:9" x14ac:dyDescent="0.25">
      <c r="A1119" s="15">
        <f t="shared" si="17"/>
        <v>1118</v>
      </c>
      <c r="B1119" s="15" t="s">
        <v>443</v>
      </c>
      <c r="C1119" s="15" t="str" cm="1">
        <f t="array" ref="C1119">IFERROR(_xlfn.XLOOKUP(B1119, tblPeople[PersonID], tblPeople[PersonName], ""), "")</f>
        <v>Alfred Okudo</v>
      </c>
      <c r="D1119" s="15" t="s">
        <v>32</v>
      </c>
      <c r="E1119" s="16" t="str">
        <f>IFERROR(_xlfn.XLOOKUP(D1119, tblCourses[CourseID], tblCourses[CourseName], ""), "")</f>
        <v>Dangerous Goods Regulations (CBTA 7.3) (Initial)</v>
      </c>
      <c r="F1119" s="17">
        <v>46153</v>
      </c>
      <c r="G1119" s="17" t="str" cm="1">
        <f t="array" ref="G11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9" s="15" t="str">
        <f ca="1">IF(OR(tblTraining[[#This Row],[Status]]="Renewed",tblTraining[[#This Row],[NextDueDate]]=""),"",tblTraining[[#This Row],[NextDueDate]]-TODAY())</f>
        <v/>
      </c>
      <c r="I1119" s="15" t="str" cm="1">
        <f t="array" aca="1" ref="I11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0" spans="1:9" x14ac:dyDescent="0.25">
      <c r="A1120" s="15">
        <f t="shared" si="17"/>
        <v>1119</v>
      </c>
      <c r="B1120" s="15" t="s">
        <v>443</v>
      </c>
      <c r="C1120" s="15" t="str" cm="1">
        <f t="array" ref="C1120">IFERROR(_xlfn.XLOOKUP(B1120, tblPeople[PersonID], tblPeople[PersonName], ""), "")</f>
        <v>Alfred Okudo</v>
      </c>
      <c r="D1120" s="15" t="s">
        <v>30</v>
      </c>
      <c r="E1120" s="16" t="str">
        <f>IFERROR(_xlfn.XLOOKUP(D1120, tblCourses[CourseID], tblCourses[CourseName], ""), "")</f>
        <v>Dangerous Goods Regulations (CBTA 7.3) (Refresher)</v>
      </c>
      <c r="F1120" s="17">
        <v>46153</v>
      </c>
      <c r="G1120" s="17" cm="1">
        <f t="array" ref="G11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20" s="15">
        <f ca="1">IF(OR(tblTraining[[#This Row],[Status]]="Renewed",tblTraining[[#This Row],[NextDueDate]]=""),"",tblTraining[[#This Row],[NextDueDate]]-TODAY())</f>
        <v>598</v>
      </c>
      <c r="I1120" s="15" t="str" cm="1">
        <f t="array" aca="1" ref="I11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1" spans="1:9" x14ac:dyDescent="0.25">
      <c r="A1121" s="15">
        <f t="shared" si="17"/>
        <v>1120</v>
      </c>
      <c r="B1121" s="15" t="s">
        <v>444</v>
      </c>
      <c r="C1121" s="15" t="str" cm="1">
        <f t="array" ref="C1121">IFERROR(_xlfn.XLOOKUP(B1121, tblPeople[PersonID], tblPeople[PersonName], ""), "")</f>
        <v>Martin Chege</v>
      </c>
      <c r="D1121" s="15" t="s">
        <v>32</v>
      </c>
      <c r="E1121" s="16" t="str">
        <f>IFERROR(_xlfn.XLOOKUP(D1121, tblCourses[CourseID], tblCourses[CourseName], ""), "")</f>
        <v>Dangerous Goods Regulations (CBTA 7.3) (Initial)</v>
      </c>
      <c r="F1121" s="17">
        <v>46153</v>
      </c>
      <c r="G1121" s="17" t="str" cm="1">
        <f t="array" ref="G11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1" s="15" t="str">
        <f ca="1">IF(OR(tblTraining[[#This Row],[Status]]="Renewed",tblTraining[[#This Row],[NextDueDate]]=""),"",tblTraining[[#This Row],[NextDueDate]]-TODAY())</f>
        <v/>
      </c>
      <c r="I1121" s="15" t="str" cm="1">
        <f t="array" aca="1" ref="I11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2" spans="1:9" x14ac:dyDescent="0.25">
      <c r="A1122" s="15">
        <f t="shared" si="17"/>
        <v>1121</v>
      </c>
      <c r="B1122" s="15" t="s">
        <v>444</v>
      </c>
      <c r="C1122" s="15" t="str" cm="1">
        <f t="array" ref="C1122">IFERROR(_xlfn.XLOOKUP(B1122, tblPeople[PersonID], tblPeople[PersonName], ""), "")</f>
        <v>Martin Chege</v>
      </c>
      <c r="D1122" s="15" t="s">
        <v>30</v>
      </c>
      <c r="E1122" s="16" t="str">
        <f>IFERROR(_xlfn.XLOOKUP(D1122, tblCourses[CourseID], tblCourses[CourseName], ""), "")</f>
        <v>Dangerous Goods Regulations (CBTA 7.3) (Refresher)</v>
      </c>
      <c r="F1122" s="17">
        <v>46153</v>
      </c>
      <c r="G1122" s="17" cm="1">
        <f t="array" ref="G11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22" s="15">
        <f ca="1">IF(OR(tblTraining[[#This Row],[Status]]="Renewed",tblTraining[[#This Row],[NextDueDate]]=""),"",tblTraining[[#This Row],[NextDueDate]]-TODAY())</f>
        <v>598</v>
      </c>
      <c r="I1122" s="15" t="str" cm="1">
        <f t="array" aca="1" ref="I11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3" spans="1:9" x14ac:dyDescent="0.25">
      <c r="A1123" s="15">
        <f t="shared" si="17"/>
        <v>1122</v>
      </c>
      <c r="B1123" s="15" t="s">
        <v>445</v>
      </c>
      <c r="C1123" s="15" t="str" cm="1">
        <f t="array" ref="C1123">IFERROR(_xlfn.XLOOKUP(B1123, tblPeople[PersonID], tblPeople[PersonName], ""), "")</f>
        <v>Brian Muga</v>
      </c>
      <c r="D1123" s="15" t="s">
        <v>32</v>
      </c>
      <c r="E1123" s="16" t="str">
        <f>IFERROR(_xlfn.XLOOKUP(D1123, tblCourses[CourseID], tblCourses[CourseName], ""), "")</f>
        <v>Dangerous Goods Regulations (CBTA 7.3) (Initial)</v>
      </c>
      <c r="F1123" s="17">
        <v>46153</v>
      </c>
      <c r="G1123" s="17" t="str" cm="1">
        <f t="array" ref="G11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3" s="15" t="str">
        <f ca="1">IF(OR(tblTraining[[#This Row],[Status]]="Renewed",tblTraining[[#This Row],[NextDueDate]]=""),"",tblTraining[[#This Row],[NextDueDate]]-TODAY())</f>
        <v/>
      </c>
      <c r="I1123" s="15" t="str" cm="1">
        <f t="array" aca="1" ref="I11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4" spans="1:9" x14ac:dyDescent="0.25">
      <c r="A1124" s="15">
        <f t="shared" si="17"/>
        <v>1123</v>
      </c>
      <c r="B1124" s="15" t="s">
        <v>445</v>
      </c>
      <c r="C1124" s="15" t="str" cm="1">
        <f t="array" ref="C1124">IFERROR(_xlfn.XLOOKUP(B1124, tblPeople[PersonID], tblPeople[PersonName], ""), "")</f>
        <v>Brian Muga</v>
      </c>
      <c r="D1124" s="15" t="s">
        <v>30</v>
      </c>
      <c r="E1124" s="16" t="str">
        <f>IFERROR(_xlfn.XLOOKUP(D1124, tblCourses[CourseID], tblCourses[CourseName], ""), "")</f>
        <v>Dangerous Goods Regulations (CBTA 7.3) (Refresher)</v>
      </c>
      <c r="F1124" s="17">
        <v>46153</v>
      </c>
      <c r="G1124" s="17" cm="1">
        <f t="array" ref="G11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24" s="15">
        <f ca="1">IF(OR(tblTraining[[#This Row],[Status]]="Renewed",tblTraining[[#This Row],[NextDueDate]]=""),"",tblTraining[[#This Row],[NextDueDate]]-TODAY())</f>
        <v>598</v>
      </c>
      <c r="I1124" s="15" t="str" cm="1">
        <f t="array" aca="1" ref="I11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5" spans="1:9" x14ac:dyDescent="0.25">
      <c r="A1125" s="15">
        <f t="shared" si="17"/>
        <v>1124</v>
      </c>
      <c r="B1125" s="15" t="s">
        <v>450</v>
      </c>
      <c r="C1125" s="15" t="str" cm="1">
        <f t="array" ref="C1125">IFERROR(_xlfn.XLOOKUP(B1125, tblPeople[PersonID], tblPeople[PersonName], ""), "")</f>
        <v>Evans Maingi</v>
      </c>
      <c r="D1125" s="15" t="s">
        <v>32</v>
      </c>
      <c r="E1125" s="16" t="str">
        <f>IFERROR(_xlfn.XLOOKUP(D1125, tblCourses[CourseID], tblCourses[CourseName], ""), "")</f>
        <v>Dangerous Goods Regulations (CBTA 7.3) (Initial)</v>
      </c>
      <c r="F1125" s="17">
        <v>46153</v>
      </c>
      <c r="G1125" s="17" t="str" cm="1">
        <f t="array" ref="G11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5" s="15" t="str">
        <f ca="1">IF(OR(tblTraining[[#This Row],[Status]]="Renewed",tblTraining[[#This Row],[NextDueDate]]=""),"",tblTraining[[#This Row],[NextDueDate]]-TODAY())</f>
        <v/>
      </c>
      <c r="I1125" s="15" t="str" cm="1">
        <f t="array" aca="1" ref="I11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6" spans="1:9" x14ac:dyDescent="0.25">
      <c r="A1126" s="15">
        <f t="shared" si="17"/>
        <v>1125</v>
      </c>
      <c r="B1126" s="15" t="s">
        <v>450</v>
      </c>
      <c r="C1126" s="15" t="str" cm="1">
        <f t="array" ref="C1126">IFERROR(_xlfn.XLOOKUP(B1126, tblPeople[PersonID], tblPeople[PersonName], ""), "")</f>
        <v>Evans Maingi</v>
      </c>
      <c r="D1126" s="15" t="s">
        <v>30</v>
      </c>
      <c r="E1126" s="16" t="str">
        <f>IFERROR(_xlfn.XLOOKUP(D1126, tblCourses[CourseID], tblCourses[CourseName], ""), "")</f>
        <v>Dangerous Goods Regulations (CBTA 7.3) (Refresher)</v>
      </c>
      <c r="F1126" s="17">
        <v>46153</v>
      </c>
      <c r="G1126" s="17" cm="1">
        <f t="array" ref="G11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26" s="15">
        <f ca="1">IF(OR(tblTraining[[#This Row],[Status]]="Renewed",tblTraining[[#This Row],[NextDueDate]]=""),"",tblTraining[[#This Row],[NextDueDate]]-TODAY())</f>
        <v>598</v>
      </c>
      <c r="I1126" s="15" t="str" cm="1">
        <f t="array" aca="1" ref="I11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7" spans="1:9" x14ac:dyDescent="0.25">
      <c r="A1127" s="15">
        <f t="shared" si="17"/>
        <v>1126</v>
      </c>
      <c r="B1127" s="15" t="s">
        <v>447</v>
      </c>
      <c r="C1127" s="15" t="str" cm="1">
        <f t="array" ref="C1127">IFERROR(_xlfn.XLOOKUP(B1127, tblPeople[PersonID], tblPeople[PersonName], ""), "")</f>
        <v>Francis Mutonga</v>
      </c>
      <c r="D1127" s="15" t="s">
        <v>32</v>
      </c>
      <c r="E1127" s="16" t="str">
        <f>IFERROR(_xlfn.XLOOKUP(D1127, tblCourses[CourseID], tblCourses[CourseName], ""), "")</f>
        <v>Dangerous Goods Regulations (CBTA 7.3) (Initial)</v>
      </c>
      <c r="F1127" s="17">
        <v>46153</v>
      </c>
      <c r="G1127" s="17" t="str" cm="1">
        <f t="array" ref="G11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7" s="15" t="str">
        <f ca="1">IF(OR(tblTraining[[#This Row],[Status]]="Renewed",tblTraining[[#This Row],[NextDueDate]]=""),"",tblTraining[[#This Row],[NextDueDate]]-TODAY())</f>
        <v/>
      </c>
      <c r="I1127" s="15" t="str" cm="1">
        <f t="array" aca="1" ref="I11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8" spans="1:9" x14ac:dyDescent="0.25">
      <c r="A1128" s="15">
        <f t="shared" si="17"/>
        <v>1127</v>
      </c>
      <c r="B1128" s="15" t="s">
        <v>447</v>
      </c>
      <c r="C1128" s="15" t="str" cm="1">
        <f t="array" ref="C1128">IFERROR(_xlfn.XLOOKUP(B1128, tblPeople[PersonID], tblPeople[PersonName], ""), "")</f>
        <v>Francis Mutonga</v>
      </c>
      <c r="D1128" s="15" t="s">
        <v>30</v>
      </c>
      <c r="E1128" s="16" t="str">
        <f>IFERROR(_xlfn.XLOOKUP(D1128, tblCourses[CourseID], tblCourses[CourseName], ""), "")</f>
        <v>Dangerous Goods Regulations (CBTA 7.3) (Refresher)</v>
      </c>
      <c r="F1128" s="17">
        <v>46153</v>
      </c>
      <c r="G1128" s="17" cm="1">
        <f t="array" ref="G11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28" s="15">
        <f ca="1">IF(OR(tblTraining[[#This Row],[Status]]="Renewed",tblTraining[[#This Row],[NextDueDate]]=""),"",tblTraining[[#This Row],[NextDueDate]]-TODAY())</f>
        <v>598</v>
      </c>
      <c r="I1128" s="15" t="str" cm="1">
        <f t="array" aca="1" ref="I11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9" spans="1:9" x14ac:dyDescent="0.25">
      <c r="A1129" s="15">
        <f t="shared" si="17"/>
        <v>1128</v>
      </c>
      <c r="B1129" s="15" t="s">
        <v>135</v>
      </c>
      <c r="C1129" s="15" t="str" cm="1">
        <f t="array" ref="C1129">IFERROR(_xlfn.XLOOKUP(B1129, tblPeople[PersonID], tblPeople[PersonName], ""), "")</f>
        <v>Francis Muriuki</v>
      </c>
      <c r="D1129" s="15" t="s">
        <v>179</v>
      </c>
      <c r="E1129" s="16" t="str">
        <f>IFERROR(_xlfn.XLOOKUP(D1129, tblCourses[CourseID], tblCourses[CourseName], ""), "")</f>
        <v>Aircraft Maintenance Engineers' Licence</v>
      </c>
      <c r="F1129" s="17">
        <v>46147</v>
      </c>
      <c r="G1129" s="17" cm="1">
        <f t="array" ref="G11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29" s="15">
        <f ca="1">IF(OR(tblTraining[[#This Row],[Status]]="Renewed",tblTraining[[#This Row],[NextDueDate]]=""),"",tblTraining[[#This Row],[NextDueDate]]-TODAY())</f>
        <v>592</v>
      </c>
      <c r="I1129" s="15" t="str" cm="1">
        <f t="array" aca="1" ref="I11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0" spans="1:9" x14ac:dyDescent="0.25">
      <c r="A1130" s="15">
        <f t="shared" si="17"/>
        <v>1129</v>
      </c>
      <c r="B1130" s="15" t="s">
        <v>397</v>
      </c>
      <c r="C1130" s="15" t="str" cm="1">
        <f t="array" ref="C1130">IFERROR(_xlfn.XLOOKUP(B1130, tblPeople[PersonID], tblPeople[PersonName], ""), "")</f>
        <v>Benson Gitahi</v>
      </c>
      <c r="D1130" s="15" t="s">
        <v>20</v>
      </c>
      <c r="E1130" s="16" t="str">
        <f>IFERROR(_xlfn.XLOOKUP(D1130, tblCourses[CourseID], tblCourses[CourseName], ""), "")</f>
        <v>Safety Management Systems (Initial)</v>
      </c>
      <c r="F1130" s="17">
        <v>46147</v>
      </c>
      <c r="G1130" s="17" t="str" cm="1">
        <f t="array" ref="G11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0" s="15" t="str">
        <f ca="1">IF(OR(tblTraining[[#This Row],[Status]]="Renewed",tblTraining[[#This Row],[NextDueDate]]=""),"",tblTraining[[#This Row],[NextDueDate]]-TODAY())</f>
        <v/>
      </c>
      <c r="I1130" s="15" t="str" cm="1">
        <f t="array" aca="1" ref="I11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1" spans="1:9" x14ac:dyDescent="0.25">
      <c r="A1131" s="15">
        <f t="shared" si="17"/>
        <v>1130</v>
      </c>
      <c r="B1131" s="15" t="s">
        <v>397</v>
      </c>
      <c r="C1131" s="15" t="str" cm="1">
        <f t="array" ref="C1131">IFERROR(_xlfn.XLOOKUP(B1131, tblPeople[PersonID], tblPeople[PersonName], ""), "")</f>
        <v>Benson Gitahi</v>
      </c>
      <c r="D1131" s="15" t="s">
        <v>17</v>
      </c>
      <c r="E1131" s="16" t="str">
        <f>IFERROR(_xlfn.XLOOKUP(D1131, tblCourses[CourseID], tblCourses[CourseName], ""), "")</f>
        <v>Safety Management Systems (Refresher)</v>
      </c>
      <c r="F1131" s="17">
        <v>46147</v>
      </c>
      <c r="G1131" s="17" cm="1">
        <f t="array" ref="G11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31" s="15">
        <f ca="1">IF(OR(tblTraining[[#This Row],[Status]]="Renewed",tblTraining[[#This Row],[NextDueDate]]=""),"",tblTraining[[#This Row],[NextDueDate]]-TODAY())</f>
        <v>592</v>
      </c>
      <c r="I1131" s="15" t="str" cm="1">
        <f t="array" aca="1" ref="I11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2" spans="1:9" x14ac:dyDescent="0.25">
      <c r="A1132" s="15">
        <f t="shared" si="17"/>
        <v>1131</v>
      </c>
      <c r="B1132" s="15" t="s">
        <v>409</v>
      </c>
      <c r="C1132" s="15" t="str" cm="1">
        <f t="array" ref="C1132">IFERROR(_xlfn.XLOOKUP(B1132, tblPeople[PersonID], tblPeople[PersonName], ""), "")</f>
        <v>Venessa Ikileng'</v>
      </c>
      <c r="D1132" s="15" t="s">
        <v>20</v>
      </c>
      <c r="E1132" s="16" t="str">
        <f>IFERROR(_xlfn.XLOOKUP(D1132, tblCourses[CourseID], tblCourses[CourseName], ""), "")</f>
        <v>Safety Management Systems (Initial)</v>
      </c>
      <c r="F1132" s="17">
        <v>46147</v>
      </c>
      <c r="G1132" s="17" t="str" cm="1">
        <f t="array" ref="G11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2" s="15" t="str">
        <f ca="1">IF(OR(tblTraining[[#This Row],[Status]]="Renewed",tblTraining[[#This Row],[NextDueDate]]=""),"",tblTraining[[#This Row],[NextDueDate]]-TODAY())</f>
        <v/>
      </c>
      <c r="I1132" s="15" t="str" cm="1">
        <f t="array" aca="1" ref="I11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3" spans="1:9" x14ac:dyDescent="0.25">
      <c r="A1133" s="15">
        <f t="shared" si="17"/>
        <v>1132</v>
      </c>
      <c r="B1133" s="15" t="s">
        <v>409</v>
      </c>
      <c r="C1133" s="15" t="str" cm="1">
        <f t="array" ref="C1133">IFERROR(_xlfn.XLOOKUP(B1133, tblPeople[PersonID], tblPeople[PersonName], ""), "")</f>
        <v>Venessa Ikileng'</v>
      </c>
      <c r="D1133" s="15" t="s">
        <v>17</v>
      </c>
      <c r="E1133" s="16" t="str">
        <f>IFERROR(_xlfn.XLOOKUP(D1133, tblCourses[CourseID], tblCourses[CourseName], ""), "")</f>
        <v>Safety Management Systems (Refresher)</v>
      </c>
      <c r="F1133" s="17">
        <v>46147</v>
      </c>
      <c r="G1133" s="17" cm="1">
        <f t="array" ref="G11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33" s="15">
        <f ca="1">IF(OR(tblTraining[[#This Row],[Status]]="Renewed",tblTraining[[#This Row],[NextDueDate]]=""),"",tblTraining[[#This Row],[NextDueDate]]-TODAY())</f>
        <v>592</v>
      </c>
      <c r="I1133" s="15" t="str" cm="1">
        <f t="array" aca="1" ref="I11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4" spans="1:9" x14ac:dyDescent="0.25">
      <c r="A1134" s="15">
        <f t="shared" si="17"/>
        <v>1133</v>
      </c>
      <c r="B1134" s="15" t="s">
        <v>410</v>
      </c>
      <c r="C1134" s="15" t="str" cm="1">
        <f t="array" ref="C1134">IFERROR(_xlfn.XLOOKUP(B1134, tblPeople[PersonID], tblPeople[PersonName], ""), "")</f>
        <v>Prudence Muhami</v>
      </c>
      <c r="D1134" s="15" t="s">
        <v>20</v>
      </c>
      <c r="E1134" s="16" t="str">
        <f>IFERROR(_xlfn.XLOOKUP(D1134, tblCourses[CourseID], tblCourses[CourseName], ""), "")</f>
        <v>Safety Management Systems (Initial)</v>
      </c>
      <c r="F1134" s="17">
        <v>46147</v>
      </c>
      <c r="G1134" s="17" t="str" cm="1">
        <f t="array" ref="G11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4" s="15" t="str">
        <f ca="1">IF(OR(tblTraining[[#This Row],[Status]]="Renewed",tblTraining[[#This Row],[NextDueDate]]=""),"",tblTraining[[#This Row],[NextDueDate]]-TODAY())</f>
        <v/>
      </c>
      <c r="I1134" s="15" t="str" cm="1">
        <f t="array" aca="1" ref="I11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5" spans="1:9" x14ac:dyDescent="0.25">
      <c r="A1135" s="15">
        <f t="shared" si="17"/>
        <v>1134</v>
      </c>
      <c r="B1135" s="15" t="s">
        <v>410</v>
      </c>
      <c r="C1135" s="15" t="str" cm="1">
        <f t="array" ref="C1135">IFERROR(_xlfn.XLOOKUP(B1135, tblPeople[PersonID], tblPeople[PersonName], ""), "")</f>
        <v>Prudence Muhami</v>
      </c>
      <c r="D1135" s="15" t="s">
        <v>17</v>
      </c>
      <c r="E1135" s="16" t="str">
        <f>IFERROR(_xlfn.XLOOKUP(D1135, tblCourses[CourseID], tblCourses[CourseName], ""), "")</f>
        <v>Safety Management Systems (Refresher)</v>
      </c>
      <c r="F1135" s="17">
        <v>46147</v>
      </c>
      <c r="G1135" s="17" cm="1">
        <f t="array" ref="G11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35" s="15">
        <f ca="1">IF(OR(tblTraining[[#This Row],[Status]]="Renewed",tblTraining[[#This Row],[NextDueDate]]=""),"",tblTraining[[#This Row],[NextDueDate]]-TODAY())</f>
        <v>592</v>
      </c>
      <c r="I1135" s="15" t="str" cm="1">
        <f t="array" aca="1" ref="I11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6" spans="1:9" x14ac:dyDescent="0.25">
      <c r="A1136" s="15">
        <f t="shared" si="17"/>
        <v>1135</v>
      </c>
      <c r="B1136" s="15" t="s">
        <v>413</v>
      </c>
      <c r="C1136" s="15" t="str" cm="1">
        <f t="array" ref="C1136">IFERROR(_xlfn.XLOOKUP(B1136, tblPeople[PersonID], tblPeople[PersonName], ""), "")</f>
        <v>James Muisyo</v>
      </c>
      <c r="D1136" s="15" t="s">
        <v>20</v>
      </c>
      <c r="E1136" s="16" t="str">
        <f>IFERROR(_xlfn.XLOOKUP(D1136, tblCourses[CourseID], tblCourses[CourseName], ""), "")</f>
        <v>Safety Management Systems (Initial)</v>
      </c>
      <c r="F1136" s="17">
        <v>46147</v>
      </c>
      <c r="G1136" s="17" t="str" cm="1">
        <f t="array" ref="G11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6" s="15" t="str">
        <f ca="1">IF(OR(tblTraining[[#This Row],[Status]]="Renewed",tblTraining[[#This Row],[NextDueDate]]=""),"",tblTraining[[#This Row],[NextDueDate]]-TODAY())</f>
        <v/>
      </c>
      <c r="I1136" s="15" t="str" cm="1">
        <f t="array" aca="1" ref="I11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7" spans="1:9" x14ac:dyDescent="0.25">
      <c r="A1137" s="15">
        <f t="shared" si="17"/>
        <v>1136</v>
      </c>
      <c r="B1137" s="15" t="s">
        <v>413</v>
      </c>
      <c r="C1137" s="15" t="str" cm="1">
        <f t="array" ref="C1137">IFERROR(_xlfn.XLOOKUP(B1137, tblPeople[PersonID], tblPeople[PersonName], ""), "")</f>
        <v>James Muisyo</v>
      </c>
      <c r="D1137" s="15" t="s">
        <v>17</v>
      </c>
      <c r="E1137" s="16" t="str">
        <f>IFERROR(_xlfn.XLOOKUP(D1137, tblCourses[CourseID], tblCourses[CourseName], ""), "")</f>
        <v>Safety Management Systems (Refresher)</v>
      </c>
      <c r="F1137" s="17">
        <v>46147</v>
      </c>
      <c r="G1137" s="17" cm="1">
        <f t="array" ref="G11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37" s="15">
        <f ca="1">IF(OR(tblTraining[[#This Row],[Status]]="Renewed",tblTraining[[#This Row],[NextDueDate]]=""),"",tblTraining[[#This Row],[NextDueDate]]-TODAY())</f>
        <v>592</v>
      </c>
      <c r="I1137" s="15" t="str" cm="1">
        <f t="array" aca="1" ref="I11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8" spans="1:9" x14ac:dyDescent="0.25">
      <c r="A1138" s="15">
        <f t="shared" si="17"/>
        <v>1137</v>
      </c>
      <c r="B1138" s="15" t="s">
        <v>442</v>
      </c>
      <c r="C1138" s="15" t="str" cm="1">
        <f t="array" ref="C1138">IFERROR(_xlfn.XLOOKUP(B1138, tblPeople[PersonID], tblPeople[PersonName], ""), "")</f>
        <v>Mary Chelagat</v>
      </c>
      <c r="D1138" s="15" t="s">
        <v>20</v>
      </c>
      <c r="E1138" s="16" t="str">
        <f>IFERROR(_xlfn.XLOOKUP(D1138, tblCourses[CourseID], tblCourses[CourseName], ""), "")</f>
        <v>Safety Management Systems (Initial)</v>
      </c>
      <c r="F1138" s="17">
        <v>46147</v>
      </c>
      <c r="G1138" s="17" t="str" cm="1">
        <f t="array" ref="G11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8" s="15" t="str">
        <f ca="1">IF(OR(tblTraining[[#This Row],[Status]]="Renewed",tblTraining[[#This Row],[NextDueDate]]=""),"",tblTraining[[#This Row],[NextDueDate]]-TODAY())</f>
        <v/>
      </c>
      <c r="I1138" s="15" t="str" cm="1">
        <f t="array" aca="1" ref="I11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9" spans="1:9" x14ac:dyDescent="0.25">
      <c r="A1139" s="15">
        <f t="shared" si="17"/>
        <v>1138</v>
      </c>
      <c r="B1139" s="15" t="s">
        <v>442</v>
      </c>
      <c r="C1139" s="15" t="str" cm="1">
        <f t="array" ref="C1139">IFERROR(_xlfn.XLOOKUP(B1139, tblPeople[PersonID], tblPeople[PersonName], ""), "")</f>
        <v>Mary Chelagat</v>
      </c>
      <c r="D1139" s="15" t="s">
        <v>17</v>
      </c>
      <c r="E1139" s="16" t="str">
        <f>IFERROR(_xlfn.XLOOKUP(D1139, tblCourses[CourseID], tblCourses[CourseName], ""), "")</f>
        <v>Safety Management Systems (Refresher)</v>
      </c>
      <c r="F1139" s="17">
        <v>46147</v>
      </c>
      <c r="G1139" s="17" cm="1">
        <f t="array" ref="G11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39" s="15">
        <f ca="1">IF(OR(tblTraining[[#This Row],[Status]]="Renewed",tblTraining[[#This Row],[NextDueDate]]=""),"",tblTraining[[#This Row],[NextDueDate]]-TODAY())</f>
        <v>592</v>
      </c>
      <c r="I1139" s="15" t="str" cm="1">
        <f t="array" aca="1" ref="I11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0" spans="1:9" x14ac:dyDescent="0.25">
      <c r="A1140" s="15">
        <f t="shared" si="17"/>
        <v>1139</v>
      </c>
      <c r="B1140" s="15" t="s">
        <v>443</v>
      </c>
      <c r="C1140" s="15" t="str" cm="1">
        <f t="array" ref="C1140">IFERROR(_xlfn.XLOOKUP(B1140, tblPeople[PersonID], tblPeople[PersonName], ""), "")</f>
        <v>Alfred Okudo</v>
      </c>
      <c r="D1140" s="15" t="s">
        <v>20</v>
      </c>
      <c r="E1140" s="16" t="str">
        <f>IFERROR(_xlfn.XLOOKUP(D1140, tblCourses[CourseID], tblCourses[CourseName], ""), "")</f>
        <v>Safety Management Systems (Initial)</v>
      </c>
      <c r="F1140" s="17">
        <v>46147</v>
      </c>
      <c r="G1140" s="17" t="str" cm="1">
        <f t="array" ref="G11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0" s="15" t="str">
        <f ca="1">IF(OR(tblTraining[[#This Row],[Status]]="Renewed",tblTraining[[#This Row],[NextDueDate]]=""),"",tblTraining[[#This Row],[NextDueDate]]-TODAY())</f>
        <v/>
      </c>
      <c r="I1140" s="15" t="str" cm="1">
        <f t="array" aca="1" ref="I11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1" spans="1:9" x14ac:dyDescent="0.25">
      <c r="A1141" s="15">
        <f t="shared" si="17"/>
        <v>1140</v>
      </c>
      <c r="B1141" s="15" t="s">
        <v>443</v>
      </c>
      <c r="C1141" s="15" t="str" cm="1">
        <f t="array" ref="C1141">IFERROR(_xlfn.XLOOKUP(B1141, tblPeople[PersonID], tblPeople[PersonName], ""), "")</f>
        <v>Alfred Okudo</v>
      </c>
      <c r="D1141" s="15" t="s">
        <v>17</v>
      </c>
      <c r="E1141" s="16" t="str">
        <f>IFERROR(_xlfn.XLOOKUP(D1141, tblCourses[CourseID], tblCourses[CourseName], ""), "")</f>
        <v>Safety Management Systems (Refresher)</v>
      </c>
      <c r="F1141" s="17">
        <v>46147</v>
      </c>
      <c r="G1141" s="17" cm="1">
        <f t="array" ref="G11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41" s="15">
        <f ca="1">IF(OR(tblTraining[[#This Row],[Status]]="Renewed",tblTraining[[#This Row],[NextDueDate]]=""),"",tblTraining[[#This Row],[NextDueDate]]-TODAY())</f>
        <v>592</v>
      </c>
      <c r="I1141" s="15" t="str" cm="1">
        <f t="array" aca="1" ref="I11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2" spans="1:9" x14ac:dyDescent="0.25">
      <c r="A1142" s="15">
        <f t="shared" si="17"/>
        <v>1141</v>
      </c>
      <c r="B1142" s="15" t="s">
        <v>444</v>
      </c>
      <c r="C1142" s="15" t="str" cm="1">
        <f t="array" ref="C1142">IFERROR(_xlfn.XLOOKUP(B1142, tblPeople[PersonID], tblPeople[PersonName], ""), "")</f>
        <v>Martin Chege</v>
      </c>
      <c r="D1142" s="15" t="s">
        <v>20</v>
      </c>
      <c r="E1142" s="16" t="str">
        <f>IFERROR(_xlfn.XLOOKUP(D1142, tblCourses[CourseID], tblCourses[CourseName], ""), "")</f>
        <v>Safety Management Systems (Initial)</v>
      </c>
      <c r="F1142" s="17">
        <v>46147</v>
      </c>
      <c r="G1142" s="17" t="str" cm="1">
        <f t="array" ref="G11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2" s="15" t="str">
        <f ca="1">IF(OR(tblTraining[[#This Row],[Status]]="Renewed",tblTraining[[#This Row],[NextDueDate]]=""),"",tblTraining[[#This Row],[NextDueDate]]-TODAY())</f>
        <v/>
      </c>
      <c r="I1142" s="15" t="str" cm="1">
        <f t="array" aca="1" ref="I11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3" spans="1:9" x14ac:dyDescent="0.25">
      <c r="A1143" s="15">
        <f t="shared" si="17"/>
        <v>1142</v>
      </c>
      <c r="B1143" s="15" t="s">
        <v>444</v>
      </c>
      <c r="C1143" s="15" t="str" cm="1">
        <f t="array" ref="C1143">IFERROR(_xlfn.XLOOKUP(B1143, tblPeople[PersonID], tblPeople[PersonName], ""), "")</f>
        <v>Martin Chege</v>
      </c>
      <c r="D1143" s="15" t="s">
        <v>17</v>
      </c>
      <c r="E1143" s="16" t="str">
        <f>IFERROR(_xlfn.XLOOKUP(D1143, tblCourses[CourseID], tblCourses[CourseName], ""), "")</f>
        <v>Safety Management Systems (Refresher)</v>
      </c>
      <c r="F1143" s="17">
        <v>46147</v>
      </c>
      <c r="G1143" s="17" cm="1">
        <f t="array" ref="G11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43" s="15">
        <f ca="1">IF(OR(tblTraining[[#This Row],[Status]]="Renewed",tblTraining[[#This Row],[NextDueDate]]=""),"",tblTraining[[#This Row],[NextDueDate]]-TODAY())</f>
        <v>592</v>
      </c>
      <c r="I1143" s="15" t="str" cm="1">
        <f t="array" aca="1" ref="I11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4" spans="1:9" x14ac:dyDescent="0.25">
      <c r="A1144" s="15">
        <f t="shared" si="17"/>
        <v>1143</v>
      </c>
      <c r="B1144" s="15" t="s">
        <v>445</v>
      </c>
      <c r="C1144" s="15" t="str" cm="1">
        <f t="array" ref="C1144">IFERROR(_xlfn.XLOOKUP(B1144, tblPeople[PersonID], tblPeople[PersonName], ""), "")</f>
        <v>Brian Muga</v>
      </c>
      <c r="D1144" s="15" t="s">
        <v>20</v>
      </c>
      <c r="E1144" s="16" t="str">
        <f>IFERROR(_xlfn.XLOOKUP(D1144, tblCourses[CourseID], tblCourses[CourseName], ""), "")</f>
        <v>Safety Management Systems (Initial)</v>
      </c>
      <c r="F1144" s="17">
        <v>46147</v>
      </c>
      <c r="G1144" s="17" t="str" cm="1">
        <f t="array" ref="G11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4" s="15" t="str">
        <f ca="1">IF(OR(tblTraining[[#This Row],[Status]]="Renewed",tblTraining[[#This Row],[NextDueDate]]=""),"",tblTraining[[#This Row],[NextDueDate]]-TODAY())</f>
        <v/>
      </c>
      <c r="I1144" s="15" t="str" cm="1">
        <f t="array" aca="1" ref="I11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5" spans="1:9" x14ac:dyDescent="0.25">
      <c r="A1145" s="15">
        <f t="shared" si="17"/>
        <v>1144</v>
      </c>
      <c r="B1145" s="15" t="s">
        <v>445</v>
      </c>
      <c r="C1145" s="15" t="str" cm="1">
        <f t="array" ref="C1145">IFERROR(_xlfn.XLOOKUP(B1145, tblPeople[PersonID], tblPeople[PersonName], ""), "")</f>
        <v>Brian Muga</v>
      </c>
      <c r="D1145" s="15" t="s">
        <v>17</v>
      </c>
      <c r="E1145" s="16" t="str">
        <f>IFERROR(_xlfn.XLOOKUP(D1145, tblCourses[CourseID], tblCourses[CourseName], ""), "")</f>
        <v>Safety Management Systems (Refresher)</v>
      </c>
      <c r="F1145" s="17">
        <v>46147</v>
      </c>
      <c r="G1145" s="17" cm="1">
        <f t="array" ref="G11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45" s="15">
        <f ca="1">IF(OR(tblTraining[[#This Row],[Status]]="Renewed",tblTraining[[#This Row],[NextDueDate]]=""),"",tblTraining[[#This Row],[NextDueDate]]-TODAY())</f>
        <v>592</v>
      </c>
      <c r="I1145" s="15" t="str" cm="1">
        <f t="array" aca="1" ref="I11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6" spans="1:9" x14ac:dyDescent="0.25">
      <c r="A1146" s="15">
        <f t="shared" si="17"/>
        <v>1145</v>
      </c>
      <c r="B1146" s="15" t="s">
        <v>450</v>
      </c>
      <c r="C1146" s="15" t="str" cm="1">
        <f t="array" ref="C1146">IFERROR(_xlfn.XLOOKUP(B1146, tblPeople[PersonID], tblPeople[PersonName], ""), "")</f>
        <v>Evans Maingi</v>
      </c>
      <c r="D1146" s="15" t="s">
        <v>20</v>
      </c>
      <c r="E1146" s="16" t="str">
        <f>IFERROR(_xlfn.XLOOKUP(D1146, tblCourses[CourseID], tblCourses[CourseName], ""), "")</f>
        <v>Safety Management Systems (Initial)</v>
      </c>
      <c r="F1146" s="17">
        <v>46147</v>
      </c>
      <c r="G1146" s="17" t="str" cm="1">
        <f t="array" ref="G11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6" s="15" t="str">
        <f ca="1">IF(OR(tblTraining[[#This Row],[Status]]="Renewed",tblTraining[[#This Row],[NextDueDate]]=""),"",tblTraining[[#This Row],[NextDueDate]]-TODAY())</f>
        <v/>
      </c>
      <c r="I1146" s="15" t="str" cm="1">
        <f t="array" aca="1" ref="I11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7" spans="1:9" x14ac:dyDescent="0.25">
      <c r="A1147" s="15">
        <f t="shared" si="17"/>
        <v>1146</v>
      </c>
      <c r="B1147" s="15" t="s">
        <v>450</v>
      </c>
      <c r="C1147" s="15" t="str" cm="1">
        <f t="array" ref="C1147">IFERROR(_xlfn.XLOOKUP(B1147, tblPeople[PersonID], tblPeople[PersonName], ""), "")</f>
        <v>Evans Maingi</v>
      </c>
      <c r="D1147" s="15" t="s">
        <v>17</v>
      </c>
      <c r="E1147" s="16" t="str">
        <f>IFERROR(_xlfn.XLOOKUP(D1147, tblCourses[CourseID], tblCourses[CourseName], ""), "")</f>
        <v>Safety Management Systems (Refresher)</v>
      </c>
      <c r="F1147" s="17">
        <v>46147</v>
      </c>
      <c r="G1147" s="17" cm="1">
        <f t="array" ref="G11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47" s="15">
        <f ca="1">IF(OR(tblTraining[[#This Row],[Status]]="Renewed",tblTraining[[#This Row],[NextDueDate]]=""),"",tblTraining[[#This Row],[NextDueDate]]-TODAY())</f>
        <v>592</v>
      </c>
      <c r="I1147" s="15" t="str" cm="1">
        <f t="array" aca="1" ref="I11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8" spans="1:9" x14ac:dyDescent="0.25">
      <c r="A1148" s="15">
        <f t="shared" si="17"/>
        <v>1147</v>
      </c>
      <c r="B1148" s="15" t="s">
        <v>447</v>
      </c>
      <c r="C1148" s="15" t="str" cm="1">
        <f t="array" ref="C1148">IFERROR(_xlfn.XLOOKUP(B1148, tblPeople[PersonID], tblPeople[PersonName], ""), "")</f>
        <v>Francis Mutonga</v>
      </c>
      <c r="D1148" s="15" t="s">
        <v>20</v>
      </c>
      <c r="E1148" s="16" t="str">
        <f>IFERROR(_xlfn.XLOOKUP(D1148, tblCourses[CourseID], tblCourses[CourseName], ""), "")</f>
        <v>Safety Management Systems (Initial)</v>
      </c>
      <c r="F1148" s="17">
        <v>46147</v>
      </c>
      <c r="G1148" s="17" t="str" cm="1">
        <f t="array" ref="G11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8" s="15" t="str">
        <f ca="1">IF(OR(tblTraining[[#This Row],[Status]]="Renewed",tblTraining[[#This Row],[NextDueDate]]=""),"",tblTraining[[#This Row],[NextDueDate]]-TODAY())</f>
        <v/>
      </c>
      <c r="I1148" s="15" t="str" cm="1">
        <f t="array" aca="1" ref="I11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9" spans="1:9" x14ac:dyDescent="0.25">
      <c r="A1149" s="15">
        <f t="shared" si="17"/>
        <v>1148</v>
      </c>
      <c r="B1149" s="15" t="s">
        <v>447</v>
      </c>
      <c r="C1149" s="15" t="str" cm="1">
        <f t="array" ref="C1149">IFERROR(_xlfn.XLOOKUP(B1149, tblPeople[PersonID], tblPeople[PersonName], ""), "")</f>
        <v>Francis Mutonga</v>
      </c>
      <c r="D1149" s="15" t="s">
        <v>17</v>
      </c>
      <c r="E1149" s="16" t="str">
        <f>IFERROR(_xlfn.XLOOKUP(D1149, tblCourses[CourseID], tblCourses[CourseName], ""), "")</f>
        <v>Safety Management Systems (Refresher)</v>
      </c>
      <c r="F1149" s="17">
        <v>46147</v>
      </c>
      <c r="G1149" s="17" cm="1">
        <f t="array" ref="G11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49" s="15">
        <f ca="1">IF(OR(tblTraining[[#This Row],[Status]]="Renewed",tblTraining[[#This Row],[NextDueDate]]=""),"",tblTraining[[#This Row],[NextDueDate]]-TODAY())</f>
        <v>592</v>
      </c>
      <c r="I1149" s="15" t="str" cm="1">
        <f t="array" aca="1" ref="I11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0" spans="1:9" x14ac:dyDescent="0.25">
      <c r="A1150" s="15">
        <f t="shared" si="17"/>
        <v>1149</v>
      </c>
      <c r="B1150" s="15" t="s">
        <v>397</v>
      </c>
      <c r="C1150" s="15" t="str" cm="1">
        <f t="array" ref="C1150">IFERROR(_xlfn.XLOOKUP(B1150, tblPeople[PersonID], tblPeople[PersonName], ""), "")</f>
        <v>Benson Gitahi</v>
      </c>
      <c r="D1150" s="15" t="s">
        <v>452</v>
      </c>
      <c r="E1150" s="16" t="str">
        <f>IFERROR(_xlfn.XLOOKUP(D1150, tblCourses[CourseID], tblCourses[CourseName], ""), "")</f>
        <v>Emergency Response Plan Awareness</v>
      </c>
      <c r="F1150" s="17">
        <v>46150</v>
      </c>
      <c r="G1150" s="17" cm="1">
        <f t="array" ref="G11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0" s="15">
        <f ca="1">IF(OR(tblTraining[[#This Row],[Status]]="Renewed",tblTraining[[#This Row],[NextDueDate]]=""),"",tblTraining[[#This Row],[NextDueDate]]-TODAY())</f>
        <v>595</v>
      </c>
      <c r="I1150" s="15" t="str" cm="1">
        <f t="array" aca="1" ref="I11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1" spans="1:9" x14ac:dyDescent="0.25">
      <c r="A1151" s="15">
        <f t="shared" si="17"/>
        <v>1150</v>
      </c>
      <c r="B1151" s="15" t="s">
        <v>409</v>
      </c>
      <c r="C1151" s="15" t="str" cm="1">
        <f t="array" ref="C1151">IFERROR(_xlfn.XLOOKUP(B1151, tblPeople[PersonID], tblPeople[PersonName], ""), "")</f>
        <v>Venessa Ikileng'</v>
      </c>
      <c r="D1151" s="15" t="s">
        <v>452</v>
      </c>
      <c r="E1151" s="16" t="str">
        <f>IFERROR(_xlfn.XLOOKUP(D1151, tblCourses[CourseID], tblCourses[CourseName], ""), "")</f>
        <v>Emergency Response Plan Awareness</v>
      </c>
      <c r="F1151" s="17">
        <v>46150</v>
      </c>
      <c r="G1151" s="17" cm="1">
        <f t="array" ref="G11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1" s="15">
        <f ca="1">IF(OR(tblTraining[[#This Row],[Status]]="Renewed",tblTraining[[#This Row],[NextDueDate]]=""),"",tblTraining[[#This Row],[NextDueDate]]-TODAY())</f>
        <v>595</v>
      </c>
      <c r="I1151" s="15" t="str" cm="1">
        <f t="array" aca="1" ref="I11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2" spans="1:9" x14ac:dyDescent="0.25">
      <c r="A1152" s="15">
        <f t="shared" si="17"/>
        <v>1151</v>
      </c>
      <c r="B1152" s="15" t="s">
        <v>410</v>
      </c>
      <c r="C1152" s="15" t="str" cm="1">
        <f t="array" ref="C1152">IFERROR(_xlfn.XLOOKUP(B1152, tblPeople[PersonID], tblPeople[PersonName], ""), "")</f>
        <v>Prudence Muhami</v>
      </c>
      <c r="D1152" s="15" t="s">
        <v>452</v>
      </c>
      <c r="E1152" s="16" t="str">
        <f>IFERROR(_xlfn.XLOOKUP(D1152, tblCourses[CourseID], tblCourses[CourseName], ""), "")</f>
        <v>Emergency Response Plan Awareness</v>
      </c>
      <c r="F1152" s="17">
        <v>46150</v>
      </c>
      <c r="G1152" s="17" cm="1">
        <f t="array" ref="G11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2" s="15">
        <f ca="1">IF(OR(tblTraining[[#This Row],[Status]]="Renewed",tblTraining[[#This Row],[NextDueDate]]=""),"",tblTraining[[#This Row],[NextDueDate]]-TODAY())</f>
        <v>595</v>
      </c>
      <c r="I1152" s="15" t="str" cm="1">
        <f t="array" aca="1" ref="I11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3" spans="1:9" x14ac:dyDescent="0.25">
      <c r="A1153" s="15">
        <f t="shared" si="17"/>
        <v>1152</v>
      </c>
      <c r="B1153" s="15" t="s">
        <v>413</v>
      </c>
      <c r="C1153" s="15" t="str" cm="1">
        <f t="array" ref="C1153">IFERROR(_xlfn.XLOOKUP(B1153, tblPeople[PersonID], tblPeople[PersonName], ""), "")</f>
        <v>James Muisyo</v>
      </c>
      <c r="D1153" s="15" t="s">
        <v>452</v>
      </c>
      <c r="E1153" s="16" t="str">
        <f>IFERROR(_xlfn.XLOOKUP(D1153, tblCourses[CourseID], tblCourses[CourseName], ""), "")</f>
        <v>Emergency Response Plan Awareness</v>
      </c>
      <c r="F1153" s="17">
        <v>46150</v>
      </c>
      <c r="G1153" s="17" cm="1">
        <f t="array" ref="G11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3" s="15">
        <f ca="1">IF(OR(tblTraining[[#This Row],[Status]]="Renewed",tblTraining[[#This Row],[NextDueDate]]=""),"",tblTraining[[#This Row],[NextDueDate]]-TODAY())</f>
        <v>595</v>
      </c>
      <c r="I1153" s="15" t="str" cm="1">
        <f t="array" aca="1" ref="I11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4" spans="1:9" x14ac:dyDescent="0.25">
      <c r="A1154" s="15">
        <f t="shared" si="17"/>
        <v>1153</v>
      </c>
      <c r="B1154" s="15" t="s">
        <v>442</v>
      </c>
      <c r="C1154" s="15" t="str" cm="1">
        <f t="array" ref="C1154">IFERROR(_xlfn.XLOOKUP(B1154, tblPeople[PersonID], tblPeople[PersonName], ""), "")</f>
        <v>Mary Chelagat</v>
      </c>
      <c r="D1154" s="15" t="s">
        <v>452</v>
      </c>
      <c r="E1154" s="16" t="str">
        <f>IFERROR(_xlfn.XLOOKUP(D1154, tblCourses[CourseID], tblCourses[CourseName], ""), "")</f>
        <v>Emergency Response Plan Awareness</v>
      </c>
      <c r="F1154" s="17">
        <v>46150</v>
      </c>
      <c r="G1154" s="17" cm="1">
        <f t="array" ref="G11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4" s="15">
        <f ca="1">IF(OR(tblTraining[[#This Row],[Status]]="Renewed",tblTraining[[#This Row],[NextDueDate]]=""),"",tblTraining[[#This Row],[NextDueDate]]-TODAY())</f>
        <v>595</v>
      </c>
      <c r="I1154" s="15" t="str" cm="1">
        <f t="array" aca="1" ref="I11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5" spans="1:9" x14ac:dyDescent="0.25">
      <c r="A1155" s="15">
        <f t="shared" si="17"/>
        <v>1154</v>
      </c>
      <c r="B1155" s="15" t="s">
        <v>443</v>
      </c>
      <c r="C1155" s="15" t="str" cm="1">
        <f t="array" ref="C1155">IFERROR(_xlfn.XLOOKUP(B1155, tblPeople[PersonID], tblPeople[PersonName], ""), "")</f>
        <v>Alfred Okudo</v>
      </c>
      <c r="D1155" s="15" t="s">
        <v>452</v>
      </c>
      <c r="E1155" s="16" t="str">
        <f>IFERROR(_xlfn.XLOOKUP(D1155, tblCourses[CourseID], tblCourses[CourseName], ""), "")</f>
        <v>Emergency Response Plan Awareness</v>
      </c>
      <c r="F1155" s="17">
        <v>46150</v>
      </c>
      <c r="G1155" s="17" cm="1">
        <f t="array" ref="G11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5" s="15">
        <f ca="1">IF(OR(tblTraining[[#This Row],[Status]]="Renewed",tblTraining[[#This Row],[NextDueDate]]=""),"",tblTraining[[#This Row],[NextDueDate]]-TODAY())</f>
        <v>595</v>
      </c>
      <c r="I1155" s="15" t="str" cm="1">
        <f t="array" aca="1" ref="I11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6" spans="1:9" x14ac:dyDescent="0.25">
      <c r="A1156" s="15">
        <f t="shared" ref="A1156:A1219" si="18">A1155+1</f>
        <v>1155</v>
      </c>
      <c r="B1156" s="15" t="s">
        <v>444</v>
      </c>
      <c r="C1156" s="15" t="str" cm="1">
        <f t="array" ref="C1156">IFERROR(_xlfn.XLOOKUP(B1156, tblPeople[PersonID], tblPeople[PersonName], ""), "")</f>
        <v>Martin Chege</v>
      </c>
      <c r="D1156" s="15" t="s">
        <v>452</v>
      </c>
      <c r="E1156" s="16" t="str">
        <f>IFERROR(_xlfn.XLOOKUP(D1156, tblCourses[CourseID], tblCourses[CourseName], ""), "")</f>
        <v>Emergency Response Plan Awareness</v>
      </c>
      <c r="F1156" s="17">
        <v>46150</v>
      </c>
      <c r="G1156" s="17" cm="1">
        <f t="array" ref="G11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6" s="15">
        <f ca="1">IF(OR(tblTraining[[#This Row],[Status]]="Renewed",tblTraining[[#This Row],[NextDueDate]]=""),"",tblTraining[[#This Row],[NextDueDate]]-TODAY())</f>
        <v>595</v>
      </c>
      <c r="I1156" s="15" t="str" cm="1">
        <f t="array" aca="1" ref="I11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7" spans="1:9" x14ac:dyDescent="0.25">
      <c r="A1157" s="15">
        <f t="shared" si="18"/>
        <v>1156</v>
      </c>
      <c r="B1157" s="15" t="s">
        <v>445</v>
      </c>
      <c r="C1157" s="15" t="str" cm="1">
        <f t="array" ref="C1157">IFERROR(_xlfn.XLOOKUP(B1157, tblPeople[PersonID], tblPeople[PersonName], ""), "")</f>
        <v>Brian Muga</v>
      </c>
      <c r="D1157" s="15" t="s">
        <v>452</v>
      </c>
      <c r="E1157" s="16" t="str">
        <f>IFERROR(_xlfn.XLOOKUP(D1157, tblCourses[CourseID], tblCourses[CourseName], ""), "")</f>
        <v>Emergency Response Plan Awareness</v>
      </c>
      <c r="F1157" s="17">
        <v>46150</v>
      </c>
      <c r="G1157" s="17" cm="1">
        <f t="array" ref="G11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7" s="15">
        <f ca="1">IF(OR(tblTraining[[#This Row],[Status]]="Renewed",tblTraining[[#This Row],[NextDueDate]]=""),"",tblTraining[[#This Row],[NextDueDate]]-TODAY())</f>
        <v>595</v>
      </c>
      <c r="I1157" s="15" t="str" cm="1">
        <f t="array" aca="1" ref="I11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8" spans="1:9" x14ac:dyDescent="0.25">
      <c r="A1158" s="15">
        <f t="shared" si="18"/>
        <v>1157</v>
      </c>
      <c r="B1158" s="15" t="s">
        <v>450</v>
      </c>
      <c r="C1158" s="15" t="str" cm="1">
        <f t="array" ref="C1158">IFERROR(_xlfn.XLOOKUP(B1158, tblPeople[PersonID], tblPeople[PersonName], ""), "")</f>
        <v>Evans Maingi</v>
      </c>
      <c r="D1158" s="15" t="s">
        <v>452</v>
      </c>
      <c r="E1158" s="16" t="str">
        <f>IFERROR(_xlfn.XLOOKUP(D1158, tblCourses[CourseID], tblCourses[CourseName], ""), "")</f>
        <v>Emergency Response Plan Awareness</v>
      </c>
      <c r="F1158" s="17">
        <v>46150</v>
      </c>
      <c r="G1158" s="17" cm="1">
        <f t="array" ref="G11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8" s="15">
        <f ca="1">IF(OR(tblTraining[[#This Row],[Status]]="Renewed",tblTraining[[#This Row],[NextDueDate]]=""),"",tblTraining[[#This Row],[NextDueDate]]-TODAY())</f>
        <v>595</v>
      </c>
      <c r="I1158" s="15" t="str" cm="1">
        <f t="array" aca="1" ref="I11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9" spans="1:9" x14ac:dyDescent="0.25">
      <c r="A1159" s="15">
        <f t="shared" si="18"/>
        <v>1158</v>
      </c>
      <c r="B1159" s="15" t="s">
        <v>447</v>
      </c>
      <c r="C1159" s="15" t="str" cm="1">
        <f t="array" ref="C1159">IFERROR(_xlfn.XLOOKUP(B1159, tblPeople[PersonID], tblPeople[PersonName], ""), "")</f>
        <v>Francis Mutonga</v>
      </c>
      <c r="D1159" s="15" t="s">
        <v>452</v>
      </c>
      <c r="E1159" s="16" t="str">
        <f>IFERROR(_xlfn.XLOOKUP(D1159, tblCourses[CourseID], tblCourses[CourseName], ""), "")</f>
        <v>Emergency Response Plan Awareness</v>
      </c>
      <c r="F1159" s="17">
        <v>46150</v>
      </c>
      <c r="G1159" s="17" cm="1">
        <f t="array" ref="G11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9" s="15">
        <f ca="1">IF(OR(tblTraining[[#This Row],[Status]]="Renewed",tblTraining[[#This Row],[NextDueDate]]=""),"",tblTraining[[#This Row],[NextDueDate]]-TODAY())</f>
        <v>595</v>
      </c>
      <c r="I1159" s="15" t="str" cm="1">
        <f t="array" aca="1" ref="I11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0" spans="1:9" x14ac:dyDescent="0.25">
      <c r="A1160" s="15">
        <f t="shared" si="18"/>
        <v>1159</v>
      </c>
      <c r="B1160" s="15" t="s">
        <v>397</v>
      </c>
      <c r="C1160" s="15" t="str" cm="1">
        <f t="array" ref="C1160">IFERROR(_xlfn.XLOOKUP(B1160, tblPeople[PersonID], tblPeople[PersonName], ""), "")</f>
        <v>Benson Gitahi</v>
      </c>
      <c r="D1160" s="15" t="s">
        <v>360</v>
      </c>
      <c r="E1160" s="16" t="str">
        <f>IFERROR(_xlfn.XLOOKUP(D1160, tblCourses[CourseID], tblCourses[CourseName], ""), "")</f>
        <v>Maintenance Procedures &amp; Standard Maintenance Practices (Initial)</v>
      </c>
      <c r="F1160" s="17">
        <v>46155</v>
      </c>
      <c r="G1160" s="17" t="str" cm="1">
        <f t="array" ref="G11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0" s="15" t="str">
        <f ca="1">IF(OR(tblTraining[[#This Row],[Status]]="Renewed",tblTraining[[#This Row],[NextDueDate]]=""),"",tblTraining[[#This Row],[NextDueDate]]-TODAY())</f>
        <v/>
      </c>
      <c r="I1160" s="15" t="str" cm="1">
        <f t="array" aca="1" ref="I11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1" spans="1:9" x14ac:dyDescent="0.25">
      <c r="A1161" s="15">
        <f t="shared" si="18"/>
        <v>1160</v>
      </c>
      <c r="B1161" s="15" t="s">
        <v>397</v>
      </c>
      <c r="C1161" s="15" t="str" cm="1">
        <f t="array" ref="C1161">IFERROR(_xlfn.XLOOKUP(B1161, tblPeople[PersonID], tblPeople[PersonName], ""), "")</f>
        <v>Benson Gitahi</v>
      </c>
      <c r="D1161" s="15" t="s">
        <v>202</v>
      </c>
      <c r="E1161" s="16" t="str">
        <f>IFERROR(_xlfn.XLOOKUP(D1161, tblCourses[CourseID], tblCourses[CourseName], ""), "")</f>
        <v>Maintenance Procedures &amp; Standard Maintenance Practices (Refresher)</v>
      </c>
      <c r="F1161" s="17">
        <v>46155</v>
      </c>
      <c r="G1161" s="17" cm="1">
        <f t="array" ref="G11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61" s="15">
        <f ca="1">IF(OR(tblTraining[[#This Row],[Status]]="Renewed",tblTraining[[#This Row],[NextDueDate]]=""),"",tblTraining[[#This Row],[NextDueDate]]-TODAY())</f>
        <v>600</v>
      </c>
      <c r="I1161" s="15" t="str" cm="1">
        <f t="array" aca="1" ref="I11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2" spans="1:9" x14ac:dyDescent="0.25">
      <c r="A1162" s="15">
        <f t="shared" si="18"/>
        <v>1161</v>
      </c>
      <c r="B1162" s="15" t="s">
        <v>409</v>
      </c>
      <c r="C1162" s="15" t="str" cm="1">
        <f t="array" ref="C1162">IFERROR(_xlfn.XLOOKUP(B1162, tblPeople[PersonID], tblPeople[PersonName], ""), "")</f>
        <v>Venessa Ikileng'</v>
      </c>
      <c r="D1162" s="15" t="s">
        <v>360</v>
      </c>
      <c r="E1162" s="16" t="str">
        <f>IFERROR(_xlfn.XLOOKUP(D1162, tblCourses[CourseID], tblCourses[CourseName], ""), "")</f>
        <v>Maintenance Procedures &amp; Standard Maintenance Practices (Initial)</v>
      </c>
      <c r="F1162" s="17">
        <v>46155</v>
      </c>
      <c r="G1162" s="17" t="str" cm="1">
        <f t="array" ref="G11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2" s="15" t="str">
        <f ca="1">IF(OR(tblTraining[[#This Row],[Status]]="Renewed",tblTraining[[#This Row],[NextDueDate]]=""),"",tblTraining[[#This Row],[NextDueDate]]-TODAY())</f>
        <v/>
      </c>
      <c r="I1162" s="15" t="str" cm="1">
        <f t="array" aca="1" ref="I11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3" spans="1:9" x14ac:dyDescent="0.25">
      <c r="A1163" s="15">
        <f t="shared" si="18"/>
        <v>1162</v>
      </c>
      <c r="B1163" s="15" t="s">
        <v>409</v>
      </c>
      <c r="C1163" s="15" t="str" cm="1">
        <f t="array" ref="C1163">IFERROR(_xlfn.XLOOKUP(B1163, tblPeople[PersonID], tblPeople[PersonName], ""), "")</f>
        <v>Venessa Ikileng'</v>
      </c>
      <c r="D1163" s="15" t="s">
        <v>202</v>
      </c>
      <c r="E1163" s="16" t="str">
        <f>IFERROR(_xlfn.XLOOKUP(D1163, tblCourses[CourseID], tblCourses[CourseName], ""), "")</f>
        <v>Maintenance Procedures &amp; Standard Maintenance Practices (Refresher)</v>
      </c>
      <c r="F1163" s="17">
        <v>46155</v>
      </c>
      <c r="G1163" s="17" cm="1">
        <f t="array" ref="G11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63" s="15">
        <f ca="1">IF(OR(tblTraining[[#This Row],[Status]]="Renewed",tblTraining[[#This Row],[NextDueDate]]=""),"",tblTraining[[#This Row],[NextDueDate]]-TODAY())</f>
        <v>600</v>
      </c>
      <c r="I1163" s="15" t="str" cm="1">
        <f t="array" aca="1" ref="I11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4" spans="1:9" x14ac:dyDescent="0.25">
      <c r="A1164" s="15">
        <f t="shared" si="18"/>
        <v>1163</v>
      </c>
      <c r="B1164" s="15" t="s">
        <v>410</v>
      </c>
      <c r="C1164" s="15" t="str" cm="1">
        <f t="array" ref="C1164">IFERROR(_xlfn.XLOOKUP(B1164, tblPeople[PersonID], tblPeople[PersonName], ""), "")</f>
        <v>Prudence Muhami</v>
      </c>
      <c r="D1164" s="15" t="s">
        <v>360</v>
      </c>
      <c r="E1164" s="16" t="str">
        <f>IFERROR(_xlfn.XLOOKUP(D1164, tblCourses[CourseID], tblCourses[CourseName], ""), "")</f>
        <v>Maintenance Procedures &amp; Standard Maintenance Practices (Initial)</v>
      </c>
      <c r="F1164" s="17">
        <v>46155</v>
      </c>
      <c r="G1164" s="17" t="str" cm="1">
        <f t="array" ref="G11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4" s="15" t="str">
        <f ca="1">IF(OR(tblTraining[[#This Row],[Status]]="Renewed",tblTraining[[#This Row],[NextDueDate]]=""),"",tblTraining[[#This Row],[NextDueDate]]-TODAY())</f>
        <v/>
      </c>
      <c r="I1164" s="15" t="str" cm="1">
        <f t="array" aca="1" ref="I11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5" spans="1:9" x14ac:dyDescent="0.25">
      <c r="A1165" s="15">
        <f t="shared" si="18"/>
        <v>1164</v>
      </c>
      <c r="B1165" s="15" t="s">
        <v>410</v>
      </c>
      <c r="C1165" s="15" t="str" cm="1">
        <f t="array" ref="C1165">IFERROR(_xlfn.XLOOKUP(B1165, tblPeople[PersonID], tblPeople[PersonName], ""), "")</f>
        <v>Prudence Muhami</v>
      </c>
      <c r="D1165" s="15" t="s">
        <v>202</v>
      </c>
      <c r="E1165" s="16" t="str">
        <f>IFERROR(_xlfn.XLOOKUP(D1165, tblCourses[CourseID], tblCourses[CourseName], ""), "")</f>
        <v>Maintenance Procedures &amp; Standard Maintenance Practices (Refresher)</v>
      </c>
      <c r="F1165" s="17">
        <v>46155</v>
      </c>
      <c r="G1165" s="17" cm="1">
        <f t="array" ref="G11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65" s="15">
        <f ca="1">IF(OR(tblTraining[[#This Row],[Status]]="Renewed",tblTraining[[#This Row],[NextDueDate]]=""),"",tblTraining[[#This Row],[NextDueDate]]-TODAY())</f>
        <v>600</v>
      </c>
      <c r="I1165" s="15" t="str" cm="1">
        <f t="array" aca="1" ref="I11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6" spans="1:9" x14ac:dyDescent="0.25">
      <c r="A1166" s="15">
        <f t="shared" si="18"/>
        <v>1165</v>
      </c>
      <c r="B1166" s="15" t="s">
        <v>413</v>
      </c>
      <c r="C1166" s="15" t="str" cm="1">
        <f t="array" ref="C1166">IFERROR(_xlfn.XLOOKUP(B1166, tblPeople[PersonID], tblPeople[PersonName], ""), "")</f>
        <v>James Muisyo</v>
      </c>
      <c r="D1166" s="15" t="s">
        <v>360</v>
      </c>
      <c r="E1166" s="16" t="str">
        <f>IFERROR(_xlfn.XLOOKUP(D1166, tblCourses[CourseID], tblCourses[CourseName], ""), "")</f>
        <v>Maintenance Procedures &amp; Standard Maintenance Practices (Initial)</v>
      </c>
      <c r="F1166" s="17">
        <v>46155</v>
      </c>
      <c r="G1166" s="17" t="str" cm="1">
        <f t="array" ref="G11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6" s="15" t="str">
        <f ca="1">IF(OR(tblTraining[[#This Row],[Status]]="Renewed",tblTraining[[#This Row],[NextDueDate]]=""),"",tblTraining[[#This Row],[NextDueDate]]-TODAY())</f>
        <v/>
      </c>
      <c r="I1166" s="15" t="str" cm="1">
        <f t="array" aca="1" ref="I11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7" spans="1:9" x14ac:dyDescent="0.25">
      <c r="A1167" s="15">
        <f t="shared" si="18"/>
        <v>1166</v>
      </c>
      <c r="B1167" s="15" t="s">
        <v>413</v>
      </c>
      <c r="C1167" s="15" t="str" cm="1">
        <f t="array" ref="C1167">IFERROR(_xlfn.XLOOKUP(B1167, tblPeople[PersonID], tblPeople[PersonName], ""), "")</f>
        <v>James Muisyo</v>
      </c>
      <c r="D1167" s="15" t="s">
        <v>202</v>
      </c>
      <c r="E1167" s="16" t="str">
        <f>IFERROR(_xlfn.XLOOKUP(D1167, tblCourses[CourseID], tblCourses[CourseName], ""), "")</f>
        <v>Maintenance Procedures &amp; Standard Maintenance Practices (Refresher)</v>
      </c>
      <c r="F1167" s="17">
        <v>46155</v>
      </c>
      <c r="G1167" s="17" cm="1">
        <f t="array" ref="G11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67" s="15">
        <f ca="1">IF(OR(tblTraining[[#This Row],[Status]]="Renewed",tblTraining[[#This Row],[NextDueDate]]=""),"",tblTraining[[#This Row],[NextDueDate]]-TODAY())</f>
        <v>600</v>
      </c>
      <c r="I1167" s="15" t="str" cm="1">
        <f t="array" aca="1" ref="I11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8" spans="1:9" x14ac:dyDescent="0.25">
      <c r="A1168" s="15">
        <f t="shared" si="18"/>
        <v>1167</v>
      </c>
      <c r="B1168" s="15" t="s">
        <v>442</v>
      </c>
      <c r="C1168" s="15" t="str" cm="1">
        <f t="array" ref="C1168">IFERROR(_xlfn.XLOOKUP(B1168, tblPeople[PersonID], tblPeople[PersonName], ""), "")</f>
        <v>Mary Chelagat</v>
      </c>
      <c r="D1168" s="15" t="s">
        <v>360</v>
      </c>
      <c r="E1168" s="16" t="str">
        <f>IFERROR(_xlfn.XLOOKUP(D1168, tblCourses[CourseID], tblCourses[CourseName], ""), "")</f>
        <v>Maintenance Procedures &amp; Standard Maintenance Practices (Initial)</v>
      </c>
      <c r="F1168" s="17">
        <v>46155</v>
      </c>
      <c r="G1168" s="17" t="str" cm="1">
        <f t="array" ref="G11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8" s="15" t="str">
        <f ca="1">IF(OR(tblTraining[[#This Row],[Status]]="Renewed",tblTraining[[#This Row],[NextDueDate]]=""),"",tblTraining[[#This Row],[NextDueDate]]-TODAY())</f>
        <v/>
      </c>
      <c r="I1168" s="15" t="str" cm="1">
        <f t="array" aca="1" ref="I11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9" spans="1:9" x14ac:dyDescent="0.25">
      <c r="A1169" s="15">
        <f t="shared" si="18"/>
        <v>1168</v>
      </c>
      <c r="B1169" s="15" t="s">
        <v>442</v>
      </c>
      <c r="C1169" s="15" t="str" cm="1">
        <f t="array" ref="C1169">IFERROR(_xlfn.XLOOKUP(B1169, tblPeople[PersonID], tblPeople[PersonName], ""), "")</f>
        <v>Mary Chelagat</v>
      </c>
      <c r="D1169" s="15" t="s">
        <v>202</v>
      </c>
      <c r="E1169" s="16" t="str">
        <f>IFERROR(_xlfn.XLOOKUP(D1169, tblCourses[CourseID], tblCourses[CourseName], ""), "")</f>
        <v>Maintenance Procedures &amp; Standard Maintenance Practices (Refresher)</v>
      </c>
      <c r="F1169" s="17">
        <v>46155</v>
      </c>
      <c r="G1169" s="17" cm="1">
        <f t="array" ref="G11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69" s="15">
        <f ca="1">IF(OR(tblTraining[[#This Row],[Status]]="Renewed",tblTraining[[#This Row],[NextDueDate]]=""),"",tblTraining[[#This Row],[NextDueDate]]-TODAY())</f>
        <v>600</v>
      </c>
      <c r="I1169" s="15" t="str" cm="1">
        <f t="array" aca="1" ref="I11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0" spans="1:9" x14ac:dyDescent="0.25">
      <c r="A1170" s="15">
        <f t="shared" si="18"/>
        <v>1169</v>
      </c>
      <c r="B1170" s="15" t="s">
        <v>443</v>
      </c>
      <c r="C1170" s="15" t="str" cm="1">
        <f t="array" ref="C1170">IFERROR(_xlfn.XLOOKUP(B1170, tblPeople[PersonID], tblPeople[PersonName], ""), "")</f>
        <v>Alfred Okudo</v>
      </c>
      <c r="D1170" s="15" t="s">
        <v>360</v>
      </c>
      <c r="E1170" s="16" t="str">
        <f>IFERROR(_xlfn.XLOOKUP(D1170, tblCourses[CourseID], tblCourses[CourseName], ""), "")</f>
        <v>Maintenance Procedures &amp; Standard Maintenance Practices (Initial)</v>
      </c>
      <c r="F1170" s="17">
        <v>46155</v>
      </c>
      <c r="G1170" s="17" t="str" cm="1">
        <f t="array" ref="G11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0" s="15" t="str">
        <f ca="1">IF(OR(tblTraining[[#This Row],[Status]]="Renewed",tblTraining[[#This Row],[NextDueDate]]=""),"",tblTraining[[#This Row],[NextDueDate]]-TODAY())</f>
        <v/>
      </c>
      <c r="I1170" s="15" t="str" cm="1">
        <f t="array" aca="1" ref="I11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1" spans="1:9" x14ac:dyDescent="0.25">
      <c r="A1171" s="15">
        <f t="shared" si="18"/>
        <v>1170</v>
      </c>
      <c r="B1171" s="15" t="s">
        <v>443</v>
      </c>
      <c r="C1171" s="15" t="str" cm="1">
        <f t="array" ref="C1171">IFERROR(_xlfn.XLOOKUP(B1171, tblPeople[PersonID], tblPeople[PersonName], ""), "")</f>
        <v>Alfred Okudo</v>
      </c>
      <c r="D1171" s="15" t="s">
        <v>202</v>
      </c>
      <c r="E1171" s="16" t="str">
        <f>IFERROR(_xlfn.XLOOKUP(D1171, tblCourses[CourseID], tblCourses[CourseName], ""), "")</f>
        <v>Maintenance Procedures &amp; Standard Maintenance Practices (Refresher)</v>
      </c>
      <c r="F1171" s="17">
        <v>46155</v>
      </c>
      <c r="G1171" s="17" cm="1">
        <f t="array" ref="G11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71" s="15">
        <f ca="1">IF(OR(tblTraining[[#This Row],[Status]]="Renewed",tblTraining[[#This Row],[NextDueDate]]=""),"",tblTraining[[#This Row],[NextDueDate]]-TODAY())</f>
        <v>600</v>
      </c>
      <c r="I1171" s="15" t="str" cm="1">
        <f t="array" aca="1" ref="I11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2" spans="1:9" x14ac:dyDescent="0.25">
      <c r="A1172" s="15">
        <f t="shared" si="18"/>
        <v>1171</v>
      </c>
      <c r="B1172" s="15" t="s">
        <v>444</v>
      </c>
      <c r="C1172" s="15" t="str" cm="1">
        <f t="array" ref="C1172">IFERROR(_xlfn.XLOOKUP(B1172, tblPeople[PersonID], tblPeople[PersonName], ""), "")</f>
        <v>Martin Chege</v>
      </c>
      <c r="D1172" s="15" t="s">
        <v>360</v>
      </c>
      <c r="E1172" s="16" t="str">
        <f>IFERROR(_xlfn.XLOOKUP(D1172, tblCourses[CourseID], tblCourses[CourseName], ""), "")</f>
        <v>Maintenance Procedures &amp; Standard Maintenance Practices (Initial)</v>
      </c>
      <c r="F1172" s="17">
        <v>46155</v>
      </c>
      <c r="G1172" s="17" t="str" cm="1">
        <f t="array" ref="G11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2" s="15" t="str">
        <f ca="1">IF(OR(tblTraining[[#This Row],[Status]]="Renewed",tblTraining[[#This Row],[NextDueDate]]=""),"",tblTraining[[#This Row],[NextDueDate]]-TODAY())</f>
        <v/>
      </c>
      <c r="I1172" s="15" t="str" cm="1">
        <f t="array" aca="1" ref="I11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3" spans="1:9" x14ac:dyDescent="0.25">
      <c r="A1173" s="15">
        <f t="shared" si="18"/>
        <v>1172</v>
      </c>
      <c r="B1173" s="15" t="s">
        <v>444</v>
      </c>
      <c r="C1173" s="15" t="str" cm="1">
        <f t="array" ref="C1173">IFERROR(_xlfn.XLOOKUP(B1173, tblPeople[PersonID], tblPeople[PersonName], ""), "")</f>
        <v>Martin Chege</v>
      </c>
      <c r="D1173" s="15" t="s">
        <v>202</v>
      </c>
      <c r="E1173" s="16" t="str">
        <f>IFERROR(_xlfn.XLOOKUP(D1173, tblCourses[CourseID], tblCourses[CourseName], ""), "")</f>
        <v>Maintenance Procedures &amp; Standard Maintenance Practices (Refresher)</v>
      </c>
      <c r="F1173" s="17">
        <v>46155</v>
      </c>
      <c r="G1173" s="17" cm="1">
        <f t="array" ref="G11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73" s="15">
        <f ca="1">IF(OR(tblTraining[[#This Row],[Status]]="Renewed",tblTraining[[#This Row],[NextDueDate]]=""),"",tblTraining[[#This Row],[NextDueDate]]-TODAY())</f>
        <v>600</v>
      </c>
      <c r="I1173" s="15" t="str" cm="1">
        <f t="array" aca="1" ref="I11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4" spans="1:9" x14ac:dyDescent="0.25">
      <c r="A1174" s="15">
        <f t="shared" si="18"/>
        <v>1173</v>
      </c>
      <c r="B1174" s="15" t="s">
        <v>445</v>
      </c>
      <c r="C1174" s="15" t="str" cm="1">
        <f t="array" ref="C1174">IFERROR(_xlfn.XLOOKUP(B1174, tblPeople[PersonID], tblPeople[PersonName], ""), "")</f>
        <v>Brian Muga</v>
      </c>
      <c r="D1174" s="15" t="s">
        <v>360</v>
      </c>
      <c r="E1174" s="16" t="str">
        <f>IFERROR(_xlfn.XLOOKUP(D1174, tblCourses[CourseID], tblCourses[CourseName], ""), "")</f>
        <v>Maintenance Procedures &amp; Standard Maintenance Practices (Initial)</v>
      </c>
      <c r="F1174" s="17">
        <v>46155</v>
      </c>
      <c r="G1174" s="17" t="str" cm="1">
        <f t="array" ref="G11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4" s="15" t="str">
        <f ca="1">IF(OR(tblTraining[[#This Row],[Status]]="Renewed",tblTraining[[#This Row],[NextDueDate]]=""),"",tblTraining[[#This Row],[NextDueDate]]-TODAY())</f>
        <v/>
      </c>
      <c r="I1174" s="15" t="str" cm="1">
        <f t="array" aca="1" ref="I11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5" spans="1:9" x14ac:dyDescent="0.25">
      <c r="A1175" s="15">
        <f t="shared" si="18"/>
        <v>1174</v>
      </c>
      <c r="B1175" s="15" t="s">
        <v>445</v>
      </c>
      <c r="C1175" s="15" t="str" cm="1">
        <f t="array" ref="C1175">IFERROR(_xlfn.XLOOKUP(B1175, tblPeople[PersonID], tblPeople[PersonName], ""), "")</f>
        <v>Brian Muga</v>
      </c>
      <c r="D1175" s="15" t="s">
        <v>202</v>
      </c>
      <c r="E1175" s="16" t="str">
        <f>IFERROR(_xlfn.XLOOKUP(D1175, tblCourses[CourseID], tblCourses[CourseName], ""), "")</f>
        <v>Maintenance Procedures &amp; Standard Maintenance Practices (Refresher)</v>
      </c>
      <c r="F1175" s="17">
        <v>46155</v>
      </c>
      <c r="G1175" s="17" cm="1">
        <f t="array" ref="G11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75" s="15">
        <f ca="1">IF(OR(tblTraining[[#This Row],[Status]]="Renewed",tblTraining[[#This Row],[NextDueDate]]=""),"",tblTraining[[#This Row],[NextDueDate]]-TODAY())</f>
        <v>600</v>
      </c>
      <c r="I1175" s="15" t="str" cm="1">
        <f t="array" aca="1" ref="I11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6" spans="1:9" x14ac:dyDescent="0.25">
      <c r="A1176" s="15">
        <f t="shared" si="18"/>
        <v>1175</v>
      </c>
      <c r="B1176" s="15" t="s">
        <v>450</v>
      </c>
      <c r="C1176" s="15" t="str" cm="1">
        <f t="array" ref="C1176">IFERROR(_xlfn.XLOOKUP(B1176, tblPeople[PersonID], tblPeople[PersonName], ""), "")</f>
        <v>Evans Maingi</v>
      </c>
      <c r="D1176" s="15" t="s">
        <v>360</v>
      </c>
      <c r="E1176" s="16" t="str">
        <f>IFERROR(_xlfn.XLOOKUP(D1176, tblCourses[CourseID], tblCourses[CourseName], ""), "")</f>
        <v>Maintenance Procedures &amp; Standard Maintenance Practices (Initial)</v>
      </c>
      <c r="F1176" s="17">
        <v>46155</v>
      </c>
      <c r="G1176" s="17" t="str" cm="1">
        <f t="array" ref="G11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6" s="15" t="str">
        <f ca="1">IF(OR(tblTraining[[#This Row],[Status]]="Renewed",tblTraining[[#This Row],[NextDueDate]]=""),"",tblTraining[[#This Row],[NextDueDate]]-TODAY())</f>
        <v/>
      </c>
      <c r="I1176" s="15" t="str" cm="1">
        <f t="array" aca="1" ref="I11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7" spans="1:9" x14ac:dyDescent="0.25">
      <c r="A1177" s="15">
        <f t="shared" si="18"/>
        <v>1176</v>
      </c>
      <c r="B1177" s="15" t="s">
        <v>450</v>
      </c>
      <c r="C1177" s="15" t="str" cm="1">
        <f t="array" ref="C1177">IFERROR(_xlfn.XLOOKUP(B1177, tblPeople[PersonID], tblPeople[PersonName], ""), "")</f>
        <v>Evans Maingi</v>
      </c>
      <c r="D1177" s="15" t="s">
        <v>202</v>
      </c>
      <c r="E1177" s="16" t="str">
        <f>IFERROR(_xlfn.XLOOKUP(D1177, tblCourses[CourseID], tblCourses[CourseName], ""), "")</f>
        <v>Maintenance Procedures &amp; Standard Maintenance Practices (Refresher)</v>
      </c>
      <c r="F1177" s="17">
        <v>46155</v>
      </c>
      <c r="G1177" s="17" cm="1">
        <f t="array" ref="G11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77" s="15">
        <f ca="1">IF(OR(tblTraining[[#This Row],[Status]]="Renewed",tblTraining[[#This Row],[NextDueDate]]=""),"",tblTraining[[#This Row],[NextDueDate]]-TODAY())</f>
        <v>600</v>
      </c>
      <c r="I1177" s="15" t="str" cm="1">
        <f t="array" aca="1" ref="I11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8" spans="1:9" x14ac:dyDescent="0.25">
      <c r="A1178" s="15">
        <f t="shared" si="18"/>
        <v>1177</v>
      </c>
      <c r="B1178" s="15" t="s">
        <v>447</v>
      </c>
      <c r="C1178" s="15" t="str" cm="1">
        <f t="array" ref="C1178">IFERROR(_xlfn.XLOOKUP(B1178, tblPeople[PersonID], tblPeople[PersonName], ""), "")</f>
        <v>Francis Mutonga</v>
      </c>
      <c r="D1178" s="15" t="s">
        <v>360</v>
      </c>
      <c r="E1178" s="16" t="str">
        <f>IFERROR(_xlfn.XLOOKUP(D1178, tblCourses[CourseID], tblCourses[CourseName], ""), "")</f>
        <v>Maintenance Procedures &amp; Standard Maintenance Practices (Initial)</v>
      </c>
      <c r="F1178" s="17">
        <v>46155</v>
      </c>
      <c r="G1178" s="17" t="str" cm="1">
        <f t="array" ref="G11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8" s="15" t="str">
        <f ca="1">IF(OR(tblTraining[[#This Row],[Status]]="Renewed",tblTraining[[#This Row],[NextDueDate]]=""),"",tblTraining[[#This Row],[NextDueDate]]-TODAY())</f>
        <v/>
      </c>
      <c r="I1178" s="15" t="str" cm="1">
        <f t="array" aca="1" ref="I11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9" spans="1:9" x14ac:dyDescent="0.25">
      <c r="A1179" s="15">
        <f t="shared" si="18"/>
        <v>1178</v>
      </c>
      <c r="B1179" s="15" t="s">
        <v>447</v>
      </c>
      <c r="C1179" s="15" t="str" cm="1">
        <f t="array" ref="C1179">IFERROR(_xlfn.XLOOKUP(B1179, tblPeople[PersonID], tblPeople[PersonName], ""), "")</f>
        <v>Francis Mutonga</v>
      </c>
      <c r="D1179" s="15" t="s">
        <v>202</v>
      </c>
      <c r="E1179" s="16" t="str">
        <f>IFERROR(_xlfn.XLOOKUP(D1179, tblCourses[CourseID], tblCourses[CourseName], ""), "")</f>
        <v>Maintenance Procedures &amp; Standard Maintenance Practices (Refresher)</v>
      </c>
      <c r="F1179" s="17">
        <v>46155</v>
      </c>
      <c r="G1179" s="17" cm="1">
        <f t="array" ref="G11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79" s="15">
        <f ca="1">IF(OR(tblTraining[[#This Row],[Status]]="Renewed",tblTraining[[#This Row],[NextDueDate]]=""),"",tblTraining[[#This Row],[NextDueDate]]-TODAY())</f>
        <v>600</v>
      </c>
      <c r="I1179" s="15" t="str" cm="1">
        <f t="array" aca="1" ref="I11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0" spans="1:9" x14ac:dyDescent="0.25">
      <c r="A1180" s="15">
        <f t="shared" si="18"/>
        <v>1179</v>
      </c>
      <c r="B1180" s="15" t="s">
        <v>442</v>
      </c>
      <c r="C1180" s="15" t="str" cm="1">
        <f t="array" ref="C1180">IFERROR(_xlfn.XLOOKUP(B1180, tblPeople[PersonID], tblPeople[PersonName], ""), "")</f>
        <v>Mary Chelagat</v>
      </c>
      <c r="D1180" s="15" t="s">
        <v>179</v>
      </c>
      <c r="E1180" s="16" t="str">
        <f>IFERROR(_xlfn.XLOOKUP(D1180, tblCourses[CourseID], tblCourses[CourseName], ""), "")</f>
        <v>Aircraft Maintenance Engineers' Licence</v>
      </c>
      <c r="F1180" s="17">
        <v>45504</v>
      </c>
      <c r="G1180" s="17" t="str" cm="1">
        <f t="array" ref="G11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0" s="15" t="str">
        <f ca="1">IF(OR(tblTraining[[#This Row],[Status]]="Renewed",tblTraining[[#This Row],[NextDueDate]]=""),"",tblTraining[[#This Row],[NextDueDate]]-TODAY())</f>
        <v/>
      </c>
      <c r="I1180" s="15" t="str" cm="1">
        <f t="array" aca="1" ref="I11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81" spans="1:9" x14ac:dyDescent="0.25">
      <c r="A1181" s="15">
        <f t="shared" si="18"/>
        <v>1180</v>
      </c>
      <c r="B1181" s="15" t="s">
        <v>442</v>
      </c>
      <c r="C1181" s="15" t="str" cm="1">
        <f t="array" ref="C1181">IFERROR(_xlfn.XLOOKUP(B1181, tblPeople[PersonID], tblPeople[PersonName], ""), "")</f>
        <v>Mary Chelagat</v>
      </c>
      <c r="D1181" s="15" t="s">
        <v>29</v>
      </c>
      <c r="E1181" s="16" t="str">
        <f>IFERROR(_xlfn.XLOOKUP(D1181, tblCourses[CourseID], tblCourses[CourseName], ""), "")</f>
        <v>DHC-8 100/200/300 with PWC 120/120A/121/123B/C/D/E Series Engines(Initial)</v>
      </c>
      <c r="F1181" s="17">
        <v>43338</v>
      </c>
      <c r="G1181" s="17" t="str" cm="1">
        <f t="array" ref="G11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1" s="15" t="str">
        <f ca="1">IF(OR(tblTraining[[#This Row],[Status]]="Renewed",tblTraining[[#This Row],[NextDueDate]]=""),"",tblTraining[[#This Row],[NextDueDate]]-TODAY())</f>
        <v/>
      </c>
      <c r="I1181" s="15" t="str" cm="1">
        <f t="array" aca="1" ref="I11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2" spans="1:9" x14ac:dyDescent="0.25">
      <c r="A1182" s="15">
        <f t="shared" si="18"/>
        <v>1181</v>
      </c>
      <c r="B1182" s="15" t="s">
        <v>442</v>
      </c>
      <c r="C1182" s="15" t="str" cm="1">
        <f t="array" ref="C1182">IFERROR(_xlfn.XLOOKUP(B1182, tblPeople[PersonID], tblPeople[PersonName], ""), "")</f>
        <v>Mary Chelagat</v>
      </c>
      <c r="D1182" s="15" t="s">
        <v>28</v>
      </c>
      <c r="E1182" s="16" t="str">
        <f>IFERROR(_xlfn.XLOOKUP(D1182, tblCourses[CourseID], tblCourses[CourseName], ""), "")</f>
        <v>DHC-8 100/200/300 with PWC 120/120A/121/123B/C/D/E Series Engines(Refresher)</v>
      </c>
      <c r="F1182" s="17">
        <v>43338</v>
      </c>
      <c r="G1182" s="17" t="str" cm="1">
        <f t="array" ref="G11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2" s="15" t="str">
        <f ca="1">IF(OR(tblTraining[[#This Row],[Status]]="Renewed",tblTraining[[#This Row],[NextDueDate]]=""),"",tblTraining[[#This Row],[NextDueDate]]-TODAY())</f>
        <v/>
      </c>
      <c r="I1182" s="15" t="str" cm="1">
        <f t="array" aca="1" ref="I11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83" spans="1:9" x14ac:dyDescent="0.25">
      <c r="A1183" s="15">
        <f t="shared" si="18"/>
        <v>1182</v>
      </c>
      <c r="B1183" s="15" t="s">
        <v>442</v>
      </c>
      <c r="C1183" s="15" t="str" cm="1">
        <f t="array" ref="C1183">IFERROR(_xlfn.XLOOKUP(B1183, tblPeople[PersonID], tblPeople[PersonName], ""), "")</f>
        <v>Mary Chelagat</v>
      </c>
      <c r="D1183" s="15" t="s">
        <v>28</v>
      </c>
      <c r="E1183" s="16" t="str">
        <f>IFERROR(_xlfn.XLOOKUP(D1183, tblCourses[CourseID], tblCourses[CourseName], ""), "")</f>
        <v>DHC-8 100/200/300 with PWC 120/120A/121/123B/C/D/E Series Engines(Refresher)</v>
      </c>
      <c r="F1183" s="17">
        <v>46129</v>
      </c>
      <c r="G1183" s="17" cm="1">
        <f t="array" ref="G11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183" s="15">
        <f ca="1">IF(OR(tblTraining[[#This Row],[Status]]="Renewed",tblTraining[[#This Row],[NextDueDate]]=""),"",tblTraining[[#This Row],[NextDueDate]]-TODAY())</f>
        <v>574</v>
      </c>
      <c r="I1183" s="15" t="str" cm="1">
        <f t="array" aca="1" ref="I11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4" spans="1:9" x14ac:dyDescent="0.25">
      <c r="A1184" s="15">
        <f t="shared" si="18"/>
        <v>1183</v>
      </c>
      <c r="B1184" s="15" t="s">
        <v>104</v>
      </c>
      <c r="C1184" s="15" t="str" cm="1">
        <f t="array" ref="C1184">IFERROR(_xlfn.XLOOKUP(B1184, tblPeople[PersonID], tblPeople[PersonName], ""), "")</f>
        <v>Douglas Hurgins</v>
      </c>
      <c r="D1184" s="15" t="s">
        <v>75</v>
      </c>
      <c r="E1184" s="16" t="str">
        <f>IFERROR(_xlfn.XLOOKUP(D1184, tblCourses[CourseID], tblCourses[CourseName], ""), "")</f>
        <v>Fuel Tank Safety Phase 1 &amp; 2 Course (Refresher)</v>
      </c>
      <c r="F1184" s="17">
        <v>46105</v>
      </c>
      <c r="G1184" s="17" cm="1">
        <f t="array" ref="G11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46836</v>
      </c>
      <c r="H1184" s="15">
        <f ca="1">IF(OR(tblTraining[[#This Row],[Status]]="Renewed",tblTraining[[#This Row],[NextDueDate]]=""),"",tblTraining[[#This Row],[NextDueDate]]-TODAY())</f>
        <v>550</v>
      </c>
      <c r="I1184" s="15" t="str" cm="1">
        <f t="array" aca="1" ref="I11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5" spans="1:9" x14ac:dyDescent="0.25">
      <c r="A1185" s="15">
        <f t="shared" si="18"/>
        <v>1184</v>
      </c>
      <c r="B1185" s="15" t="s">
        <v>104</v>
      </c>
      <c r="C1185" s="15" t="str" cm="1">
        <f t="array" ref="C1185">IFERROR(_xlfn.XLOOKUP(B1185, tblPeople[PersonID], tblPeople[PersonName], ""), "")</f>
        <v>Douglas Hurgins</v>
      </c>
      <c r="D1185" s="15" t="s">
        <v>28</v>
      </c>
      <c r="E1185" s="16" t="str">
        <f>IFERROR(_xlfn.XLOOKUP(D1185, tblCourses[CourseID], tblCourses[CourseName], ""), "")</f>
        <v>DHC-8 100/200/300 with PWC 120/120A/121/123B/C/D/E Series Engines(Refresher)</v>
      </c>
      <c r="F1185" s="17">
        <v>46129</v>
      </c>
      <c r="G1185" s="17" cm="1">
        <f t="array" ref="G11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185" s="15">
        <f ca="1">IF(OR(tblTraining[[#This Row],[Status]]="Renewed",tblTraining[[#This Row],[NextDueDate]]=""),"",tblTraining[[#This Row],[NextDueDate]]-TODAY())</f>
        <v>574</v>
      </c>
      <c r="I1185" s="15" t="str" cm="1">
        <f t="array" aca="1" ref="I11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6" spans="1:9" x14ac:dyDescent="0.25">
      <c r="A1186" s="15">
        <f t="shared" si="18"/>
        <v>1185</v>
      </c>
      <c r="B1186" s="15" t="s">
        <v>153</v>
      </c>
      <c r="C1186" s="15" t="str" cm="1">
        <f t="array" ref="C1186">IFERROR(_xlfn.XLOOKUP(B1186, tblPeople[PersonID], tblPeople[PersonName], ""), "")</f>
        <v>Majid Mohamed</v>
      </c>
      <c r="D1186" s="15" t="s">
        <v>28</v>
      </c>
      <c r="E1186" s="16" t="str">
        <f>IFERROR(_xlfn.XLOOKUP(D1186, tblCourses[CourseID], tblCourses[CourseName], ""), "")</f>
        <v>DHC-8 100/200/300 with PWC 120/120A/121/123B/C/D/E Series Engines(Refresher)</v>
      </c>
      <c r="F1186" s="17">
        <v>46129</v>
      </c>
      <c r="G1186" s="17" cm="1">
        <f t="array" ref="G11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186" s="15">
        <f ca="1">IF(OR(tblTraining[[#This Row],[Status]]="Renewed",tblTraining[[#This Row],[NextDueDate]]=""),"",tblTraining[[#This Row],[NextDueDate]]-TODAY())</f>
        <v>574</v>
      </c>
      <c r="I1186" s="15" t="str" cm="1">
        <f t="array" aca="1" ref="I11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7" spans="1:9" x14ac:dyDescent="0.25">
      <c r="A1187" s="15">
        <f t="shared" si="18"/>
        <v>1186</v>
      </c>
      <c r="B1187" s="15" t="s">
        <v>153</v>
      </c>
      <c r="C1187" s="15" t="str" cm="1">
        <f t="array" ref="C1187">IFERROR(_xlfn.XLOOKUP(B1187, tblPeople[PersonID], tblPeople[PersonName], ""), "")</f>
        <v>Majid Mohamed</v>
      </c>
      <c r="D1187" s="15" t="s">
        <v>182</v>
      </c>
      <c r="E1187" s="16" t="str">
        <f>IFERROR(_xlfn.XLOOKUP(D1187, tblCourses[CourseID], tblCourses[CourseName], ""), "")</f>
        <v>Cessna 208 Series (Caravan) With P&amp;WC PT6A-114/ -114A/ -140 Engines (Refresher)</v>
      </c>
      <c r="F1187" s="17">
        <v>46122</v>
      </c>
      <c r="G1187" s="17" cm="1">
        <f t="array" ref="G11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46853</v>
      </c>
      <c r="H1187" s="15">
        <f ca="1">IF(OR(tblTraining[[#This Row],[Status]]="Renewed",tblTraining[[#This Row],[NextDueDate]]=""),"",tblTraining[[#This Row],[NextDueDate]]-TODAY())</f>
        <v>567</v>
      </c>
      <c r="I1187" s="15" t="str" cm="1">
        <f t="array" aca="1" ref="I11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8" spans="1:9" x14ac:dyDescent="0.25">
      <c r="A1188" s="15">
        <f t="shared" si="18"/>
        <v>1187</v>
      </c>
      <c r="B1188" s="15" t="s">
        <v>91</v>
      </c>
      <c r="C1188" s="15" t="str" cm="1">
        <f t="array" ref="C1188">IFERROR(_xlfn.XLOOKUP(B1188, tblPeople[PersonID], tblPeople[PersonName], ""), "")</f>
        <v>Dunstan Kwalanda</v>
      </c>
      <c r="D1188" s="15" t="s">
        <v>22</v>
      </c>
      <c r="E1188" s="16" t="str">
        <f>IFERROR(_xlfn.XLOOKUP(D1188, tblCourses[CourseID], tblCourses[CourseName], ""), "")</f>
        <v>Human Factors in Aviation (Refresher)</v>
      </c>
      <c r="F1188" s="17">
        <v>46087</v>
      </c>
      <c r="G1188" s="17" cm="1">
        <f t="array" ref="G11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46818</v>
      </c>
      <c r="H1188" s="15">
        <f ca="1">IF(OR(tblTraining[[#This Row],[Status]]="Renewed",tblTraining[[#This Row],[NextDueDate]]=""),"",tblTraining[[#This Row],[NextDueDate]]-TODAY())</f>
        <v>532</v>
      </c>
      <c r="I1188" s="15" t="str" cm="1">
        <f t="array" aca="1" ref="I11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9" spans="1:9" x14ac:dyDescent="0.25">
      <c r="A1189" s="15">
        <f t="shared" si="18"/>
        <v>1188</v>
      </c>
      <c r="B1189" s="15" t="s">
        <v>91</v>
      </c>
      <c r="C1189" s="15" t="str" cm="1">
        <f t="array" ref="C1189">IFERROR(_xlfn.XLOOKUP(B1189, tblPeople[PersonID], tblPeople[PersonName], ""), "")</f>
        <v>Dunstan Kwalanda</v>
      </c>
      <c r="D1189" s="15" t="s">
        <v>75</v>
      </c>
      <c r="E1189" s="16" t="str">
        <f>IFERROR(_xlfn.XLOOKUP(D1189, tblCourses[CourseID], tblCourses[CourseName], ""), "")</f>
        <v>Fuel Tank Safety Phase 1 &amp; 2 Course (Refresher)</v>
      </c>
      <c r="F1189" s="17">
        <v>46112</v>
      </c>
      <c r="G1189" s="17" cm="1">
        <f t="array" ref="G11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46843</v>
      </c>
      <c r="H1189" s="15">
        <f ca="1">IF(OR(tblTraining[[#This Row],[Status]]="Renewed",tblTraining[[#This Row],[NextDueDate]]=""),"",tblTraining[[#This Row],[NextDueDate]]-TODAY())</f>
        <v>557</v>
      </c>
      <c r="I1189" s="15" t="str" cm="1">
        <f t="array" aca="1" ref="I11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0" spans="1:9" x14ac:dyDescent="0.25">
      <c r="A1190" s="15">
        <f t="shared" si="18"/>
        <v>1189</v>
      </c>
      <c r="B1190" s="15" t="s">
        <v>95</v>
      </c>
      <c r="C1190" s="15" t="str" cm="1">
        <f t="array" ref="C1190">IFERROR(_xlfn.XLOOKUP(B1190, tblPeople[PersonID], tblPeople[PersonName], ""), "")</f>
        <v>Walter Kibet</v>
      </c>
      <c r="D1190" s="15" t="s">
        <v>17</v>
      </c>
      <c r="E1190" s="16" t="str">
        <f>IFERROR(_xlfn.XLOOKUP(D1190, tblCourses[CourseID], tblCourses[CourseName], ""), "")</f>
        <v>Safety Management Systems (Refresher)</v>
      </c>
      <c r="F1190" s="17">
        <v>46100</v>
      </c>
      <c r="G1190" s="17" cm="1">
        <f t="array" ref="G11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0" s="15">
        <f ca="1">IF(OR(tblTraining[[#This Row],[Status]]="Renewed",tblTraining[[#This Row],[NextDueDate]]=""),"",tblTraining[[#This Row],[NextDueDate]]-TODAY())</f>
        <v>545</v>
      </c>
      <c r="I1190" s="15" t="str" cm="1">
        <f t="array" aca="1" ref="I11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1" spans="1:9" x14ac:dyDescent="0.25">
      <c r="A1191" s="15">
        <f t="shared" si="18"/>
        <v>1190</v>
      </c>
      <c r="B1191" s="15" t="s">
        <v>91</v>
      </c>
      <c r="C1191" s="15" t="str" cm="1">
        <f t="array" ref="C1191">IFERROR(_xlfn.XLOOKUP(B1191, tblPeople[PersonID], tblPeople[PersonName], ""), "")</f>
        <v>Dunstan Kwalanda</v>
      </c>
      <c r="D1191" s="15" t="s">
        <v>17</v>
      </c>
      <c r="E1191" s="16" t="str">
        <f>IFERROR(_xlfn.XLOOKUP(D1191, tblCourses[CourseID], tblCourses[CourseName], ""), "")</f>
        <v>Safety Management Systems (Refresher)</v>
      </c>
      <c r="F1191" s="17">
        <v>46100</v>
      </c>
      <c r="G1191" s="17" cm="1">
        <f t="array" ref="G11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1" s="15">
        <f ca="1">IF(OR(tblTraining[[#This Row],[Status]]="Renewed",tblTraining[[#This Row],[NextDueDate]]=""),"",tblTraining[[#This Row],[NextDueDate]]-TODAY())</f>
        <v>545</v>
      </c>
      <c r="I1191" s="15" t="str" cm="1">
        <f t="array" aca="1" ref="I11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2" spans="1:9" x14ac:dyDescent="0.25">
      <c r="A1192" s="15">
        <f t="shared" si="18"/>
        <v>1191</v>
      </c>
      <c r="B1192" s="15" t="s">
        <v>153</v>
      </c>
      <c r="C1192" s="15" t="str" cm="1">
        <f t="array" ref="C1192">IFERROR(_xlfn.XLOOKUP(B1192, tblPeople[PersonID], tblPeople[PersonName], ""), "")</f>
        <v>Majid Mohamed</v>
      </c>
      <c r="D1192" s="15" t="s">
        <v>17</v>
      </c>
      <c r="E1192" s="16" t="str">
        <f>IFERROR(_xlfn.XLOOKUP(D1192, tblCourses[CourseID], tblCourses[CourseName], ""), "")</f>
        <v>Safety Management Systems (Refresher)</v>
      </c>
      <c r="F1192" s="17">
        <v>46100</v>
      </c>
      <c r="G1192" s="17" cm="1">
        <f t="array" ref="G11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2" s="15">
        <f ca="1">IF(OR(tblTraining[[#This Row],[Status]]="Renewed",tblTraining[[#This Row],[NextDueDate]]=""),"",tblTraining[[#This Row],[NextDueDate]]-TODAY())</f>
        <v>545</v>
      </c>
      <c r="I1192" s="15" t="str" cm="1">
        <f t="array" aca="1" ref="I11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3" spans="1:9" x14ac:dyDescent="0.25">
      <c r="A1193" s="15">
        <f t="shared" si="18"/>
        <v>1192</v>
      </c>
      <c r="B1193" s="15" t="s">
        <v>94</v>
      </c>
      <c r="C1193" s="15" t="str" cm="1">
        <f t="array" ref="C1193">IFERROR(_xlfn.XLOOKUP(B1193, tblPeople[PersonID], tblPeople[PersonName], ""), "")</f>
        <v>Moses Musyoka</v>
      </c>
      <c r="D1193" s="15" t="s">
        <v>17</v>
      </c>
      <c r="E1193" s="16" t="str">
        <f>IFERROR(_xlfn.XLOOKUP(D1193, tblCourses[CourseID], tblCourses[CourseName], ""), "")</f>
        <v>Safety Management Systems (Refresher)</v>
      </c>
      <c r="F1193" s="17">
        <v>46100</v>
      </c>
      <c r="G1193" s="17" cm="1">
        <f t="array" ref="G11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3" s="15">
        <f ca="1">IF(OR(tblTraining[[#This Row],[Status]]="Renewed",tblTraining[[#This Row],[NextDueDate]]=""),"",tblTraining[[#This Row],[NextDueDate]]-TODAY())</f>
        <v>545</v>
      </c>
      <c r="I1193" s="15" t="str" cm="1">
        <f t="array" aca="1" ref="I11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4" spans="1:9" x14ac:dyDescent="0.25">
      <c r="A1194" s="15">
        <f t="shared" si="18"/>
        <v>1193</v>
      </c>
      <c r="B1194" s="15" t="s">
        <v>112</v>
      </c>
      <c r="C1194" s="15" t="str" cm="1">
        <f t="array" ref="C1194">IFERROR(_xlfn.XLOOKUP(B1194, tblPeople[PersonID], tblPeople[PersonName], ""), "")</f>
        <v>Patrick Mwangi</v>
      </c>
      <c r="D1194" s="15" t="s">
        <v>17</v>
      </c>
      <c r="E1194" s="16" t="str">
        <f>IFERROR(_xlfn.XLOOKUP(D1194, tblCourses[CourseID], tblCourses[CourseName], ""), "")</f>
        <v>Safety Management Systems (Refresher)</v>
      </c>
      <c r="F1194" s="17">
        <v>46100</v>
      </c>
      <c r="G1194" s="17" cm="1">
        <f t="array" ref="G11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4" s="15">
        <f ca="1">IF(OR(tblTraining[[#This Row],[Status]]="Renewed",tblTraining[[#This Row],[NextDueDate]]=""),"",tblTraining[[#This Row],[NextDueDate]]-TODAY())</f>
        <v>545</v>
      </c>
      <c r="I1194" s="15" t="str" cm="1">
        <f t="array" aca="1" ref="I11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5" spans="1:9" x14ac:dyDescent="0.25">
      <c r="A1195" s="15">
        <f t="shared" si="18"/>
        <v>1194</v>
      </c>
      <c r="B1195" s="15" t="s">
        <v>81</v>
      </c>
      <c r="C1195" s="15" t="str" cm="1">
        <f t="array" ref="C1195">IFERROR(_xlfn.XLOOKUP(B1195, tblPeople[PersonID], tblPeople[PersonName], ""), "")</f>
        <v>Gideon Mwasio</v>
      </c>
      <c r="D1195" s="15" t="s">
        <v>17</v>
      </c>
      <c r="E1195" s="16" t="str">
        <f>IFERROR(_xlfn.XLOOKUP(D1195, tblCourses[CourseID], tblCourses[CourseName], ""), "")</f>
        <v>Safety Management Systems (Refresher)</v>
      </c>
      <c r="F1195" s="17">
        <v>46100</v>
      </c>
      <c r="G1195" s="17" cm="1">
        <f t="array" ref="G11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5" s="15">
        <f ca="1">IF(OR(tblTraining[[#This Row],[Status]]="Renewed",tblTraining[[#This Row],[NextDueDate]]=""),"",tblTraining[[#This Row],[NextDueDate]]-TODAY())</f>
        <v>545</v>
      </c>
      <c r="I1195" s="15" t="str" cm="1">
        <f t="array" aca="1" ref="I11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6" spans="1:9" x14ac:dyDescent="0.25">
      <c r="A1196" s="15">
        <f t="shared" si="18"/>
        <v>1195</v>
      </c>
      <c r="B1196" s="15" t="s">
        <v>90</v>
      </c>
      <c r="C1196" s="15" t="str" cm="1">
        <f t="array" ref="C1196">IFERROR(_xlfn.XLOOKUP(B1196, tblPeople[PersonID], tblPeople[PersonName], ""), "")</f>
        <v>Kendra Nambisia</v>
      </c>
      <c r="D1196" s="15" t="s">
        <v>17</v>
      </c>
      <c r="E1196" s="16" t="str">
        <f>IFERROR(_xlfn.XLOOKUP(D1196, tblCourses[CourseID], tblCourses[CourseName], ""), "")</f>
        <v>Safety Management Systems (Refresher)</v>
      </c>
      <c r="F1196" s="17">
        <v>46100</v>
      </c>
      <c r="G1196" s="17" cm="1">
        <f t="array" ref="G11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6" s="15">
        <f ca="1">IF(OR(tblTraining[[#This Row],[Status]]="Renewed",tblTraining[[#This Row],[NextDueDate]]=""),"",tblTraining[[#This Row],[NextDueDate]]-TODAY())</f>
        <v>545</v>
      </c>
      <c r="I1196" s="15" t="str" cm="1">
        <f t="array" aca="1" ref="I11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7" spans="1:9" x14ac:dyDescent="0.25">
      <c r="A1197" s="15">
        <f t="shared" si="18"/>
        <v>1196</v>
      </c>
      <c r="B1197" s="15" t="s">
        <v>92</v>
      </c>
      <c r="C1197" s="15" t="str" cm="1">
        <f t="array" ref="C1197">IFERROR(_xlfn.XLOOKUP(B1197, tblPeople[PersonID], tblPeople[PersonName], ""), "")</f>
        <v>Reuben Otieno</v>
      </c>
      <c r="D1197" s="15" t="s">
        <v>17</v>
      </c>
      <c r="E1197" s="16" t="str">
        <f>IFERROR(_xlfn.XLOOKUP(D1197, tblCourses[CourseID], tblCourses[CourseName], ""), "")</f>
        <v>Safety Management Systems (Refresher)</v>
      </c>
      <c r="F1197" s="17">
        <v>46100</v>
      </c>
      <c r="G1197" s="17" cm="1">
        <f t="array" ref="G11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7" s="15">
        <f ca="1">IF(OR(tblTraining[[#This Row],[Status]]="Renewed",tblTraining[[#This Row],[NextDueDate]]=""),"",tblTraining[[#This Row],[NextDueDate]]-TODAY())</f>
        <v>545</v>
      </c>
      <c r="I1197" s="15" t="str" cm="1">
        <f t="array" aca="1" ref="I11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8" spans="1:9" x14ac:dyDescent="0.25">
      <c r="A1198" s="15">
        <f t="shared" si="18"/>
        <v>1197</v>
      </c>
      <c r="B1198" s="15" t="s">
        <v>93</v>
      </c>
      <c r="C1198" s="15" t="str" cm="1">
        <f t="array" ref="C1198">IFERROR(_xlfn.XLOOKUP(B1198, tblPeople[PersonID], tblPeople[PersonName], ""), "")</f>
        <v>Stephen Tunje</v>
      </c>
      <c r="D1198" s="15" t="s">
        <v>17</v>
      </c>
      <c r="E1198" s="16" t="str">
        <f>IFERROR(_xlfn.XLOOKUP(D1198, tblCourses[CourseID], tblCourses[CourseName], ""), "")</f>
        <v>Safety Management Systems (Refresher)</v>
      </c>
      <c r="F1198" s="17">
        <v>46100</v>
      </c>
      <c r="G1198" s="17" cm="1">
        <f t="array" ref="G11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8" s="15">
        <f ca="1">IF(OR(tblTraining[[#This Row],[Status]]="Renewed",tblTraining[[#This Row],[NextDueDate]]=""),"",tblTraining[[#This Row],[NextDueDate]]-TODAY())</f>
        <v>545</v>
      </c>
      <c r="I1198" s="15" t="str" cm="1">
        <f t="array" aca="1" ref="I11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9" spans="1:9" x14ac:dyDescent="0.25">
      <c r="A1199" s="15">
        <f t="shared" si="18"/>
        <v>1198</v>
      </c>
      <c r="B1199" s="15" t="s">
        <v>215</v>
      </c>
      <c r="C1199" s="15" t="str" cm="1">
        <f t="array" ref="C1199">IFERROR(_xlfn.XLOOKUP(B1199, tblPeople[PersonID], tblPeople[PersonName], ""), "")</f>
        <v>Samuel Wacho</v>
      </c>
      <c r="D1199" s="15" t="s">
        <v>17</v>
      </c>
      <c r="E1199" s="16" t="str">
        <f>IFERROR(_xlfn.XLOOKUP(D1199, tblCourses[CourseID], tblCourses[CourseName], ""), "")</f>
        <v>Safety Management Systems (Refresher)</v>
      </c>
      <c r="F1199" s="17">
        <v>46100</v>
      </c>
      <c r="G1199" s="17" cm="1">
        <f t="array" ref="G11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9" s="15">
        <f ca="1">IF(OR(tblTraining[[#This Row],[Status]]="Renewed",tblTraining[[#This Row],[NextDueDate]]=""),"",tblTraining[[#This Row],[NextDueDate]]-TODAY())</f>
        <v>545</v>
      </c>
      <c r="I1199" s="15" t="str" cm="1">
        <f t="array" aca="1" ref="I11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0" spans="1:9" x14ac:dyDescent="0.25">
      <c r="A1200" s="15">
        <f t="shared" si="18"/>
        <v>1199</v>
      </c>
      <c r="B1200" s="15" t="s">
        <v>154</v>
      </c>
      <c r="C1200" s="15" t="str" cm="1">
        <f t="array" ref="C1200">IFERROR(_xlfn.XLOOKUP(B1200, tblPeople[PersonID], tblPeople[PersonName], ""), "")</f>
        <v>Judith Wandera</v>
      </c>
      <c r="D1200" s="15" t="s">
        <v>17</v>
      </c>
      <c r="E1200" s="16" t="str">
        <f>IFERROR(_xlfn.XLOOKUP(D1200, tblCourses[CourseID], tblCourses[CourseName], ""), "")</f>
        <v>Safety Management Systems (Refresher)</v>
      </c>
      <c r="F1200" s="17">
        <v>46100</v>
      </c>
      <c r="G1200" s="17" cm="1">
        <f t="array" ref="G12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200" s="15">
        <f ca="1">IF(OR(tblTraining[[#This Row],[Status]]="Renewed",tblTraining[[#This Row],[NextDueDate]]=""),"",tblTraining[[#This Row],[NextDueDate]]-TODAY())</f>
        <v>545</v>
      </c>
      <c r="I1200" s="15" t="str" cm="1">
        <f t="array" aca="1" ref="I12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1" spans="1:9" x14ac:dyDescent="0.25">
      <c r="A1201" s="15">
        <f t="shared" si="18"/>
        <v>1200</v>
      </c>
      <c r="B1201" s="15" t="s">
        <v>443</v>
      </c>
      <c r="C1201" s="15" t="str" cm="1">
        <f t="array" ref="C1201">IFERROR(_xlfn.XLOOKUP(B1201, tblPeople[PersonID], tblPeople[PersonName], ""), "")</f>
        <v>Alfred Okudo</v>
      </c>
      <c r="D1201" s="15" t="s">
        <v>179</v>
      </c>
      <c r="E1201" s="16" t="str">
        <f>IFERROR(_xlfn.XLOOKUP(D1201, tblCourses[CourseID], tblCourses[CourseName], ""), "")</f>
        <v>Aircraft Maintenance Engineers' Licence</v>
      </c>
      <c r="F1201" s="17">
        <v>45957</v>
      </c>
      <c r="G1201" s="17" cm="1">
        <f t="array" ref="G12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46687</v>
      </c>
      <c r="H1201" s="15">
        <f ca="1">IF(OR(tblTraining[[#This Row],[Status]]="Renewed",tblTraining[[#This Row],[NextDueDate]]=""),"",tblTraining[[#This Row],[NextDueDate]]-TODAY())</f>
        <v>401</v>
      </c>
      <c r="I1201" s="15" t="str" cm="1">
        <f t="array" aca="1" ref="I12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2" spans="1:9" x14ac:dyDescent="0.25">
      <c r="A1202" s="15">
        <f t="shared" si="18"/>
        <v>1201</v>
      </c>
      <c r="B1202" s="15" t="s">
        <v>443</v>
      </c>
      <c r="C1202" s="15" t="str" cm="1">
        <f t="array" ref="C1202">IFERROR(_xlfn.XLOOKUP(B1202, tblPeople[PersonID], tblPeople[PersonName], ""), "")</f>
        <v>Alfred Okudo</v>
      </c>
      <c r="D1202" s="15" t="s">
        <v>182</v>
      </c>
      <c r="E1202" s="16" t="str">
        <f>IFERROR(_xlfn.XLOOKUP(D1202, tblCourses[CourseID], tblCourses[CourseName], ""), "")</f>
        <v>Cessna 208 Series (Caravan) With P&amp;WC PT6A-114/ -114A/ -140 Engines (Refresher)</v>
      </c>
      <c r="F1202" s="17">
        <v>44120</v>
      </c>
      <c r="G1202" s="17" t="str" cm="1">
        <f t="array" ref="G12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2" s="15" t="str">
        <f ca="1">IF(OR(tblTraining[[#This Row],[Status]]="Renewed",tblTraining[[#This Row],[NextDueDate]]=""),"",tblTraining[[#This Row],[NextDueDate]]-TODAY())</f>
        <v/>
      </c>
      <c r="I1202" s="15" t="str" cm="1">
        <f t="array" aca="1" ref="I12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03" spans="1:9" x14ac:dyDescent="0.25">
      <c r="A1203" s="15">
        <f t="shared" si="18"/>
        <v>1202</v>
      </c>
      <c r="B1203" s="15" t="s">
        <v>443</v>
      </c>
      <c r="C1203" s="15" t="str" cm="1">
        <f t="array" ref="C1203">IFERROR(_xlfn.XLOOKUP(B1203, tblPeople[PersonID], tblPeople[PersonName], ""), "")</f>
        <v>Alfred Okudo</v>
      </c>
      <c r="D1203" s="15" t="s">
        <v>182</v>
      </c>
      <c r="E1203" s="16" t="str">
        <f>IFERROR(_xlfn.XLOOKUP(D1203, tblCourses[CourseID], tblCourses[CourseName], ""), "")</f>
        <v>Cessna 208 Series (Caravan) With P&amp;WC PT6A-114/ -114A/ -140 Engines (Refresher)</v>
      </c>
      <c r="F1203" s="17">
        <v>45051</v>
      </c>
      <c r="G1203" s="17" t="str" cm="1">
        <f t="array" ref="G12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3" s="15" t="str">
        <f ca="1">IF(OR(tblTraining[[#This Row],[Status]]="Renewed",tblTraining[[#This Row],[NextDueDate]]=""),"",tblTraining[[#This Row],[NextDueDate]]-TODAY())</f>
        <v/>
      </c>
      <c r="I1203" s="15" t="str" cm="1">
        <f t="array" aca="1" ref="I12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04" spans="1:9" x14ac:dyDescent="0.25">
      <c r="A1204" s="15">
        <f t="shared" si="18"/>
        <v>1203</v>
      </c>
      <c r="B1204" s="15" t="s">
        <v>443</v>
      </c>
      <c r="C1204" s="15" t="str" cm="1">
        <f t="array" ref="C1204">IFERROR(_xlfn.XLOOKUP(B1204, tblPeople[PersonID], tblPeople[PersonName], ""), "")</f>
        <v>Alfred Okudo</v>
      </c>
      <c r="D1204" s="15" t="s">
        <v>182</v>
      </c>
      <c r="E1204" s="16" t="str">
        <f>IFERROR(_xlfn.XLOOKUP(D1204, tblCourses[CourseID], tblCourses[CourseName], ""), "")</f>
        <v>Cessna 208 Series (Caravan) With P&amp;WC PT6A-114/ -114A/ -140 Engines (Refresher)</v>
      </c>
      <c r="F1204" s="17">
        <v>45819</v>
      </c>
      <c r="G1204" s="17" cm="1">
        <f t="array" ref="G12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46549</v>
      </c>
      <c r="H1204" s="15">
        <f ca="1">IF(OR(tblTraining[[#This Row],[Status]]="Renewed",tblTraining[[#This Row],[NextDueDate]]=""),"",tblTraining[[#This Row],[NextDueDate]]-TODAY())</f>
        <v>263</v>
      </c>
      <c r="I1204" s="15" t="str" cm="1">
        <f t="array" aca="1" ref="I12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5" spans="1:9" x14ac:dyDescent="0.25">
      <c r="A1205" s="15">
        <f t="shared" si="18"/>
        <v>1204</v>
      </c>
      <c r="B1205" s="15" t="s">
        <v>86</v>
      </c>
      <c r="C1205" s="15" t="str" cm="1">
        <f t="array" ref="C1205">IFERROR(_xlfn.XLOOKUP(B1205, tblPeople[PersonID], tblPeople[PersonName], ""), "")</f>
        <v>Samuel Okoth</v>
      </c>
      <c r="D1205" s="15" t="s">
        <v>75</v>
      </c>
      <c r="E1205" s="16" t="str">
        <f>IFERROR(_xlfn.XLOOKUP(D1205, tblCourses[CourseID], tblCourses[CourseName], ""), "")</f>
        <v>Fuel Tank Safety Phase 1 &amp; 2 Course (Refresher)</v>
      </c>
      <c r="F1205" s="17">
        <v>46130</v>
      </c>
      <c r="G1205" s="17" cm="1">
        <f t="array" ref="G12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46861</v>
      </c>
      <c r="H1205" s="15">
        <f ca="1">IF(OR(tblTraining[[#This Row],[Status]]="Renewed",tblTraining[[#This Row],[NextDueDate]]=""),"",tblTraining[[#This Row],[NextDueDate]]-TODAY())</f>
        <v>575</v>
      </c>
      <c r="I1205" s="15" t="str" cm="1">
        <f t="array" aca="1" ref="I12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6" spans="1:9" x14ac:dyDescent="0.25">
      <c r="A1206" s="15">
        <f t="shared" si="18"/>
        <v>1205</v>
      </c>
      <c r="B1206" s="15" t="s">
        <v>87</v>
      </c>
      <c r="C1206" s="15" t="str" cm="1">
        <f t="array" ref="C1206">IFERROR(_xlfn.XLOOKUP(B1206, tblPeople[PersonID], tblPeople[PersonName], ""), "")</f>
        <v>Sydney Sawe</v>
      </c>
      <c r="D1206" s="15" t="s">
        <v>75</v>
      </c>
      <c r="E1206" s="16" t="str">
        <f>IFERROR(_xlfn.XLOOKUP(D1206, tblCourses[CourseID], tblCourses[CourseName], ""), "")</f>
        <v>Fuel Tank Safety Phase 1 &amp; 2 Course (Refresher)</v>
      </c>
      <c r="F1206" s="17">
        <v>46132</v>
      </c>
      <c r="G1206" s="17" cm="1">
        <f t="array" ref="G12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46863</v>
      </c>
      <c r="H1206" s="15">
        <f ca="1">IF(OR(tblTraining[[#This Row],[Status]]="Renewed",tblTraining[[#This Row],[NextDueDate]]=""),"",tblTraining[[#This Row],[NextDueDate]]-TODAY())</f>
        <v>577</v>
      </c>
      <c r="I1206" s="15" t="str" cm="1">
        <f t="array" aca="1" ref="I12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7" spans="1:9" x14ac:dyDescent="0.25">
      <c r="A1207" s="15">
        <f t="shared" si="18"/>
        <v>1206</v>
      </c>
      <c r="B1207" s="15" t="s">
        <v>156</v>
      </c>
      <c r="C1207" s="15" t="str" cm="1">
        <f t="array" ref="C1207">IFERROR(_xlfn.XLOOKUP(B1207, tblPeople[PersonID], tblPeople[PersonName], ""), "")</f>
        <v>Urbanus Muema</v>
      </c>
      <c r="D1207" s="15" t="s">
        <v>75</v>
      </c>
      <c r="E1207" s="16" t="str">
        <f>IFERROR(_xlfn.XLOOKUP(D1207, tblCourses[CourseID], tblCourses[CourseName], ""), "")</f>
        <v>Fuel Tank Safety Phase 1 &amp; 2 Course (Refresher)</v>
      </c>
      <c r="F1207" s="17">
        <v>46159</v>
      </c>
      <c r="G1207" s="17" cm="1">
        <f t="array" ref="G12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46890</v>
      </c>
      <c r="H1207" s="15">
        <f ca="1">IF(OR(tblTraining[[#This Row],[Status]]="Renewed",tblTraining[[#This Row],[NextDueDate]]=""),"",tblTraining[[#This Row],[NextDueDate]]-TODAY())</f>
        <v>604</v>
      </c>
      <c r="I1207" s="15" t="str" cm="1">
        <f t="array" aca="1" ref="I12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8" spans="1:9" x14ac:dyDescent="0.25">
      <c r="A1208" s="15">
        <f t="shared" si="18"/>
        <v>1207</v>
      </c>
      <c r="B1208" s="15" t="s">
        <v>101</v>
      </c>
      <c r="C1208" s="15" t="str" cm="1">
        <f t="array" ref="C1208">IFERROR(_xlfn.XLOOKUP(B1208, tblPeople[PersonID], tblPeople[PersonName], ""), "")</f>
        <v>Paul Mzera</v>
      </c>
      <c r="D1208" s="15" t="s">
        <v>25</v>
      </c>
      <c r="E1208" s="16" t="str">
        <f>IFERROR(_xlfn.XLOOKUP(D1208, tblCourses[CourseID], tblCourses[CourseName], ""), "")</f>
        <v>Pratt &amp; Whitney Canada PT6A Engine With P&amp;WC PT6A
20/ 27/ 41/ 42/ 60A/ 67D/ 112/ 114A/ 140 (Refresher)</v>
      </c>
      <c r="F1208" s="17">
        <v>46098</v>
      </c>
      <c r="G1208" s="17" cm="1">
        <f t="array" ref="G12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46829</v>
      </c>
      <c r="H1208" s="15">
        <f ca="1">IF(OR(tblTraining[[#This Row],[Status]]="Renewed",tblTraining[[#This Row],[NextDueDate]]=""),"",tblTraining[[#This Row],[NextDueDate]]-TODAY())</f>
        <v>543</v>
      </c>
      <c r="I1208" s="15" t="str" cm="1">
        <f t="array" aca="1" ref="I12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9" spans="1:9" x14ac:dyDescent="0.25">
      <c r="A1209" s="15">
        <f t="shared" si="18"/>
        <v>1208</v>
      </c>
      <c r="B1209" s="15" t="s">
        <v>83</v>
      </c>
      <c r="C1209" s="15" t="str" cm="1">
        <f t="array" ref="C1209">IFERROR(_xlfn.XLOOKUP(B1209, tblPeople[PersonID], tblPeople[PersonName], ""), "")</f>
        <v>Wycliffe Kanana</v>
      </c>
      <c r="D1209" s="15" t="s">
        <v>17</v>
      </c>
      <c r="E1209" s="16" t="str">
        <f>IFERROR(_xlfn.XLOOKUP(D1209, tblCourses[CourseID], tblCourses[CourseName], ""), "")</f>
        <v>Safety Management Systems (Refresher)</v>
      </c>
      <c r="F1209" s="17">
        <v>46073</v>
      </c>
      <c r="G1209" s="17" cm="1">
        <f t="array" ref="G12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1209" s="15">
        <f ca="1">IF(OR(tblTraining[[#This Row],[Status]]="Renewed",tblTraining[[#This Row],[NextDueDate]]=""),"",tblTraining[[#This Row],[NextDueDate]]-TODAY())</f>
        <v>517</v>
      </c>
      <c r="I1209" s="15" t="str" cm="1">
        <f t="array" aca="1" ref="I12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0" spans="1:9" x14ac:dyDescent="0.25">
      <c r="A1210" s="15">
        <f t="shared" si="18"/>
        <v>1209</v>
      </c>
      <c r="B1210" s="15" t="s">
        <v>98</v>
      </c>
      <c r="C1210" s="15" t="str" cm="1">
        <f t="array" ref="C1210">IFERROR(_xlfn.XLOOKUP(B1210, tblPeople[PersonID], tblPeople[PersonName], ""), "")</f>
        <v>Thadeus Mong’are</v>
      </c>
      <c r="D1210" s="15" t="s">
        <v>17</v>
      </c>
      <c r="E1210" s="16" t="str">
        <f>IFERROR(_xlfn.XLOOKUP(D1210, tblCourses[CourseID], tblCourses[CourseName], ""), "")</f>
        <v>Safety Management Systems (Refresher)</v>
      </c>
      <c r="F1210" s="17">
        <v>46073</v>
      </c>
      <c r="G1210" s="17" cm="1">
        <f t="array" ref="G12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1210" s="15">
        <f ca="1">IF(OR(tblTraining[[#This Row],[Status]]="Renewed",tblTraining[[#This Row],[NextDueDate]]=""),"",tblTraining[[#This Row],[NextDueDate]]-TODAY())</f>
        <v>517</v>
      </c>
      <c r="I1210" s="15" t="str" cm="1">
        <f t="array" aca="1" ref="I12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1" spans="1:9" x14ac:dyDescent="0.25">
      <c r="A1211" s="15">
        <f t="shared" si="18"/>
        <v>1210</v>
      </c>
      <c r="B1211" s="15" t="s">
        <v>447</v>
      </c>
      <c r="C1211" s="15" t="str" cm="1">
        <f t="array" ref="C1211">IFERROR(_xlfn.XLOOKUP(B1211, tblPeople[PersonID], tblPeople[PersonName], ""), "")</f>
        <v>Francis Mutonga</v>
      </c>
      <c r="D1211" s="15" t="s">
        <v>24</v>
      </c>
      <c r="E1211" s="16" t="str">
        <f>IFERROR(_xlfn.XLOOKUP(D1211, tblCourses[CourseID], tblCourses[CourseName], ""), "")</f>
        <v>Human Factors in Aviation (Initial)</v>
      </c>
      <c r="F1211" s="17">
        <v>46166</v>
      </c>
      <c r="G1211" s="17" t="str" cm="1">
        <f t="array" ref="G12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1" s="15" t="str">
        <f ca="1">IF(OR(tblTraining[[#This Row],[Status]]="Renewed",tblTraining[[#This Row],[NextDueDate]]=""),"",tblTraining[[#This Row],[NextDueDate]]-TODAY())</f>
        <v/>
      </c>
      <c r="I1211" s="15" t="str" cm="1">
        <f t="array" aca="1" ref="I12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2" spans="1:9" x14ac:dyDescent="0.25">
      <c r="A1212" s="15">
        <f t="shared" si="18"/>
        <v>1211</v>
      </c>
      <c r="B1212" s="15" t="s">
        <v>447</v>
      </c>
      <c r="C1212" s="15" t="str" cm="1">
        <f t="array" ref="C1212">IFERROR(_xlfn.XLOOKUP(B1212, tblPeople[PersonID], tblPeople[PersonName], ""), "")</f>
        <v>Francis Mutonga</v>
      </c>
      <c r="D1212" s="15" t="s">
        <v>22</v>
      </c>
      <c r="E1212" s="16" t="str">
        <f>IFERROR(_xlfn.XLOOKUP(D1212, tblCourses[CourseID], tblCourses[CourseName], ""), "")</f>
        <v>Human Factors in Aviation (Refresher)</v>
      </c>
      <c r="F1212" s="17">
        <v>46166</v>
      </c>
      <c r="G1212" s="17" cm="1">
        <f t="array" ref="G12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46897</v>
      </c>
      <c r="H1212" s="15">
        <f ca="1">IF(OR(tblTraining[[#This Row],[Status]]="Renewed",tblTraining[[#This Row],[NextDueDate]]=""),"",tblTraining[[#This Row],[NextDueDate]]-TODAY())</f>
        <v>611</v>
      </c>
      <c r="I1212" s="15" t="str" cm="1">
        <f t="array" aca="1" ref="I12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3" spans="1:9" x14ac:dyDescent="0.25">
      <c r="A1213" s="15">
        <f t="shared" si="18"/>
        <v>1212</v>
      </c>
      <c r="B1213" s="15" t="s">
        <v>397</v>
      </c>
      <c r="C1213" s="15" t="str" cm="1">
        <f t="array" ref="C1213">IFERROR(_xlfn.XLOOKUP(B1213, tblPeople[PersonID], tblPeople[PersonName], ""), "")</f>
        <v>Benson Gitahi</v>
      </c>
      <c r="D1213" s="15" t="s">
        <v>468</v>
      </c>
      <c r="E1213" s="16" t="str">
        <f>IFERROR(_xlfn.XLOOKUP(D1213, tblCourses[CourseID], tblCourses[CourseName], ""), "")</f>
        <v>Ramp Safety Training - Initial</v>
      </c>
      <c r="F1213" s="17">
        <v>46149</v>
      </c>
      <c r="G1213" s="17" t="str" cm="1">
        <f t="array" ref="G12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3" s="15" t="str">
        <f ca="1">IF(OR(tblTraining[[#This Row],[Status]]="Renewed",tblTraining[[#This Row],[NextDueDate]]=""),"",tblTraining[[#This Row],[NextDueDate]]-TODAY())</f>
        <v/>
      </c>
      <c r="I1213" s="15" t="str" cm="1">
        <f t="array" aca="1" ref="I12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4" spans="1:9" x14ac:dyDescent="0.25">
      <c r="A1214" s="15">
        <f t="shared" si="18"/>
        <v>1213</v>
      </c>
      <c r="B1214" s="15" t="s">
        <v>397</v>
      </c>
      <c r="C1214" s="15" t="str" cm="1">
        <f t="array" ref="C1214">IFERROR(_xlfn.XLOOKUP(B1214, tblPeople[PersonID], tblPeople[PersonName], ""), "")</f>
        <v>Benson Gitahi</v>
      </c>
      <c r="D1214" s="15" t="s">
        <v>469</v>
      </c>
      <c r="E1214" s="16" t="str">
        <f>IFERROR(_xlfn.XLOOKUP(D1214, tblCourses[CourseID], tblCourses[CourseName], ""), "")</f>
        <v>Ramp Safety Training - Recurrent</v>
      </c>
      <c r="F1214" s="17">
        <v>46149</v>
      </c>
      <c r="G1214" s="17" cm="1">
        <f t="array" ref="G12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14" s="15">
        <f ca="1">IF(OR(tblTraining[[#This Row],[Status]]="Renewed",tblTraining[[#This Row],[NextDueDate]]=""),"",tblTraining[[#This Row],[NextDueDate]]-TODAY())</f>
        <v>594</v>
      </c>
      <c r="I1214" s="15" t="str" cm="1">
        <f t="array" aca="1" ref="I12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5" spans="1:9" x14ac:dyDescent="0.25">
      <c r="A1215" s="15">
        <f t="shared" si="18"/>
        <v>1214</v>
      </c>
      <c r="B1215" s="15" t="s">
        <v>409</v>
      </c>
      <c r="C1215" s="15" t="str" cm="1">
        <f t="array" ref="C1215">IFERROR(_xlfn.XLOOKUP(B1215, tblPeople[PersonID], tblPeople[PersonName], ""), "")</f>
        <v>Venessa Ikileng'</v>
      </c>
      <c r="D1215" s="15" t="s">
        <v>468</v>
      </c>
      <c r="E1215" s="16" t="str">
        <f>IFERROR(_xlfn.XLOOKUP(D1215, tblCourses[CourseID], tblCourses[CourseName], ""), "")</f>
        <v>Ramp Safety Training - Initial</v>
      </c>
      <c r="F1215" s="17">
        <v>46149</v>
      </c>
      <c r="G1215" s="17" t="str" cm="1">
        <f t="array" ref="G12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5" s="15" t="str">
        <f ca="1">IF(OR(tblTraining[[#This Row],[Status]]="Renewed",tblTraining[[#This Row],[NextDueDate]]=""),"",tblTraining[[#This Row],[NextDueDate]]-TODAY())</f>
        <v/>
      </c>
      <c r="I1215" s="15" t="str" cm="1">
        <f t="array" aca="1" ref="I12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6" spans="1:9" x14ac:dyDescent="0.25">
      <c r="A1216" s="15">
        <f t="shared" si="18"/>
        <v>1215</v>
      </c>
      <c r="B1216" s="15" t="s">
        <v>409</v>
      </c>
      <c r="C1216" s="15" t="str" cm="1">
        <f t="array" ref="C1216">IFERROR(_xlfn.XLOOKUP(B1216, tblPeople[PersonID], tblPeople[PersonName], ""), "")</f>
        <v>Venessa Ikileng'</v>
      </c>
      <c r="D1216" s="15" t="s">
        <v>469</v>
      </c>
      <c r="E1216" s="16" t="str">
        <f>IFERROR(_xlfn.XLOOKUP(D1216, tblCourses[CourseID], tblCourses[CourseName], ""), "")</f>
        <v>Ramp Safety Training - Recurrent</v>
      </c>
      <c r="F1216" s="17">
        <v>46149</v>
      </c>
      <c r="G1216" s="17" cm="1">
        <f t="array" ref="G12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16" s="15">
        <f ca="1">IF(OR(tblTraining[[#This Row],[Status]]="Renewed",tblTraining[[#This Row],[NextDueDate]]=""),"",tblTraining[[#This Row],[NextDueDate]]-TODAY())</f>
        <v>594</v>
      </c>
      <c r="I1216" s="15" t="str" cm="1">
        <f t="array" aca="1" ref="I12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7" spans="1:9" x14ac:dyDescent="0.25">
      <c r="A1217" s="15">
        <f t="shared" si="18"/>
        <v>1216</v>
      </c>
      <c r="B1217" s="15" t="s">
        <v>410</v>
      </c>
      <c r="C1217" s="15" t="str" cm="1">
        <f t="array" ref="C1217">IFERROR(_xlfn.XLOOKUP(B1217, tblPeople[PersonID], tblPeople[PersonName], ""), "")</f>
        <v>Prudence Muhami</v>
      </c>
      <c r="D1217" s="15" t="s">
        <v>468</v>
      </c>
      <c r="E1217" s="16" t="str">
        <f>IFERROR(_xlfn.XLOOKUP(D1217, tblCourses[CourseID], tblCourses[CourseName], ""), "")</f>
        <v>Ramp Safety Training - Initial</v>
      </c>
      <c r="F1217" s="17">
        <v>46149</v>
      </c>
      <c r="G1217" s="17" t="str" cm="1">
        <f t="array" ref="G12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7" s="15" t="str">
        <f ca="1">IF(OR(tblTraining[[#This Row],[Status]]="Renewed",tblTraining[[#This Row],[NextDueDate]]=""),"",tblTraining[[#This Row],[NextDueDate]]-TODAY())</f>
        <v/>
      </c>
      <c r="I1217" s="15" t="str" cm="1">
        <f t="array" aca="1" ref="I12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8" spans="1:9" x14ac:dyDescent="0.25">
      <c r="A1218" s="15">
        <f t="shared" si="18"/>
        <v>1217</v>
      </c>
      <c r="B1218" s="15" t="s">
        <v>410</v>
      </c>
      <c r="C1218" s="15" t="str" cm="1">
        <f t="array" ref="C1218">IFERROR(_xlfn.XLOOKUP(B1218, tblPeople[PersonID], tblPeople[PersonName], ""), "")</f>
        <v>Prudence Muhami</v>
      </c>
      <c r="D1218" s="15" t="s">
        <v>469</v>
      </c>
      <c r="E1218" s="16" t="str">
        <f>IFERROR(_xlfn.XLOOKUP(D1218, tblCourses[CourseID], tblCourses[CourseName], ""), "")</f>
        <v>Ramp Safety Training - Recurrent</v>
      </c>
      <c r="F1218" s="17">
        <v>46149</v>
      </c>
      <c r="G1218" s="17" cm="1">
        <f t="array" ref="G12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18" s="15">
        <f ca="1">IF(OR(tblTraining[[#This Row],[Status]]="Renewed",tblTraining[[#This Row],[NextDueDate]]=""),"",tblTraining[[#This Row],[NextDueDate]]-TODAY())</f>
        <v>594</v>
      </c>
      <c r="I1218" s="15" t="str" cm="1">
        <f t="array" aca="1" ref="I12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9" spans="1:9" x14ac:dyDescent="0.25">
      <c r="A1219" s="15">
        <f t="shared" si="18"/>
        <v>1218</v>
      </c>
      <c r="B1219" s="15" t="s">
        <v>413</v>
      </c>
      <c r="C1219" s="15" t="str" cm="1">
        <f t="array" ref="C1219">IFERROR(_xlfn.XLOOKUP(B1219, tblPeople[PersonID], tblPeople[PersonName], ""), "")</f>
        <v>James Muisyo</v>
      </c>
      <c r="D1219" s="15" t="s">
        <v>468</v>
      </c>
      <c r="E1219" s="16" t="str">
        <f>IFERROR(_xlfn.XLOOKUP(D1219, tblCourses[CourseID], tblCourses[CourseName], ""), "")</f>
        <v>Ramp Safety Training - Initial</v>
      </c>
      <c r="F1219" s="17">
        <v>46149</v>
      </c>
      <c r="G1219" s="17" t="str" cm="1">
        <f t="array" ref="G12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9" s="15" t="str">
        <f ca="1">IF(OR(tblTraining[[#This Row],[Status]]="Renewed",tblTraining[[#This Row],[NextDueDate]]=""),"",tblTraining[[#This Row],[NextDueDate]]-TODAY())</f>
        <v/>
      </c>
      <c r="I1219" s="15" t="str" cm="1">
        <f t="array" aca="1" ref="I12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0" spans="1:9" x14ac:dyDescent="0.25">
      <c r="A1220" s="15">
        <f t="shared" ref="A1220:A1283" si="19">A1219+1</f>
        <v>1219</v>
      </c>
      <c r="B1220" s="15" t="s">
        <v>413</v>
      </c>
      <c r="C1220" s="15" t="str" cm="1">
        <f t="array" ref="C1220">IFERROR(_xlfn.XLOOKUP(B1220, tblPeople[PersonID], tblPeople[PersonName], ""), "")</f>
        <v>James Muisyo</v>
      </c>
      <c r="D1220" s="15" t="s">
        <v>469</v>
      </c>
      <c r="E1220" s="16" t="str">
        <f>IFERROR(_xlfn.XLOOKUP(D1220, tblCourses[CourseID], tblCourses[CourseName], ""), "")</f>
        <v>Ramp Safety Training - Recurrent</v>
      </c>
      <c r="F1220" s="17">
        <v>46149</v>
      </c>
      <c r="G1220" s="17" cm="1">
        <f t="array" ref="G12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20" s="15">
        <f ca="1">IF(OR(tblTraining[[#This Row],[Status]]="Renewed",tblTraining[[#This Row],[NextDueDate]]=""),"",tblTraining[[#This Row],[NextDueDate]]-TODAY())</f>
        <v>594</v>
      </c>
      <c r="I1220" s="15" t="str" cm="1">
        <f t="array" aca="1" ref="I12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1" spans="1:9" x14ac:dyDescent="0.25">
      <c r="A1221" s="15">
        <f t="shared" si="19"/>
        <v>1220</v>
      </c>
      <c r="B1221" s="15" t="s">
        <v>442</v>
      </c>
      <c r="C1221" s="15" t="str" cm="1">
        <f t="array" ref="C1221">IFERROR(_xlfn.XLOOKUP(B1221, tblPeople[PersonID], tblPeople[PersonName], ""), "")</f>
        <v>Mary Chelagat</v>
      </c>
      <c r="D1221" s="15" t="s">
        <v>468</v>
      </c>
      <c r="E1221" s="16" t="str">
        <f>IFERROR(_xlfn.XLOOKUP(D1221, tblCourses[CourseID], tblCourses[CourseName], ""), "")</f>
        <v>Ramp Safety Training - Initial</v>
      </c>
      <c r="F1221" s="17">
        <v>46149</v>
      </c>
      <c r="G1221" s="17" t="str" cm="1">
        <f t="array" ref="G12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1" s="15" t="str">
        <f ca="1">IF(OR(tblTraining[[#This Row],[Status]]="Renewed",tblTraining[[#This Row],[NextDueDate]]=""),"",tblTraining[[#This Row],[NextDueDate]]-TODAY())</f>
        <v/>
      </c>
      <c r="I1221" s="15" t="str" cm="1">
        <f t="array" aca="1" ref="I12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2" spans="1:9" x14ac:dyDescent="0.25">
      <c r="A1222" s="15">
        <f t="shared" si="19"/>
        <v>1221</v>
      </c>
      <c r="B1222" s="15" t="s">
        <v>442</v>
      </c>
      <c r="C1222" s="15" t="str" cm="1">
        <f t="array" ref="C1222">IFERROR(_xlfn.XLOOKUP(B1222, tblPeople[PersonID], tblPeople[PersonName], ""), "")</f>
        <v>Mary Chelagat</v>
      </c>
      <c r="D1222" s="15" t="s">
        <v>469</v>
      </c>
      <c r="E1222" s="16" t="str">
        <f>IFERROR(_xlfn.XLOOKUP(D1222, tblCourses[CourseID], tblCourses[CourseName], ""), "")</f>
        <v>Ramp Safety Training - Recurrent</v>
      </c>
      <c r="F1222" s="17">
        <v>46149</v>
      </c>
      <c r="G1222" s="17" cm="1">
        <f t="array" ref="G12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22" s="15">
        <f ca="1">IF(OR(tblTraining[[#This Row],[Status]]="Renewed",tblTraining[[#This Row],[NextDueDate]]=""),"",tblTraining[[#This Row],[NextDueDate]]-TODAY())</f>
        <v>594</v>
      </c>
      <c r="I1222" s="15" t="str" cm="1">
        <f t="array" aca="1" ref="I12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3" spans="1:9" x14ac:dyDescent="0.25">
      <c r="A1223" s="15">
        <f t="shared" si="19"/>
        <v>1222</v>
      </c>
      <c r="B1223" s="15" t="s">
        <v>443</v>
      </c>
      <c r="C1223" s="15" t="str" cm="1">
        <f t="array" ref="C1223">IFERROR(_xlfn.XLOOKUP(B1223, tblPeople[PersonID], tblPeople[PersonName], ""), "")</f>
        <v>Alfred Okudo</v>
      </c>
      <c r="D1223" s="15" t="s">
        <v>468</v>
      </c>
      <c r="E1223" s="16" t="str">
        <f>IFERROR(_xlfn.XLOOKUP(D1223, tblCourses[CourseID], tblCourses[CourseName], ""), "")</f>
        <v>Ramp Safety Training - Initial</v>
      </c>
      <c r="F1223" s="17">
        <v>46149</v>
      </c>
      <c r="G1223" s="17" t="str" cm="1">
        <f t="array" ref="G12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3" s="15" t="str">
        <f ca="1">IF(OR(tblTraining[[#This Row],[Status]]="Renewed",tblTraining[[#This Row],[NextDueDate]]=""),"",tblTraining[[#This Row],[NextDueDate]]-TODAY())</f>
        <v/>
      </c>
      <c r="I1223" s="15" t="str" cm="1">
        <f t="array" aca="1" ref="I12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4" spans="1:9" x14ac:dyDescent="0.25">
      <c r="A1224" s="15">
        <f t="shared" si="19"/>
        <v>1223</v>
      </c>
      <c r="B1224" s="15" t="s">
        <v>443</v>
      </c>
      <c r="C1224" s="15" t="str" cm="1">
        <f t="array" ref="C1224">IFERROR(_xlfn.XLOOKUP(B1224, tblPeople[PersonID], tblPeople[PersonName], ""), "")</f>
        <v>Alfred Okudo</v>
      </c>
      <c r="D1224" s="15" t="s">
        <v>469</v>
      </c>
      <c r="E1224" s="16" t="str">
        <f>IFERROR(_xlfn.XLOOKUP(D1224, tblCourses[CourseID], tblCourses[CourseName], ""), "")</f>
        <v>Ramp Safety Training - Recurrent</v>
      </c>
      <c r="F1224" s="17">
        <v>46149</v>
      </c>
      <c r="G1224" s="17" cm="1">
        <f t="array" ref="G12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24" s="15">
        <f ca="1">IF(OR(tblTraining[[#This Row],[Status]]="Renewed",tblTraining[[#This Row],[NextDueDate]]=""),"",tblTraining[[#This Row],[NextDueDate]]-TODAY())</f>
        <v>594</v>
      </c>
      <c r="I1224" s="15" t="str" cm="1">
        <f t="array" aca="1" ref="I12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5" spans="1:9" x14ac:dyDescent="0.25">
      <c r="A1225" s="15">
        <f t="shared" si="19"/>
        <v>1224</v>
      </c>
      <c r="B1225" s="15" t="s">
        <v>444</v>
      </c>
      <c r="C1225" s="15" t="str" cm="1">
        <f t="array" ref="C1225">IFERROR(_xlfn.XLOOKUP(B1225, tblPeople[PersonID], tblPeople[PersonName], ""), "")</f>
        <v>Martin Chege</v>
      </c>
      <c r="D1225" s="15" t="s">
        <v>468</v>
      </c>
      <c r="E1225" s="16" t="str">
        <f>IFERROR(_xlfn.XLOOKUP(D1225, tblCourses[CourseID], tblCourses[CourseName], ""), "")</f>
        <v>Ramp Safety Training - Initial</v>
      </c>
      <c r="F1225" s="17">
        <v>46149</v>
      </c>
      <c r="G1225" s="17" t="str" cm="1">
        <f t="array" ref="G12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5" s="15" t="str">
        <f ca="1">IF(OR(tblTraining[[#This Row],[Status]]="Renewed",tblTraining[[#This Row],[NextDueDate]]=""),"",tblTraining[[#This Row],[NextDueDate]]-TODAY())</f>
        <v/>
      </c>
      <c r="I1225" s="15" t="str" cm="1">
        <f t="array" aca="1" ref="I12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6" spans="1:9" x14ac:dyDescent="0.25">
      <c r="A1226" s="15">
        <f t="shared" si="19"/>
        <v>1225</v>
      </c>
      <c r="B1226" s="15" t="s">
        <v>444</v>
      </c>
      <c r="C1226" s="15" t="str" cm="1">
        <f t="array" ref="C1226">IFERROR(_xlfn.XLOOKUP(B1226, tblPeople[PersonID], tblPeople[PersonName], ""), "")</f>
        <v>Martin Chege</v>
      </c>
      <c r="D1226" s="15" t="s">
        <v>469</v>
      </c>
      <c r="E1226" s="16" t="str">
        <f>IFERROR(_xlfn.XLOOKUP(D1226, tblCourses[CourseID], tblCourses[CourseName], ""), "")</f>
        <v>Ramp Safety Training - Recurrent</v>
      </c>
      <c r="F1226" s="17">
        <v>46149</v>
      </c>
      <c r="G1226" s="17" cm="1">
        <f t="array" ref="G12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26" s="15">
        <f ca="1">IF(OR(tblTraining[[#This Row],[Status]]="Renewed",tblTraining[[#This Row],[NextDueDate]]=""),"",tblTraining[[#This Row],[NextDueDate]]-TODAY())</f>
        <v>594</v>
      </c>
      <c r="I1226" s="15" t="str" cm="1">
        <f t="array" aca="1" ref="I12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7" spans="1:9" x14ac:dyDescent="0.25">
      <c r="A1227" s="15">
        <f t="shared" si="19"/>
        <v>1226</v>
      </c>
      <c r="B1227" s="15" t="s">
        <v>445</v>
      </c>
      <c r="C1227" s="15" t="str" cm="1">
        <f t="array" ref="C1227">IFERROR(_xlfn.XLOOKUP(B1227, tblPeople[PersonID], tblPeople[PersonName], ""), "")</f>
        <v>Brian Muga</v>
      </c>
      <c r="D1227" s="15" t="s">
        <v>468</v>
      </c>
      <c r="E1227" s="16" t="str">
        <f>IFERROR(_xlfn.XLOOKUP(D1227, tblCourses[CourseID], tblCourses[CourseName], ""), "")</f>
        <v>Ramp Safety Training - Initial</v>
      </c>
      <c r="F1227" s="17">
        <v>46149</v>
      </c>
      <c r="G1227" s="17" t="str" cm="1">
        <f t="array" ref="G12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7" s="15" t="str">
        <f ca="1">IF(OR(tblTraining[[#This Row],[Status]]="Renewed",tblTraining[[#This Row],[NextDueDate]]=""),"",tblTraining[[#This Row],[NextDueDate]]-TODAY())</f>
        <v/>
      </c>
      <c r="I1227" s="15" t="str" cm="1">
        <f t="array" aca="1" ref="I12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8" spans="1:9" x14ac:dyDescent="0.25">
      <c r="A1228" s="15">
        <f t="shared" si="19"/>
        <v>1227</v>
      </c>
      <c r="B1228" s="15" t="s">
        <v>445</v>
      </c>
      <c r="C1228" s="15" t="str" cm="1">
        <f t="array" ref="C1228">IFERROR(_xlfn.XLOOKUP(B1228, tblPeople[PersonID], tblPeople[PersonName], ""), "")</f>
        <v>Brian Muga</v>
      </c>
      <c r="D1228" s="15" t="s">
        <v>469</v>
      </c>
      <c r="E1228" s="16" t="str">
        <f>IFERROR(_xlfn.XLOOKUP(D1228, tblCourses[CourseID], tblCourses[CourseName], ""), "")</f>
        <v>Ramp Safety Training - Recurrent</v>
      </c>
      <c r="F1228" s="17">
        <v>46149</v>
      </c>
      <c r="G1228" s="17" cm="1">
        <f t="array" ref="G12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28" s="15">
        <f ca="1">IF(OR(tblTraining[[#This Row],[Status]]="Renewed",tblTraining[[#This Row],[NextDueDate]]=""),"",tblTraining[[#This Row],[NextDueDate]]-TODAY())</f>
        <v>594</v>
      </c>
      <c r="I1228" s="15" t="str" cm="1">
        <f t="array" aca="1" ref="I12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9" spans="1:9" x14ac:dyDescent="0.25">
      <c r="A1229" s="15">
        <f t="shared" si="19"/>
        <v>1228</v>
      </c>
      <c r="B1229" s="15" t="s">
        <v>450</v>
      </c>
      <c r="C1229" s="15" t="str" cm="1">
        <f t="array" ref="C1229">IFERROR(_xlfn.XLOOKUP(B1229, tblPeople[PersonID], tblPeople[PersonName], ""), "")</f>
        <v>Evans Maingi</v>
      </c>
      <c r="D1229" s="15" t="s">
        <v>468</v>
      </c>
      <c r="E1229" s="16" t="str">
        <f>IFERROR(_xlfn.XLOOKUP(D1229, tblCourses[CourseID], tblCourses[CourseName], ""), "")</f>
        <v>Ramp Safety Training - Initial</v>
      </c>
      <c r="F1229" s="17">
        <v>46149</v>
      </c>
      <c r="G1229" s="17" t="str" cm="1">
        <f t="array" ref="G12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9" s="15" t="str">
        <f ca="1">IF(OR(tblTraining[[#This Row],[Status]]="Renewed",tblTraining[[#This Row],[NextDueDate]]=""),"",tblTraining[[#This Row],[NextDueDate]]-TODAY())</f>
        <v/>
      </c>
      <c r="I1229" s="15" t="str" cm="1">
        <f t="array" aca="1" ref="I12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0" spans="1:9" x14ac:dyDescent="0.25">
      <c r="A1230" s="15">
        <f t="shared" si="19"/>
        <v>1229</v>
      </c>
      <c r="B1230" s="15" t="s">
        <v>450</v>
      </c>
      <c r="C1230" s="15" t="str" cm="1">
        <f t="array" ref="C1230">IFERROR(_xlfn.XLOOKUP(B1230, tblPeople[PersonID], tblPeople[PersonName], ""), "")</f>
        <v>Evans Maingi</v>
      </c>
      <c r="D1230" s="15" t="s">
        <v>469</v>
      </c>
      <c r="E1230" s="16" t="str">
        <f>IFERROR(_xlfn.XLOOKUP(D1230, tblCourses[CourseID], tblCourses[CourseName], ""), "")</f>
        <v>Ramp Safety Training - Recurrent</v>
      </c>
      <c r="F1230" s="17">
        <v>46149</v>
      </c>
      <c r="G1230" s="17" cm="1">
        <f t="array" ref="G12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30" s="15">
        <f ca="1">IF(OR(tblTraining[[#This Row],[Status]]="Renewed",tblTraining[[#This Row],[NextDueDate]]=""),"",tblTraining[[#This Row],[NextDueDate]]-TODAY())</f>
        <v>594</v>
      </c>
      <c r="I1230" s="15" t="str" cm="1">
        <f t="array" aca="1" ref="I12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1" spans="1:9" x14ac:dyDescent="0.25">
      <c r="A1231" s="15">
        <f t="shared" si="19"/>
        <v>1230</v>
      </c>
      <c r="B1231" s="15" t="s">
        <v>447</v>
      </c>
      <c r="C1231" s="15" t="str" cm="1">
        <f t="array" ref="C1231">IFERROR(_xlfn.XLOOKUP(B1231, tblPeople[PersonID], tblPeople[PersonName], ""), "")</f>
        <v>Francis Mutonga</v>
      </c>
      <c r="D1231" s="15" t="s">
        <v>468</v>
      </c>
      <c r="E1231" s="16" t="str">
        <f>IFERROR(_xlfn.XLOOKUP(D1231, tblCourses[CourseID], tblCourses[CourseName], ""), "")</f>
        <v>Ramp Safety Training - Initial</v>
      </c>
      <c r="F1231" s="17">
        <v>46149</v>
      </c>
      <c r="G1231" s="17" t="str" cm="1">
        <f t="array" ref="G12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1" s="15" t="str">
        <f ca="1">IF(OR(tblTraining[[#This Row],[Status]]="Renewed",tblTraining[[#This Row],[NextDueDate]]=""),"",tblTraining[[#This Row],[NextDueDate]]-TODAY())</f>
        <v/>
      </c>
      <c r="I1231" s="15" t="str" cm="1">
        <f t="array" aca="1" ref="I12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2" spans="1:9" x14ac:dyDescent="0.25">
      <c r="A1232" s="15">
        <f t="shared" si="19"/>
        <v>1231</v>
      </c>
      <c r="B1232" s="15" t="s">
        <v>447</v>
      </c>
      <c r="C1232" s="15" t="str" cm="1">
        <f t="array" ref="C1232">IFERROR(_xlfn.XLOOKUP(B1232, tblPeople[PersonID], tblPeople[PersonName], ""), "")</f>
        <v>Francis Mutonga</v>
      </c>
      <c r="D1232" s="15" t="s">
        <v>469</v>
      </c>
      <c r="E1232" s="16" t="str">
        <f>IFERROR(_xlfn.XLOOKUP(D1232, tblCourses[CourseID], tblCourses[CourseName], ""), "")</f>
        <v>Ramp Safety Training - Recurrent</v>
      </c>
      <c r="F1232" s="17">
        <v>46149</v>
      </c>
      <c r="G1232" s="17" cm="1">
        <f t="array" ref="G12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32" s="15">
        <f ca="1">IF(OR(tblTraining[[#This Row],[Status]]="Renewed",tblTraining[[#This Row],[NextDueDate]]=""),"",tblTraining[[#This Row],[NextDueDate]]-TODAY())</f>
        <v>594</v>
      </c>
      <c r="I1232" s="15" t="str" cm="1">
        <f t="array" aca="1" ref="I12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3" spans="1:9" x14ac:dyDescent="0.25">
      <c r="A1233" s="15">
        <f t="shared" si="19"/>
        <v>1232</v>
      </c>
      <c r="B1233" s="15" t="s">
        <v>397</v>
      </c>
      <c r="C1233" s="15" t="str" cm="1">
        <f t="array" ref="C1233">IFERROR(_xlfn.XLOOKUP(B1233, tblPeople[PersonID], tblPeople[PersonName], ""), "")</f>
        <v>Benson Gitahi</v>
      </c>
      <c r="D1233" s="15" t="s">
        <v>470</v>
      </c>
      <c r="E1233" s="16" t="str">
        <f>IFERROR(_xlfn.XLOOKUP(D1233, tblCourses[CourseID], tblCourses[CourseName], ""), "")</f>
        <v>Fire Safety Training</v>
      </c>
      <c r="F1233" s="17">
        <v>46148</v>
      </c>
      <c r="G1233" s="17" t="str" cm="1">
        <f t="array" ref="G12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3" s="15" t="str">
        <f ca="1">IF(OR(tblTraining[[#This Row],[Status]]="Renewed",tblTraining[[#This Row],[NextDueDate]]=""),"",tblTraining[[#This Row],[NextDueDate]]-TODAY())</f>
        <v/>
      </c>
      <c r="I1233" s="15" t="str" cm="1">
        <f t="array" aca="1" ref="I12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4" spans="1:9" x14ac:dyDescent="0.25">
      <c r="A1234" s="15">
        <f t="shared" si="19"/>
        <v>1233</v>
      </c>
      <c r="B1234" s="15" t="s">
        <v>409</v>
      </c>
      <c r="C1234" s="15" t="str" cm="1">
        <f t="array" ref="C1234">IFERROR(_xlfn.XLOOKUP(B1234, tblPeople[PersonID], tblPeople[PersonName], ""), "")</f>
        <v>Venessa Ikileng'</v>
      </c>
      <c r="D1234" s="15" t="s">
        <v>470</v>
      </c>
      <c r="E1234" s="16" t="str">
        <f>IFERROR(_xlfn.XLOOKUP(D1234, tblCourses[CourseID], tblCourses[CourseName], ""), "")</f>
        <v>Fire Safety Training</v>
      </c>
      <c r="F1234" s="17">
        <v>46148</v>
      </c>
      <c r="G1234" s="17" t="str" cm="1">
        <f t="array" ref="G12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4" s="15" t="str">
        <f ca="1">IF(OR(tblTraining[[#This Row],[Status]]="Renewed",tblTraining[[#This Row],[NextDueDate]]=""),"",tblTraining[[#This Row],[NextDueDate]]-TODAY())</f>
        <v/>
      </c>
      <c r="I1234" s="15" t="str" cm="1">
        <f t="array" aca="1" ref="I12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5" spans="1:9" x14ac:dyDescent="0.25">
      <c r="A1235" s="15">
        <f t="shared" si="19"/>
        <v>1234</v>
      </c>
      <c r="B1235" s="15" t="s">
        <v>410</v>
      </c>
      <c r="C1235" s="15" t="str" cm="1">
        <f t="array" ref="C1235">IFERROR(_xlfn.XLOOKUP(B1235, tblPeople[PersonID], tblPeople[PersonName], ""), "")</f>
        <v>Prudence Muhami</v>
      </c>
      <c r="D1235" s="15" t="s">
        <v>470</v>
      </c>
      <c r="E1235" s="16" t="str">
        <f>IFERROR(_xlfn.XLOOKUP(D1235, tblCourses[CourseID], tblCourses[CourseName], ""), "")</f>
        <v>Fire Safety Training</v>
      </c>
      <c r="F1235" s="17">
        <v>46148</v>
      </c>
      <c r="G1235" s="17" t="str" cm="1">
        <f t="array" ref="G12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5" s="15" t="str">
        <f ca="1">IF(OR(tblTraining[[#This Row],[Status]]="Renewed",tblTraining[[#This Row],[NextDueDate]]=""),"",tblTraining[[#This Row],[NextDueDate]]-TODAY())</f>
        <v/>
      </c>
      <c r="I1235" s="15" t="str" cm="1">
        <f t="array" aca="1" ref="I12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6" spans="1:9" x14ac:dyDescent="0.25">
      <c r="A1236" s="15">
        <f t="shared" si="19"/>
        <v>1235</v>
      </c>
      <c r="B1236" s="15" t="s">
        <v>413</v>
      </c>
      <c r="C1236" s="15" t="str" cm="1">
        <f t="array" ref="C1236">IFERROR(_xlfn.XLOOKUP(B1236, tblPeople[PersonID], tblPeople[PersonName], ""), "")</f>
        <v>James Muisyo</v>
      </c>
      <c r="D1236" s="15" t="s">
        <v>470</v>
      </c>
      <c r="E1236" s="16" t="str">
        <f>IFERROR(_xlfn.XLOOKUP(D1236, tblCourses[CourseID], tblCourses[CourseName], ""), "")</f>
        <v>Fire Safety Training</v>
      </c>
      <c r="F1236" s="17">
        <v>46148</v>
      </c>
      <c r="G1236" s="17" t="str" cm="1">
        <f t="array" ref="G12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6" s="15" t="str">
        <f ca="1">IF(OR(tblTraining[[#This Row],[Status]]="Renewed",tblTraining[[#This Row],[NextDueDate]]=""),"",tblTraining[[#This Row],[NextDueDate]]-TODAY())</f>
        <v/>
      </c>
      <c r="I1236" s="15" t="str" cm="1">
        <f t="array" aca="1" ref="I12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7" spans="1:9" x14ac:dyDescent="0.25">
      <c r="A1237" s="15">
        <f t="shared" si="19"/>
        <v>1236</v>
      </c>
      <c r="B1237" s="15" t="s">
        <v>442</v>
      </c>
      <c r="C1237" s="15" t="str" cm="1">
        <f t="array" ref="C1237">IFERROR(_xlfn.XLOOKUP(B1237, tblPeople[PersonID], tblPeople[PersonName], ""), "")</f>
        <v>Mary Chelagat</v>
      </c>
      <c r="D1237" s="15" t="s">
        <v>470</v>
      </c>
      <c r="E1237" s="16" t="str">
        <f>IFERROR(_xlfn.XLOOKUP(D1237, tblCourses[CourseID], tblCourses[CourseName], ""), "")</f>
        <v>Fire Safety Training</v>
      </c>
      <c r="F1237" s="17">
        <v>46148</v>
      </c>
      <c r="G1237" s="17" t="str" cm="1">
        <f t="array" ref="G12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7" s="15" t="str">
        <f ca="1">IF(OR(tblTraining[[#This Row],[Status]]="Renewed",tblTraining[[#This Row],[NextDueDate]]=""),"",tblTraining[[#This Row],[NextDueDate]]-TODAY())</f>
        <v/>
      </c>
      <c r="I1237" s="15" t="str" cm="1">
        <f t="array" aca="1" ref="I12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8" spans="1:9" x14ac:dyDescent="0.25">
      <c r="A1238" s="15">
        <f t="shared" si="19"/>
        <v>1237</v>
      </c>
      <c r="B1238" s="15" t="s">
        <v>443</v>
      </c>
      <c r="C1238" s="15" t="str" cm="1">
        <f t="array" ref="C1238">IFERROR(_xlfn.XLOOKUP(B1238, tblPeople[PersonID], tblPeople[PersonName], ""), "")</f>
        <v>Alfred Okudo</v>
      </c>
      <c r="D1238" s="15" t="s">
        <v>470</v>
      </c>
      <c r="E1238" s="16" t="str">
        <f>IFERROR(_xlfn.XLOOKUP(D1238, tblCourses[CourseID], tblCourses[CourseName], ""), "")</f>
        <v>Fire Safety Training</v>
      </c>
      <c r="F1238" s="17">
        <v>46148</v>
      </c>
      <c r="G1238" s="17" t="str" cm="1">
        <f t="array" ref="G12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8" s="15" t="str">
        <f ca="1">IF(OR(tblTraining[[#This Row],[Status]]="Renewed",tblTraining[[#This Row],[NextDueDate]]=""),"",tblTraining[[#This Row],[NextDueDate]]-TODAY())</f>
        <v/>
      </c>
      <c r="I1238" s="15" t="str" cm="1">
        <f t="array" aca="1" ref="I12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9" spans="1:9" x14ac:dyDescent="0.25">
      <c r="A1239" s="15">
        <f t="shared" si="19"/>
        <v>1238</v>
      </c>
      <c r="B1239" s="15" t="s">
        <v>444</v>
      </c>
      <c r="C1239" s="15" t="str" cm="1">
        <f t="array" ref="C1239">IFERROR(_xlfn.XLOOKUP(B1239, tblPeople[PersonID], tblPeople[PersonName], ""), "")</f>
        <v>Martin Chege</v>
      </c>
      <c r="D1239" s="15" t="s">
        <v>470</v>
      </c>
      <c r="E1239" s="16" t="str">
        <f>IFERROR(_xlfn.XLOOKUP(D1239, tblCourses[CourseID], tblCourses[CourseName], ""), "")</f>
        <v>Fire Safety Training</v>
      </c>
      <c r="F1239" s="17">
        <v>46148</v>
      </c>
      <c r="G1239" s="17" t="str" cm="1">
        <f t="array" ref="G12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9" s="15" t="str">
        <f ca="1">IF(OR(tblTraining[[#This Row],[Status]]="Renewed",tblTraining[[#This Row],[NextDueDate]]=""),"",tblTraining[[#This Row],[NextDueDate]]-TODAY())</f>
        <v/>
      </c>
      <c r="I1239" s="15" t="str" cm="1">
        <f t="array" aca="1" ref="I12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0" spans="1:9" x14ac:dyDescent="0.25">
      <c r="A1240" s="15">
        <f t="shared" si="19"/>
        <v>1239</v>
      </c>
      <c r="B1240" s="15" t="s">
        <v>445</v>
      </c>
      <c r="C1240" s="15" t="str" cm="1">
        <f t="array" ref="C1240">IFERROR(_xlfn.XLOOKUP(B1240, tblPeople[PersonID], tblPeople[PersonName], ""), "")</f>
        <v>Brian Muga</v>
      </c>
      <c r="D1240" s="15" t="s">
        <v>470</v>
      </c>
      <c r="E1240" s="16" t="str">
        <f>IFERROR(_xlfn.XLOOKUP(D1240, tblCourses[CourseID], tblCourses[CourseName], ""), "")</f>
        <v>Fire Safety Training</v>
      </c>
      <c r="F1240" s="17">
        <v>46148</v>
      </c>
      <c r="G1240" s="17" t="str" cm="1">
        <f t="array" ref="G12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0" s="15" t="str">
        <f ca="1">IF(OR(tblTraining[[#This Row],[Status]]="Renewed",tblTraining[[#This Row],[NextDueDate]]=""),"",tblTraining[[#This Row],[NextDueDate]]-TODAY())</f>
        <v/>
      </c>
      <c r="I1240" s="15" t="str" cm="1">
        <f t="array" aca="1" ref="I12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1" spans="1:9" x14ac:dyDescent="0.25">
      <c r="A1241" s="15">
        <f t="shared" si="19"/>
        <v>1240</v>
      </c>
      <c r="B1241" s="15" t="s">
        <v>450</v>
      </c>
      <c r="C1241" s="15" t="str" cm="1">
        <f t="array" ref="C1241">IFERROR(_xlfn.XLOOKUP(B1241, tblPeople[PersonID], tblPeople[PersonName], ""), "")</f>
        <v>Evans Maingi</v>
      </c>
      <c r="D1241" s="15" t="s">
        <v>470</v>
      </c>
      <c r="E1241" s="16" t="str">
        <f>IFERROR(_xlfn.XLOOKUP(D1241, tblCourses[CourseID], tblCourses[CourseName], ""), "")</f>
        <v>Fire Safety Training</v>
      </c>
      <c r="F1241" s="17">
        <v>46148</v>
      </c>
      <c r="G1241" s="17" t="str" cm="1">
        <f t="array" ref="G12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1" s="15" t="str">
        <f ca="1">IF(OR(tblTraining[[#This Row],[Status]]="Renewed",tblTraining[[#This Row],[NextDueDate]]=""),"",tblTraining[[#This Row],[NextDueDate]]-TODAY())</f>
        <v/>
      </c>
      <c r="I1241" s="15" t="str" cm="1">
        <f t="array" aca="1" ref="I12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2" spans="1:9" x14ac:dyDescent="0.25">
      <c r="A1242" s="15">
        <f t="shared" si="19"/>
        <v>1241</v>
      </c>
      <c r="B1242" s="15" t="s">
        <v>447</v>
      </c>
      <c r="C1242" s="15" t="str" cm="1">
        <f t="array" ref="C1242">IFERROR(_xlfn.XLOOKUP(B1242, tblPeople[PersonID], tblPeople[PersonName], ""), "")</f>
        <v>Francis Mutonga</v>
      </c>
      <c r="D1242" s="15" t="s">
        <v>470</v>
      </c>
      <c r="E1242" s="16" t="str">
        <f>IFERROR(_xlfn.XLOOKUP(D1242, tblCourses[CourseID], tblCourses[CourseName], ""), "")</f>
        <v>Fire Safety Training</v>
      </c>
      <c r="F1242" s="17">
        <v>46148</v>
      </c>
      <c r="G1242" s="17" t="str" cm="1">
        <f t="array" ref="G12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2" s="15" t="str">
        <f ca="1">IF(OR(tblTraining[[#This Row],[Status]]="Renewed",tblTraining[[#This Row],[NextDueDate]]=""),"",tblTraining[[#This Row],[NextDueDate]]-TODAY())</f>
        <v/>
      </c>
      <c r="I1242" s="15" t="str" cm="1">
        <f t="array" aca="1" ref="I12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3" spans="1:9" x14ac:dyDescent="0.25">
      <c r="A1243" s="15">
        <f t="shared" si="19"/>
        <v>1242</v>
      </c>
      <c r="B1243" s="15" t="s">
        <v>450</v>
      </c>
      <c r="C1243" s="15" t="str" cm="1">
        <f t="array" ref="C1243">IFERROR(_xlfn.XLOOKUP(B1243, tblPeople[PersonID], tblPeople[PersonName], ""), "")</f>
        <v>Evans Maingi</v>
      </c>
      <c r="D1243" s="15" t="s">
        <v>238</v>
      </c>
      <c r="E1243" s="16" t="str">
        <f>IFERROR(_xlfn.XLOOKUP(D1243, tblCourses[CourseID], tblCourses[CourseName], ""), "")</f>
        <v>Crew Resource Management (Initial)</v>
      </c>
      <c r="F1243" s="17">
        <v>46140</v>
      </c>
      <c r="G1243" s="17" t="str" cm="1">
        <f t="array" ref="G12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3" s="15" t="str">
        <f ca="1">IF(OR(tblTraining[[#This Row],[Status]]="Renewed",tblTraining[[#This Row],[NextDueDate]]=""),"",tblTraining[[#This Row],[NextDueDate]]-TODAY())</f>
        <v/>
      </c>
      <c r="I1243" s="15" t="str" cm="1">
        <f t="array" aca="1" ref="I12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4" spans="1:9" x14ac:dyDescent="0.25">
      <c r="A1244" s="15">
        <f t="shared" si="19"/>
        <v>1243</v>
      </c>
      <c r="B1244" s="15" t="s">
        <v>450</v>
      </c>
      <c r="C1244" s="15" t="str" cm="1">
        <f t="array" ref="C1244">IFERROR(_xlfn.XLOOKUP(B1244, tblPeople[PersonID], tblPeople[PersonName], ""), "")</f>
        <v>Evans Maingi</v>
      </c>
      <c r="D1244" s="15" t="s">
        <v>237</v>
      </c>
      <c r="E1244" s="16" t="str">
        <f>IFERROR(_xlfn.XLOOKUP(D1244, tblCourses[CourseID], tblCourses[CourseName], ""), "")</f>
        <v>Crew Resource Management (Refresher)</v>
      </c>
      <c r="F1244" s="17">
        <v>46140</v>
      </c>
      <c r="G1244" s="17" cm="1">
        <f t="array" ref="G12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244" s="15">
        <f ca="1">IF(OR(tblTraining[[#This Row],[Status]]="Renewed",tblTraining[[#This Row],[NextDueDate]]=""),"",tblTraining[[#This Row],[NextDueDate]]-TODAY())</f>
        <v>585</v>
      </c>
      <c r="I1244" s="15" t="str" cm="1">
        <f t="array" aca="1" ref="I12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5" spans="1:9" x14ac:dyDescent="0.25">
      <c r="A1245" s="15">
        <f t="shared" si="19"/>
        <v>1244</v>
      </c>
      <c r="B1245" s="15" t="s">
        <v>442</v>
      </c>
      <c r="C1245" s="15" t="str" cm="1">
        <f t="array" ref="C1245">IFERROR(_xlfn.XLOOKUP(B1245, tblPeople[PersonID], tblPeople[PersonName], ""), "")</f>
        <v>Mary Chelagat</v>
      </c>
      <c r="D1245" s="15" t="s">
        <v>24</v>
      </c>
      <c r="E1245" s="16" t="str">
        <f>IFERROR(_xlfn.XLOOKUP(D1245, tblCourses[CourseID], tblCourses[CourseName], ""), "")</f>
        <v>Human Factors in Aviation (Initial)</v>
      </c>
      <c r="F1245" s="17">
        <v>46167</v>
      </c>
      <c r="G1245" s="17" t="str" cm="1">
        <f t="array" ref="G12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5" s="15" t="str">
        <f ca="1">IF(OR(tblTraining[[#This Row],[Status]]="Renewed",tblTraining[[#This Row],[NextDueDate]]=""),"",tblTraining[[#This Row],[NextDueDate]]-TODAY())</f>
        <v/>
      </c>
      <c r="I1245" s="15" t="str" cm="1">
        <f t="array" aca="1" ref="I12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6" spans="1:9" x14ac:dyDescent="0.25">
      <c r="A1246" s="15">
        <f t="shared" si="19"/>
        <v>1245</v>
      </c>
      <c r="B1246" s="15" t="s">
        <v>442</v>
      </c>
      <c r="C1246" s="15" t="str" cm="1">
        <f t="array" ref="C1246">IFERROR(_xlfn.XLOOKUP(B1246, tblPeople[PersonID], tblPeople[PersonName], ""), "")</f>
        <v>Mary Chelagat</v>
      </c>
      <c r="D1246" s="15" t="s">
        <v>22</v>
      </c>
      <c r="E1246" s="16" t="str">
        <f>IFERROR(_xlfn.XLOOKUP(D1246, tblCourses[CourseID], tblCourses[CourseName], ""), "")</f>
        <v>Human Factors in Aviation (Refresher)</v>
      </c>
      <c r="F1246" s="17">
        <v>46167</v>
      </c>
      <c r="G1246" s="17" cm="1">
        <f t="array" ref="G12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46898</v>
      </c>
      <c r="H1246" s="15">
        <f ca="1">IF(OR(tblTraining[[#This Row],[Status]]="Renewed",tblTraining[[#This Row],[NextDueDate]]=""),"",tblTraining[[#This Row],[NextDueDate]]-TODAY())</f>
        <v>612</v>
      </c>
      <c r="I1246" s="15" t="str" cm="1">
        <f t="array" aca="1" ref="I12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7" spans="1:9" x14ac:dyDescent="0.25">
      <c r="A1247" s="15">
        <f t="shared" si="19"/>
        <v>1246</v>
      </c>
      <c r="B1247" s="15" t="s">
        <v>95</v>
      </c>
      <c r="C1247" s="15" t="str" cm="1">
        <f t="array" ref="C1247">IFERROR(_xlfn.XLOOKUP(B1247, tblPeople[PersonID], tblPeople[PersonName], ""), "")</f>
        <v>Walter Kibet</v>
      </c>
      <c r="D1247" s="15" t="s">
        <v>30</v>
      </c>
      <c r="E1247" s="16" t="str">
        <f>IFERROR(_xlfn.XLOOKUP(D1247, tblCourses[CourseID], tblCourses[CourseName], ""), "")</f>
        <v>Dangerous Goods Regulations (CBTA 7.3) (Refresher)</v>
      </c>
      <c r="F1247" s="17">
        <v>46127</v>
      </c>
      <c r="G1247" s="17" cm="1">
        <f t="array" ref="G12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47" s="15">
        <f ca="1">IF(OR(tblTraining[[#This Row],[Status]]="Renewed",tblTraining[[#This Row],[NextDueDate]]=""),"",tblTraining[[#This Row],[NextDueDate]]-TODAY())</f>
        <v>572</v>
      </c>
      <c r="I1247" s="15" t="str" cm="1">
        <f t="array" aca="1" ref="I12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8" spans="1:9" x14ac:dyDescent="0.25">
      <c r="A1248" s="15">
        <f t="shared" si="19"/>
        <v>1247</v>
      </c>
      <c r="B1248" s="15" t="s">
        <v>98</v>
      </c>
      <c r="C1248" s="15" t="str" cm="1">
        <f t="array" ref="C1248">IFERROR(_xlfn.XLOOKUP(B1248, tblPeople[PersonID], tblPeople[PersonName], ""), "")</f>
        <v>Thadeus Mong’are</v>
      </c>
      <c r="D1248" s="15" t="s">
        <v>30</v>
      </c>
      <c r="E1248" s="16" t="str">
        <f>IFERROR(_xlfn.XLOOKUP(D1248, tblCourses[CourseID], tblCourses[CourseName], ""), "")</f>
        <v>Dangerous Goods Regulations (CBTA 7.3) (Refresher)</v>
      </c>
      <c r="F1248" s="17">
        <v>46127</v>
      </c>
      <c r="G1248" s="17" cm="1">
        <f t="array" ref="G12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48" s="15">
        <f ca="1">IF(OR(tblTraining[[#This Row],[Status]]="Renewed",tblTraining[[#This Row],[NextDueDate]]=""),"",tblTraining[[#This Row],[NextDueDate]]-TODAY())</f>
        <v>572</v>
      </c>
      <c r="I1248" s="15" t="str" cm="1">
        <f t="array" aca="1" ref="I12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9" spans="1:9" x14ac:dyDescent="0.25">
      <c r="A1249" s="15">
        <f t="shared" si="19"/>
        <v>1248</v>
      </c>
      <c r="B1249" s="15" t="s">
        <v>154</v>
      </c>
      <c r="C1249" s="15" t="str" cm="1">
        <f t="array" ref="C1249">IFERROR(_xlfn.XLOOKUP(B1249, tblPeople[PersonID], tblPeople[PersonName], ""), "")</f>
        <v>Judith Wandera</v>
      </c>
      <c r="D1249" s="15" t="s">
        <v>30</v>
      </c>
      <c r="E1249" s="16" t="str">
        <f>IFERROR(_xlfn.XLOOKUP(D1249, tblCourses[CourseID], tblCourses[CourseName], ""), "")</f>
        <v>Dangerous Goods Regulations (CBTA 7.3) (Refresher)</v>
      </c>
      <c r="F1249" s="17">
        <v>46127</v>
      </c>
      <c r="G1249" s="17" cm="1">
        <f t="array" ref="G12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49" s="15">
        <f ca="1">IF(OR(tblTraining[[#This Row],[Status]]="Renewed",tblTraining[[#This Row],[NextDueDate]]=""),"",tblTraining[[#This Row],[NextDueDate]]-TODAY())</f>
        <v>572</v>
      </c>
      <c r="I1249" s="15" t="str" cm="1">
        <f t="array" aca="1" ref="I12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0" spans="1:9" x14ac:dyDescent="0.25">
      <c r="A1250" s="15">
        <f t="shared" si="19"/>
        <v>1249</v>
      </c>
      <c r="B1250" s="15" t="s">
        <v>91</v>
      </c>
      <c r="C1250" s="15" t="str" cm="1">
        <f t="array" ref="C1250">IFERROR(_xlfn.XLOOKUP(B1250, tblPeople[PersonID], tblPeople[PersonName], ""), "")</f>
        <v>Dunstan Kwalanda</v>
      </c>
      <c r="D1250" s="15" t="s">
        <v>30</v>
      </c>
      <c r="E1250" s="16" t="str">
        <f>IFERROR(_xlfn.XLOOKUP(D1250, tblCourses[CourseID], tblCourses[CourseName], ""), "")</f>
        <v>Dangerous Goods Regulations (CBTA 7.3) (Refresher)</v>
      </c>
      <c r="F1250" s="17">
        <v>46127</v>
      </c>
      <c r="G1250" s="17" cm="1">
        <f t="array" ref="G12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50" s="15">
        <f ca="1">IF(OR(tblTraining[[#This Row],[Status]]="Renewed",tblTraining[[#This Row],[NextDueDate]]=""),"",tblTraining[[#This Row],[NextDueDate]]-TODAY())</f>
        <v>572</v>
      </c>
      <c r="I1250" s="15" t="str" cm="1">
        <f t="array" aca="1" ref="I12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1" spans="1:9" x14ac:dyDescent="0.25">
      <c r="A1251" s="15">
        <f t="shared" si="19"/>
        <v>1250</v>
      </c>
      <c r="B1251" s="15" t="s">
        <v>105</v>
      </c>
      <c r="C1251" s="15" t="str" cm="1">
        <f t="array" ref="C1251">IFERROR(_xlfn.XLOOKUP(B1251, tblPeople[PersonID], tblPeople[PersonName], ""), "")</f>
        <v>Fred Magotsi</v>
      </c>
      <c r="D1251" s="15" t="s">
        <v>75</v>
      </c>
      <c r="E1251" s="16" t="str">
        <f>IFERROR(_xlfn.XLOOKUP(D1251, tblCourses[CourseID], tblCourses[CourseName], ""), "")</f>
        <v>Fuel Tank Safety Phase 1 &amp; 2 Course (Refresher)</v>
      </c>
      <c r="F1251" s="17">
        <v>46147</v>
      </c>
      <c r="G1251" s="17" cm="1">
        <f t="array" ref="G12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251" s="15">
        <f ca="1">IF(OR(tblTraining[[#This Row],[Status]]="Renewed",tblTraining[[#This Row],[NextDueDate]]=""),"",tblTraining[[#This Row],[NextDueDate]]-TODAY())</f>
        <v>592</v>
      </c>
      <c r="I1251" s="15" t="str" cm="1">
        <f t="array" aca="1" ref="I12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2" spans="1:9" x14ac:dyDescent="0.25">
      <c r="A1252" s="15">
        <f t="shared" si="19"/>
        <v>1251</v>
      </c>
      <c r="B1252" s="15" t="s">
        <v>267</v>
      </c>
      <c r="C1252" s="15" t="str" cm="1">
        <f t="array" ref="C1252">IFERROR(_xlfn.XLOOKUP(B1252, tblPeople[PersonID], tblPeople[PersonName], ""), "")</f>
        <v>Romy Okello</v>
      </c>
      <c r="D1252" s="15" t="s">
        <v>20</v>
      </c>
      <c r="E1252" s="16" t="str">
        <f>IFERROR(_xlfn.XLOOKUP(D1252, tblCourses[CourseID], tblCourses[CourseName], ""), "")</f>
        <v>Safety Management Systems (Initial)</v>
      </c>
      <c r="F1252" s="17">
        <v>45846</v>
      </c>
      <c r="G1252" s="17" t="str" cm="1">
        <f t="array" ref="G12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2" s="15" t="str">
        <f ca="1">IF(OR(tblTraining[[#This Row],[Status]]="Renewed",tblTraining[[#This Row],[NextDueDate]]=""),"",tblTraining[[#This Row],[NextDueDate]]-TODAY())</f>
        <v/>
      </c>
      <c r="I1252" s="15" t="str" cm="1">
        <f t="array" aca="1" ref="I12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3" spans="1:9" x14ac:dyDescent="0.25">
      <c r="A1253" s="15">
        <f t="shared" si="19"/>
        <v>1252</v>
      </c>
      <c r="B1253" s="15" t="s">
        <v>267</v>
      </c>
      <c r="C1253" s="15" t="str" cm="1">
        <f t="array" ref="C1253">IFERROR(_xlfn.XLOOKUP(B1253, tblPeople[PersonID], tblPeople[PersonName], ""), "")</f>
        <v>Romy Okello</v>
      </c>
      <c r="D1253" s="15" t="s">
        <v>17</v>
      </c>
      <c r="E1253" s="16" t="str">
        <f>IFERROR(_xlfn.XLOOKUP(D1253, tblCourses[CourseID], tblCourses[CourseName], ""), "")</f>
        <v>Safety Management Systems (Refresher)</v>
      </c>
      <c r="F1253" s="17">
        <v>45846</v>
      </c>
      <c r="G1253" s="17" cm="1">
        <f t="array" ref="G12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1253" s="15">
        <f ca="1">IF(OR(tblTraining[[#This Row],[Status]]="Renewed",tblTraining[[#This Row],[NextDueDate]]=""),"",tblTraining[[#This Row],[NextDueDate]]-TODAY())</f>
        <v>290</v>
      </c>
      <c r="I1253" s="15" t="str" cm="1">
        <f t="array" aca="1" ref="I12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4" spans="1:9" x14ac:dyDescent="0.25">
      <c r="A1254" s="15">
        <f t="shared" si="19"/>
        <v>1253</v>
      </c>
      <c r="B1254" s="15" t="s">
        <v>472</v>
      </c>
      <c r="C1254" s="15" t="str" cm="1">
        <f t="array" ref="C1254">IFERROR(_xlfn.XLOOKUP(B1254, tblPeople[PersonID], tblPeople[PersonName], ""), "")</f>
        <v>Erick Mwanje</v>
      </c>
      <c r="D1254" s="15" t="s">
        <v>124</v>
      </c>
      <c r="E1254" s="16" t="str">
        <f>IFERROR(_xlfn.XLOOKUP(D1254, tblCourses[CourseID], tblCourses[CourseName], ""), "")</f>
        <v>Aviation Security (Initial)</v>
      </c>
      <c r="F1254" s="17">
        <v>46106</v>
      </c>
      <c r="G1254" s="17" t="str" cm="1">
        <f t="array" ref="G12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4" s="15" t="str">
        <f ca="1">IF(OR(tblTraining[[#This Row],[Status]]="Renewed",tblTraining[[#This Row],[NextDueDate]]=""),"",tblTraining[[#This Row],[NextDueDate]]-TODAY())</f>
        <v/>
      </c>
      <c r="I1254" s="15" t="str" cm="1">
        <f t="array" aca="1" ref="I12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5" spans="1:9" x14ac:dyDescent="0.25">
      <c r="A1255" s="15">
        <f t="shared" si="19"/>
        <v>1254</v>
      </c>
      <c r="B1255" s="15" t="s">
        <v>472</v>
      </c>
      <c r="C1255" s="15" t="str" cm="1">
        <f t="array" ref="C1255">IFERROR(_xlfn.XLOOKUP(B1255, tblPeople[PersonID], tblPeople[PersonName], ""), "")</f>
        <v>Erick Mwanje</v>
      </c>
      <c r="D1255" s="15" t="s">
        <v>125</v>
      </c>
      <c r="E1255" s="16" t="str">
        <f>IFERROR(_xlfn.XLOOKUP(D1255, tblCourses[CourseID], tblCourses[CourseName], ""), "")</f>
        <v>Aviation Security (Refresher)</v>
      </c>
      <c r="F1255" s="17">
        <v>46106</v>
      </c>
      <c r="G1255" s="17" cm="1">
        <f t="array" ref="G12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255" s="15">
        <f ca="1">IF(OR(tblTraining[[#This Row],[Status]]="Renewed",tblTraining[[#This Row],[NextDueDate]]=""),"",tblTraining[[#This Row],[NextDueDate]]-TODAY())</f>
        <v>551</v>
      </c>
      <c r="I1255" s="15" t="str" cm="1">
        <f t="array" aca="1" ref="I12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6" spans="1:9" x14ac:dyDescent="0.25">
      <c r="A1256" s="15">
        <f t="shared" si="19"/>
        <v>1255</v>
      </c>
      <c r="B1256" s="15" t="s">
        <v>472</v>
      </c>
      <c r="C1256" s="15" t="str" cm="1">
        <f t="array" ref="C1256">IFERROR(_xlfn.XLOOKUP(B1256, tblPeople[PersonID], tblPeople[PersonName], ""), "")</f>
        <v>Erick Mwanje</v>
      </c>
      <c r="D1256" s="15" t="s">
        <v>238</v>
      </c>
      <c r="E1256" s="16" t="str">
        <f>IFERROR(_xlfn.XLOOKUP(D1256, tblCourses[CourseID], tblCourses[CourseName], ""), "")</f>
        <v>Crew Resource Management (Initial)</v>
      </c>
      <c r="F1256" s="17">
        <v>46114</v>
      </c>
      <c r="G1256" s="17" t="str" cm="1">
        <f t="array" ref="G12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6" s="15" t="str">
        <f ca="1">IF(OR(tblTraining[[#This Row],[Status]]="Renewed",tblTraining[[#This Row],[NextDueDate]]=""),"",tblTraining[[#This Row],[NextDueDate]]-TODAY())</f>
        <v/>
      </c>
      <c r="I1256" s="15" t="str" cm="1">
        <f t="array" aca="1" ref="I12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7" spans="1:9" x14ac:dyDescent="0.25">
      <c r="A1257" s="15">
        <f t="shared" si="19"/>
        <v>1256</v>
      </c>
      <c r="B1257" s="15" t="s">
        <v>472</v>
      </c>
      <c r="C1257" s="15" t="str" cm="1">
        <f t="array" ref="C1257">IFERROR(_xlfn.XLOOKUP(B1257, tblPeople[PersonID], tblPeople[PersonName], ""), "")</f>
        <v>Erick Mwanje</v>
      </c>
      <c r="D1257" s="15" t="s">
        <v>237</v>
      </c>
      <c r="E1257" s="16" t="str">
        <f>IFERROR(_xlfn.XLOOKUP(D1257, tblCourses[CourseID], tblCourses[CourseName], ""), "")</f>
        <v>Crew Resource Management (Refresher)</v>
      </c>
      <c r="F1257" s="17">
        <v>46114</v>
      </c>
      <c r="G1257" s="17" cm="1">
        <f t="array" ref="G12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46845</v>
      </c>
      <c r="H1257" s="15">
        <f ca="1">IF(OR(tblTraining[[#This Row],[Status]]="Renewed",tblTraining[[#This Row],[NextDueDate]]=""),"",tblTraining[[#This Row],[NextDueDate]]-TODAY())</f>
        <v>559</v>
      </c>
      <c r="I1257" s="15" t="str" cm="1">
        <f t="array" aca="1" ref="I12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8" spans="1:9" x14ac:dyDescent="0.25">
      <c r="A1258" s="15">
        <f t="shared" si="19"/>
        <v>1257</v>
      </c>
      <c r="B1258" s="15" t="s">
        <v>472</v>
      </c>
      <c r="C1258" s="15" t="str" cm="1">
        <f t="array" ref="C1258">IFERROR(_xlfn.XLOOKUP(B1258, tblPeople[PersonID], tblPeople[PersonName], ""), "")</f>
        <v>Erick Mwanje</v>
      </c>
      <c r="D1258" s="15" t="s">
        <v>452</v>
      </c>
      <c r="E1258" s="16" t="str">
        <f>IFERROR(_xlfn.XLOOKUP(D1258, tblCourses[CourseID], tblCourses[CourseName], ""), "")</f>
        <v>Emergency Response Plan Awareness</v>
      </c>
      <c r="F1258" s="17">
        <v>46119</v>
      </c>
      <c r="G1258" s="17" cm="1">
        <f t="array" ref="G12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58" s="15">
        <f ca="1">IF(OR(tblTraining[[#This Row],[Status]]="Renewed",tblTraining[[#This Row],[NextDueDate]]=""),"",tblTraining[[#This Row],[NextDueDate]]-TODAY())</f>
        <v>564</v>
      </c>
      <c r="I1258" s="15" t="str" cm="1">
        <f t="array" aca="1" ref="I12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9" spans="1:9" x14ac:dyDescent="0.25">
      <c r="A1259" s="15">
        <f t="shared" si="19"/>
        <v>1258</v>
      </c>
      <c r="B1259" s="15" t="s">
        <v>472</v>
      </c>
      <c r="C1259" s="15" t="str" cm="1">
        <f t="array" ref="C1259">IFERROR(_xlfn.XLOOKUP(B1259, tblPeople[PersonID], tblPeople[PersonName], ""), "")</f>
        <v>Erick Mwanje</v>
      </c>
      <c r="D1259" s="15" t="s">
        <v>470</v>
      </c>
      <c r="E1259" s="16" t="str">
        <f>IFERROR(_xlfn.XLOOKUP(D1259, tblCourses[CourseID], tblCourses[CourseName], ""), "")</f>
        <v>Fire Safety Training</v>
      </c>
      <c r="F1259" s="17">
        <v>46112</v>
      </c>
      <c r="G1259" s="17" t="str" cm="1">
        <f t="array" ref="G12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9" s="15" t="str">
        <f ca="1">IF(OR(tblTraining[[#This Row],[Status]]="Renewed",tblTraining[[#This Row],[NextDueDate]]=""),"",tblTraining[[#This Row],[NextDueDate]]-TODAY())</f>
        <v/>
      </c>
      <c r="I1259" s="15" t="str" cm="1">
        <f t="array" aca="1" ref="I12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0" spans="1:9" x14ac:dyDescent="0.25">
      <c r="A1260" s="15">
        <f t="shared" si="19"/>
        <v>1259</v>
      </c>
      <c r="B1260" s="15" t="s">
        <v>472</v>
      </c>
      <c r="C1260" s="15" t="str" cm="1">
        <f t="array" ref="C1260">IFERROR(_xlfn.XLOOKUP(B1260, tblPeople[PersonID], tblPeople[PersonName], ""), "")</f>
        <v>Erick Mwanje</v>
      </c>
      <c r="D1260" s="15" t="s">
        <v>20</v>
      </c>
      <c r="E1260" s="16" t="str">
        <f>IFERROR(_xlfn.XLOOKUP(D1260, tblCourses[CourseID], tblCourses[CourseName], ""), "")</f>
        <v>Safety Management Systems (Initial)</v>
      </c>
      <c r="F1260" s="17">
        <v>46108</v>
      </c>
      <c r="G1260" s="17" t="str" cm="1">
        <f t="array" ref="G12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0" s="15" t="str">
        <f ca="1">IF(OR(tblTraining[[#This Row],[Status]]="Renewed",tblTraining[[#This Row],[NextDueDate]]=""),"",tblTraining[[#This Row],[NextDueDate]]-TODAY())</f>
        <v/>
      </c>
      <c r="I1260" s="15" t="str" cm="1">
        <f t="array" aca="1" ref="I12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1" spans="1:9" x14ac:dyDescent="0.25">
      <c r="A1261" s="15">
        <f t="shared" si="19"/>
        <v>1260</v>
      </c>
      <c r="B1261" s="15" t="s">
        <v>472</v>
      </c>
      <c r="C1261" s="15" t="str" cm="1">
        <f t="array" ref="C1261">IFERROR(_xlfn.XLOOKUP(B1261, tblPeople[PersonID], tblPeople[PersonName], ""), "")</f>
        <v>Erick Mwanje</v>
      </c>
      <c r="D1261" s="15" t="s">
        <v>17</v>
      </c>
      <c r="E1261" s="16" t="str">
        <f>IFERROR(_xlfn.XLOOKUP(D1261, tblCourses[CourseID], tblCourses[CourseName], ""), "")</f>
        <v>Safety Management Systems (Refresher)</v>
      </c>
      <c r="F1261" s="17">
        <v>46108</v>
      </c>
      <c r="G1261" s="17" cm="1">
        <f t="array" ref="G12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261" s="15">
        <f ca="1">IF(OR(tblTraining[[#This Row],[Status]]="Renewed",tblTraining[[#This Row],[NextDueDate]]=""),"",tblTraining[[#This Row],[NextDueDate]]-TODAY())</f>
        <v>553</v>
      </c>
      <c r="I1261" s="15" t="str" cm="1">
        <f t="array" aca="1" ref="I12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2" spans="1:9" x14ac:dyDescent="0.25">
      <c r="A1262" s="15">
        <f t="shared" si="19"/>
        <v>1261</v>
      </c>
      <c r="B1262" s="15" t="s">
        <v>473</v>
      </c>
      <c r="C1262" s="15" t="str" cm="1">
        <f t="array" ref="C1262">IFERROR(_xlfn.XLOOKUP(B1262, tblPeople[PersonID], tblPeople[PersonName], ""), "")</f>
        <v>Dickson Mzungu</v>
      </c>
      <c r="D1262" s="15" t="s">
        <v>452</v>
      </c>
      <c r="E1262" s="16" t="str">
        <f>IFERROR(_xlfn.XLOOKUP(D1262, tblCourses[CourseID], tblCourses[CourseName], ""), "")</f>
        <v>Emergency Response Plan Awareness</v>
      </c>
      <c r="F1262" s="17">
        <v>46119</v>
      </c>
      <c r="G1262" s="17" cm="1">
        <f t="array" ref="G12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62" s="15">
        <f ca="1">IF(OR(tblTraining[[#This Row],[Status]]="Renewed",tblTraining[[#This Row],[NextDueDate]]=""),"",tblTraining[[#This Row],[NextDueDate]]-TODAY())</f>
        <v>564</v>
      </c>
      <c r="I1262" s="15" t="str" cm="1">
        <f t="array" aca="1" ref="I12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3" spans="1:9" x14ac:dyDescent="0.25">
      <c r="A1263" s="15">
        <f t="shared" si="19"/>
        <v>1262</v>
      </c>
      <c r="B1263" s="15" t="s">
        <v>473</v>
      </c>
      <c r="C1263" s="15" t="str" cm="1">
        <f t="array" ref="C1263">IFERROR(_xlfn.XLOOKUP(B1263, tblPeople[PersonID], tblPeople[PersonName], ""), "")</f>
        <v>Dickson Mzungu</v>
      </c>
      <c r="D1263" s="15" t="s">
        <v>124</v>
      </c>
      <c r="E1263" s="16" t="str">
        <f>IFERROR(_xlfn.XLOOKUP(D1263, tblCourses[CourseID], tblCourses[CourseName], ""), "")</f>
        <v>Aviation Security (Initial)</v>
      </c>
      <c r="F1263" s="17">
        <v>46106</v>
      </c>
      <c r="G1263" s="17" t="str" cm="1">
        <f t="array" ref="G12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3" s="15" t="str">
        <f ca="1">IF(OR(tblTraining[[#This Row],[Status]]="Renewed",tblTraining[[#This Row],[NextDueDate]]=""),"",tblTraining[[#This Row],[NextDueDate]]-TODAY())</f>
        <v/>
      </c>
      <c r="I1263" s="15" t="str" cm="1">
        <f t="array" aca="1" ref="I12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4" spans="1:9" x14ac:dyDescent="0.25">
      <c r="A1264" s="15">
        <f t="shared" si="19"/>
        <v>1263</v>
      </c>
      <c r="B1264" s="15" t="s">
        <v>473</v>
      </c>
      <c r="C1264" s="15" t="str" cm="1">
        <f t="array" ref="C1264">IFERROR(_xlfn.XLOOKUP(B1264, tblPeople[PersonID], tblPeople[PersonName], ""), "")</f>
        <v>Dickson Mzungu</v>
      </c>
      <c r="D1264" s="15" t="s">
        <v>125</v>
      </c>
      <c r="E1264" s="16" t="str">
        <f>IFERROR(_xlfn.XLOOKUP(D1264, tblCourses[CourseID], tblCourses[CourseName], ""), "")</f>
        <v>Aviation Security (Refresher)</v>
      </c>
      <c r="F1264" s="17">
        <v>46106</v>
      </c>
      <c r="G1264" s="17" cm="1">
        <f t="array" ref="G12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264" s="15">
        <f ca="1">IF(OR(tblTraining[[#This Row],[Status]]="Renewed",tblTraining[[#This Row],[NextDueDate]]=""),"",tblTraining[[#This Row],[NextDueDate]]-TODAY())</f>
        <v>551</v>
      </c>
      <c r="I1264" s="15" t="str" cm="1">
        <f t="array" aca="1" ref="I12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5" spans="1:9" x14ac:dyDescent="0.25">
      <c r="A1265" s="15">
        <f t="shared" si="19"/>
        <v>1264</v>
      </c>
      <c r="B1265" s="15" t="s">
        <v>473</v>
      </c>
      <c r="C1265" s="15" t="str" cm="1">
        <f t="array" ref="C1265">IFERROR(_xlfn.XLOOKUP(B1265, tblPeople[PersonID], tblPeople[PersonName], ""), "")</f>
        <v>Dickson Mzungu</v>
      </c>
      <c r="D1265" s="15" t="s">
        <v>238</v>
      </c>
      <c r="E1265" s="16" t="str">
        <f>IFERROR(_xlfn.XLOOKUP(D1265, tblCourses[CourseID], tblCourses[CourseName], ""), "")</f>
        <v>Crew Resource Management (Initial)</v>
      </c>
      <c r="F1265" s="17">
        <v>46114</v>
      </c>
      <c r="G1265" s="17" t="str" cm="1">
        <f t="array" ref="G12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5" s="15" t="str">
        <f ca="1">IF(OR(tblTraining[[#This Row],[Status]]="Renewed",tblTraining[[#This Row],[NextDueDate]]=""),"",tblTraining[[#This Row],[NextDueDate]]-TODAY())</f>
        <v/>
      </c>
      <c r="I1265" s="15" t="str" cm="1">
        <f t="array" aca="1" ref="I12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6" spans="1:9" x14ac:dyDescent="0.25">
      <c r="A1266" s="15">
        <f t="shared" si="19"/>
        <v>1265</v>
      </c>
      <c r="B1266" s="15" t="s">
        <v>473</v>
      </c>
      <c r="C1266" s="15" t="str" cm="1">
        <f t="array" ref="C1266">IFERROR(_xlfn.XLOOKUP(B1266, tblPeople[PersonID], tblPeople[PersonName], ""), "")</f>
        <v>Dickson Mzungu</v>
      </c>
      <c r="D1266" s="15" t="s">
        <v>237</v>
      </c>
      <c r="E1266" s="16" t="str">
        <f>IFERROR(_xlfn.XLOOKUP(D1266, tblCourses[CourseID], tblCourses[CourseName], ""), "")</f>
        <v>Crew Resource Management (Refresher)</v>
      </c>
      <c r="F1266" s="17">
        <v>46114</v>
      </c>
      <c r="G1266" s="17" cm="1">
        <f t="array" ref="G12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46845</v>
      </c>
      <c r="H1266" s="15">
        <f ca="1">IF(OR(tblTraining[[#This Row],[Status]]="Renewed",tblTraining[[#This Row],[NextDueDate]]=""),"",tblTraining[[#This Row],[NextDueDate]]-TODAY())</f>
        <v>559</v>
      </c>
      <c r="I1266" s="15" t="str" cm="1">
        <f t="array" aca="1" ref="I12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7" spans="1:9" x14ac:dyDescent="0.25">
      <c r="A1267" s="15">
        <f t="shared" si="19"/>
        <v>1266</v>
      </c>
      <c r="B1267" s="15" t="s">
        <v>473</v>
      </c>
      <c r="C1267" s="15" t="str" cm="1">
        <f t="array" ref="C1267">IFERROR(_xlfn.XLOOKUP(B1267, tblPeople[PersonID], tblPeople[PersonName], ""), "")</f>
        <v>Dickson Mzungu</v>
      </c>
      <c r="D1267" s="15" t="s">
        <v>470</v>
      </c>
      <c r="E1267" s="16" t="str">
        <f>IFERROR(_xlfn.XLOOKUP(D1267, tblCourses[CourseID], tblCourses[CourseName], ""), "")</f>
        <v>Fire Safety Training</v>
      </c>
      <c r="F1267" s="17">
        <v>46112</v>
      </c>
      <c r="G1267" s="17" t="str" cm="1">
        <f t="array" ref="G12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7" s="15" t="str">
        <f ca="1">IF(OR(tblTraining[[#This Row],[Status]]="Renewed",tblTraining[[#This Row],[NextDueDate]]=""),"",tblTraining[[#This Row],[NextDueDate]]-TODAY())</f>
        <v/>
      </c>
      <c r="I1267" s="15" t="str" cm="1">
        <f t="array" aca="1" ref="I12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8" spans="1:9" x14ac:dyDescent="0.25">
      <c r="A1268" s="15">
        <f t="shared" si="19"/>
        <v>1267</v>
      </c>
      <c r="B1268" s="15" t="s">
        <v>473</v>
      </c>
      <c r="C1268" s="15" t="str" cm="1">
        <f t="array" ref="C1268">IFERROR(_xlfn.XLOOKUP(B1268, tblPeople[PersonID], tblPeople[PersonName], ""), "")</f>
        <v>Dickson Mzungu</v>
      </c>
      <c r="D1268" s="15" t="s">
        <v>20</v>
      </c>
      <c r="E1268" s="16" t="str">
        <f>IFERROR(_xlfn.XLOOKUP(D1268, tblCourses[CourseID], tblCourses[CourseName], ""), "")</f>
        <v>Safety Management Systems (Initial)</v>
      </c>
      <c r="F1268" s="17">
        <v>39962</v>
      </c>
      <c r="G1268" s="17" t="str" cm="1">
        <f t="array" ref="G12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8" s="15" t="str">
        <f ca="1">IF(OR(tblTraining[[#This Row],[Status]]="Renewed",tblTraining[[#This Row],[NextDueDate]]=""),"",tblTraining[[#This Row],[NextDueDate]]-TODAY())</f>
        <v/>
      </c>
      <c r="I1268" s="15" t="str" cm="1">
        <f t="array" aca="1" ref="I12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9" spans="1:9" x14ac:dyDescent="0.25">
      <c r="A1269" s="15">
        <f t="shared" si="19"/>
        <v>1268</v>
      </c>
      <c r="B1269" s="15" t="s">
        <v>473</v>
      </c>
      <c r="C1269" s="15" t="str" cm="1">
        <f t="array" ref="C1269">IFERROR(_xlfn.XLOOKUP(B1269, tblPeople[PersonID], tblPeople[PersonName], ""), "")</f>
        <v>Dickson Mzungu</v>
      </c>
      <c r="D1269" s="15" t="s">
        <v>17</v>
      </c>
      <c r="E1269" s="16" t="str">
        <f>IFERROR(_xlfn.XLOOKUP(D1269, tblCourses[CourseID], tblCourses[CourseName], ""), "")</f>
        <v>Safety Management Systems (Refresher)</v>
      </c>
      <c r="F1269" s="17">
        <v>46108</v>
      </c>
      <c r="G1269" s="17" cm="1">
        <f t="array" ref="G12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269" s="15">
        <f ca="1">IF(OR(tblTraining[[#This Row],[Status]]="Renewed",tblTraining[[#This Row],[NextDueDate]]=""),"",tblTraining[[#This Row],[NextDueDate]]-TODAY())</f>
        <v>553</v>
      </c>
      <c r="I1269" s="15" t="str" cm="1">
        <f t="array" aca="1" ref="I12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0" spans="1:9" x14ac:dyDescent="0.25">
      <c r="A1270" s="15">
        <f t="shared" si="19"/>
        <v>1269</v>
      </c>
      <c r="B1270" s="15" t="s">
        <v>474</v>
      </c>
      <c r="C1270" s="15" t="str" cm="1">
        <f t="array" ref="C1270">IFERROR(_xlfn.XLOOKUP(B1270, tblPeople[PersonID], tblPeople[PersonName], ""), "")</f>
        <v>Benard Kimiti</v>
      </c>
      <c r="D1270" s="15" t="s">
        <v>238</v>
      </c>
      <c r="E1270" s="16" t="str">
        <f>IFERROR(_xlfn.XLOOKUP(D1270, tblCourses[CourseID], tblCourses[CourseName], ""), "")</f>
        <v>Crew Resource Management (Initial)</v>
      </c>
      <c r="F1270" s="17">
        <v>46114</v>
      </c>
      <c r="G1270" s="17" t="str" cm="1">
        <f t="array" ref="G12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0" s="15" t="str">
        <f ca="1">IF(OR(tblTraining[[#This Row],[Status]]="Renewed",tblTraining[[#This Row],[NextDueDate]]=""),"",tblTraining[[#This Row],[NextDueDate]]-TODAY())</f>
        <v/>
      </c>
      <c r="I1270" s="15" t="str" cm="1">
        <f t="array" aca="1" ref="I12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1" spans="1:9" x14ac:dyDescent="0.25">
      <c r="A1271" s="15">
        <f t="shared" si="19"/>
        <v>1270</v>
      </c>
      <c r="B1271" s="15" t="s">
        <v>474</v>
      </c>
      <c r="C1271" s="15" t="str" cm="1">
        <f t="array" ref="C1271">IFERROR(_xlfn.XLOOKUP(B1271, tblPeople[PersonID], tblPeople[PersonName], ""), "")</f>
        <v>Benard Kimiti</v>
      </c>
      <c r="D1271" s="15" t="s">
        <v>237</v>
      </c>
      <c r="E1271" s="16" t="str">
        <f>IFERROR(_xlfn.XLOOKUP(D1271, tblCourses[CourseID], tblCourses[CourseName], ""), "")</f>
        <v>Crew Resource Management (Refresher)</v>
      </c>
      <c r="F1271" s="17">
        <v>46114</v>
      </c>
      <c r="G1271" s="17" cm="1">
        <f t="array" ref="G12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46845</v>
      </c>
      <c r="H1271" s="15">
        <f ca="1">IF(OR(tblTraining[[#This Row],[Status]]="Renewed",tblTraining[[#This Row],[NextDueDate]]=""),"",tblTraining[[#This Row],[NextDueDate]]-TODAY())</f>
        <v>559</v>
      </c>
      <c r="I1271" s="15" t="str" cm="1">
        <f t="array" aca="1" ref="I12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2" spans="1:9" x14ac:dyDescent="0.25">
      <c r="A1272" s="15">
        <f t="shared" si="19"/>
        <v>1271</v>
      </c>
      <c r="B1272" s="15" t="s">
        <v>474</v>
      </c>
      <c r="C1272" s="15" t="str" cm="1">
        <f t="array" ref="C1272">IFERROR(_xlfn.XLOOKUP(B1272, tblPeople[PersonID], tblPeople[PersonName], ""), "")</f>
        <v>Benard Kimiti</v>
      </c>
      <c r="D1272" s="15" t="s">
        <v>124</v>
      </c>
      <c r="E1272" s="16" t="str">
        <f>IFERROR(_xlfn.XLOOKUP(D1272, tblCourses[CourseID], tblCourses[CourseName], ""), "")</f>
        <v>Aviation Security (Initial)</v>
      </c>
      <c r="F1272" s="17">
        <v>46106</v>
      </c>
      <c r="G1272" s="17" t="str" cm="1">
        <f t="array" ref="G12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2" s="15" t="str">
        <f ca="1">IF(OR(tblTraining[[#This Row],[Status]]="Renewed",tblTraining[[#This Row],[NextDueDate]]=""),"",tblTraining[[#This Row],[NextDueDate]]-TODAY())</f>
        <v/>
      </c>
      <c r="I1272" s="15" t="str" cm="1">
        <f t="array" aca="1" ref="I12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3" spans="1:9" x14ac:dyDescent="0.25">
      <c r="A1273" s="15">
        <f t="shared" si="19"/>
        <v>1272</v>
      </c>
      <c r="B1273" s="15" t="s">
        <v>474</v>
      </c>
      <c r="C1273" s="15" t="str" cm="1">
        <f t="array" ref="C1273">IFERROR(_xlfn.XLOOKUP(B1273, tblPeople[PersonID], tblPeople[PersonName], ""), "")</f>
        <v>Benard Kimiti</v>
      </c>
      <c r="D1273" s="15" t="s">
        <v>125</v>
      </c>
      <c r="E1273" s="16" t="str">
        <f>IFERROR(_xlfn.XLOOKUP(D1273, tblCourses[CourseID], tblCourses[CourseName], ""), "")</f>
        <v>Aviation Security (Refresher)</v>
      </c>
      <c r="F1273" s="17">
        <v>46106</v>
      </c>
      <c r="G1273" s="17" cm="1">
        <f t="array" ref="G12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273" s="15">
        <f ca="1">IF(OR(tblTraining[[#This Row],[Status]]="Renewed",tblTraining[[#This Row],[NextDueDate]]=""),"",tblTraining[[#This Row],[NextDueDate]]-TODAY())</f>
        <v>551</v>
      </c>
      <c r="I1273" s="15" t="str" cm="1">
        <f t="array" aca="1" ref="I12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4" spans="1:9" x14ac:dyDescent="0.25">
      <c r="A1274" s="15">
        <f t="shared" si="19"/>
        <v>1273</v>
      </c>
      <c r="B1274" s="15" t="s">
        <v>474</v>
      </c>
      <c r="C1274" s="15" t="str" cm="1">
        <f t="array" ref="C1274">IFERROR(_xlfn.XLOOKUP(B1274, tblPeople[PersonID], tblPeople[PersonName], ""), "")</f>
        <v>Benard Kimiti</v>
      </c>
      <c r="D1274" s="15" t="s">
        <v>452</v>
      </c>
      <c r="E1274" s="16" t="str">
        <f>IFERROR(_xlfn.XLOOKUP(D1274, tblCourses[CourseID], tblCourses[CourseName], ""), "")</f>
        <v>Emergency Response Plan Awareness</v>
      </c>
      <c r="F1274" s="17">
        <v>46119</v>
      </c>
      <c r="G1274" s="17" cm="1">
        <f t="array" ref="G12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74" s="15">
        <f ca="1">IF(OR(tblTraining[[#This Row],[Status]]="Renewed",tblTraining[[#This Row],[NextDueDate]]=""),"",tblTraining[[#This Row],[NextDueDate]]-TODAY())</f>
        <v>564</v>
      </c>
      <c r="I1274" s="15" t="str" cm="1">
        <f t="array" aca="1" ref="I12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5" spans="1:9" x14ac:dyDescent="0.25">
      <c r="A1275" s="15">
        <f t="shared" si="19"/>
        <v>1274</v>
      </c>
      <c r="B1275" s="15" t="s">
        <v>474</v>
      </c>
      <c r="C1275" s="15" t="str" cm="1">
        <f t="array" ref="C1275">IFERROR(_xlfn.XLOOKUP(B1275, tblPeople[PersonID], tblPeople[PersonName], ""), "")</f>
        <v>Benard Kimiti</v>
      </c>
      <c r="D1275" s="15" t="s">
        <v>470</v>
      </c>
      <c r="E1275" s="16" t="str">
        <f>IFERROR(_xlfn.XLOOKUP(D1275, tblCourses[CourseID], tblCourses[CourseName], ""), "")</f>
        <v>Fire Safety Training</v>
      </c>
      <c r="F1275" s="17">
        <v>46112</v>
      </c>
      <c r="G1275" s="17" t="str" cm="1">
        <f t="array" ref="G12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5" s="15" t="str">
        <f ca="1">IF(OR(tblTraining[[#This Row],[Status]]="Renewed",tblTraining[[#This Row],[NextDueDate]]=""),"",tblTraining[[#This Row],[NextDueDate]]-TODAY())</f>
        <v/>
      </c>
      <c r="I1275" s="15" t="str" cm="1">
        <f t="array" aca="1" ref="I12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6" spans="1:9" x14ac:dyDescent="0.25">
      <c r="A1276" s="15">
        <f t="shared" si="19"/>
        <v>1275</v>
      </c>
      <c r="B1276" s="15" t="s">
        <v>474</v>
      </c>
      <c r="C1276" s="15" t="str" cm="1">
        <f t="array" ref="C1276">IFERROR(_xlfn.XLOOKUP(B1276, tblPeople[PersonID], tblPeople[PersonName], ""), "")</f>
        <v>Benard Kimiti</v>
      </c>
      <c r="D1276" s="15" t="s">
        <v>20</v>
      </c>
      <c r="E1276" s="16" t="str">
        <f>IFERROR(_xlfn.XLOOKUP(D1276, tblCourses[CourseID], tblCourses[CourseName], ""), "")</f>
        <v>Safety Management Systems (Initial)</v>
      </c>
      <c r="F1276" s="17">
        <v>46108</v>
      </c>
      <c r="G1276" s="17" t="str" cm="1">
        <f t="array" ref="G12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6" s="15" t="str">
        <f ca="1">IF(OR(tblTraining[[#This Row],[Status]]="Renewed",tblTraining[[#This Row],[NextDueDate]]=""),"",tblTraining[[#This Row],[NextDueDate]]-TODAY())</f>
        <v/>
      </c>
      <c r="I1276" s="15" t="str" cm="1">
        <f t="array" aca="1" ref="I12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7" spans="1:9" x14ac:dyDescent="0.25">
      <c r="A1277" s="15">
        <f t="shared" si="19"/>
        <v>1276</v>
      </c>
      <c r="B1277" s="15" t="s">
        <v>474</v>
      </c>
      <c r="C1277" s="15" t="str" cm="1">
        <f t="array" ref="C1277">IFERROR(_xlfn.XLOOKUP(B1277, tblPeople[PersonID], tblPeople[PersonName], ""), "")</f>
        <v>Benard Kimiti</v>
      </c>
      <c r="D1277" s="15" t="s">
        <v>17</v>
      </c>
      <c r="E1277" s="16" t="str">
        <f>IFERROR(_xlfn.XLOOKUP(D1277, tblCourses[CourseID], tblCourses[CourseName], ""), "")</f>
        <v>Safety Management Systems (Refresher)</v>
      </c>
      <c r="F1277" s="17">
        <v>46108</v>
      </c>
      <c r="G1277" s="17" cm="1">
        <f t="array" ref="G12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277" s="15">
        <f ca="1">IF(OR(tblTraining[[#This Row],[Status]]="Renewed",tblTraining[[#This Row],[NextDueDate]]=""),"",tblTraining[[#This Row],[NextDueDate]]-TODAY())</f>
        <v>553</v>
      </c>
      <c r="I1277" s="15" t="str" cm="1">
        <f t="array" aca="1" ref="I12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8" spans="1:9" x14ac:dyDescent="0.25">
      <c r="A1278" s="15">
        <f t="shared" si="19"/>
        <v>1277</v>
      </c>
      <c r="B1278" s="15" t="s">
        <v>274</v>
      </c>
      <c r="C1278" s="15" t="str" cm="1">
        <f t="array" ref="C1278">IFERROR(_xlfn.XLOOKUP(B1278, tblPeople[PersonID], tblPeople[PersonName], ""), "")</f>
        <v>Dorine Edna</v>
      </c>
      <c r="D1278" s="15" t="s">
        <v>238</v>
      </c>
      <c r="E1278" s="16" t="str">
        <f>IFERROR(_xlfn.XLOOKUP(D1278, tblCourses[CourseID], tblCourses[CourseName], ""), "")</f>
        <v>Crew Resource Management (Initial)</v>
      </c>
      <c r="F1278" s="17">
        <v>45958</v>
      </c>
      <c r="G1278" s="17" t="str" cm="1">
        <f t="array" ref="G12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8" s="15" t="str">
        <f ca="1">IF(OR(tblTraining[[#This Row],[Status]]="Renewed",tblTraining[[#This Row],[NextDueDate]]=""),"",tblTraining[[#This Row],[NextDueDate]]-TODAY())</f>
        <v/>
      </c>
      <c r="I1278" s="15" t="str" cm="1">
        <f t="array" aca="1" ref="I12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9" spans="1:9" x14ac:dyDescent="0.25">
      <c r="A1279" s="15">
        <f t="shared" si="19"/>
        <v>1278</v>
      </c>
      <c r="B1279" s="15" t="s">
        <v>274</v>
      </c>
      <c r="C1279" s="15" t="str" cm="1">
        <f t="array" ref="C1279">IFERROR(_xlfn.XLOOKUP(B1279, tblPeople[PersonID], tblPeople[PersonName], ""), "")</f>
        <v>Dorine Edna</v>
      </c>
      <c r="D1279" s="15" t="s">
        <v>237</v>
      </c>
      <c r="E1279" s="16" t="str">
        <f>IFERROR(_xlfn.XLOOKUP(D1279, tblCourses[CourseID], tblCourses[CourseName], ""), "")</f>
        <v>Crew Resource Management (Refresher)</v>
      </c>
      <c r="F1279" s="17">
        <v>45958</v>
      </c>
      <c r="G1279" s="17" cm="1">
        <f t="array" ref="G12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46688</v>
      </c>
      <c r="H1279" s="15">
        <f ca="1">IF(OR(tblTraining[[#This Row],[Status]]="Renewed",tblTraining[[#This Row],[NextDueDate]]=""),"",tblTraining[[#This Row],[NextDueDate]]-TODAY())</f>
        <v>402</v>
      </c>
      <c r="I1279" s="15" t="str" cm="1">
        <f t="array" aca="1" ref="I12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0" spans="1:9" x14ac:dyDescent="0.25">
      <c r="A1280" s="15">
        <f t="shared" si="19"/>
        <v>1279</v>
      </c>
      <c r="B1280" s="15" t="s">
        <v>217</v>
      </c>
      <c r="C1280" s="15" t="str" cm="1">
        <f t="array" ref="C1280">IFERROR(_xlfn.XLOOKUP(B1280, tblPeople[PersonID], tblPeople[PersonName], ""), "")</f>
        <v>Angeline Nthakyo</v>
      </c>
      <c r="D1280" s="15" t="s">
        <v>126</v>
      </c>
      <c r="E1280" s="16" t="str">
        <f>IFERROR(_xlfn.XLOOKUP(D1280, tblCourses[CourseID], tblCourses[CourseName], ""), "")</f>
        <v>Maintenance Indoctrination</v>
      </c>
      <c r="F1280" s="17">
        <v>45843</v>
      </c>
      <c r="G1280" s="17" t="str" cm="1">
        <f t="array" ref="G12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0" s="15" t="str">
        <f ca="1">IF(OR(tblTraining[[#This Row],[Status]]="Renewed",tblTraining[[#This Row],[NextDueDate]]=""),"",tblTraining[[#This Row],[NextDueDate]]-TODAY())</f>
        <v/>
      </c>
      <c r="I1280" s="15" t="str" cm="1">
        <f t="array" aca="1" ref="I12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1" spans="1:9" x14ac:dyDescent="0.25">
      <c r="A1281" s="15">
        <f t="shared" si="19"/>
        <v>1280</v>
      </c>
      <c r="B1281" s="15" t="s">
        <v>216</v>
      </c>
      <c r="C1281" s="15" t="str" cm="1">
        <f t="array" ref="C1281">IFERROR(_xlfn.XLOOKUP(B1281, tblPeople[PersonID], tblPeople[PersonName], ""), "")</f>
        <v>John Kihara</v>
      </c>
      <c r="D1281" s="15" t="s">
        <v>126</v>
      </c>
      <c r="E1281" s="16" t="str">
        <f>IFERROR(_xlfn.XLOOKUP(D1281, tblCourses[CourseID], tblCourses[CourseName], ""), "")</f>
        <v>Maintenance Indoctrination</v>
      </c>
      <c r="F1281" s="17">
        <v>45843</v>
      </c>
      <c r="G1281" s="17" t="str" cm="1">
        <f t="array" ref="G12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1" s="15" t="str">
        <f ca="1">IF(OR(tblTraining[[#This Row],[Status]]="Renewed",tblTraining[[#This Row],[NextDueDate]]=""),"",tblTraining[[#This Row],[NextDueDate]]-TODAY())</f>
        <v/>
      </c>
      <c r="I1281" s="15" t="str" cm="1">
        <f t="array" aca="1" ref="I12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2" spans="1:9" x14ac:dyDescent="0.25">
      <c r="A1282" s="15">
        <f t="shared" si="19"/>
        <v>1281</v>
      </c>
      <c r="B1282" s="15" t="s">
        <v>267</v>
      </c>
      <c r="C1282" s="15" t="str" cm="1">
        <f t="array" ref="C1282">IFERROR(_xlfn.XLOOKUP(B1282, tblPeople[PersonID], tblPeople[PersonName], ""), "")</f>
        <v>Romy Okello</v>
      </c>
      <c r="D1282" s="15" t="s">
        <v>126</v>
      </c>
      <c r="E1282" s="16" t="str">
        <f>IFERROR(_xlfn.XLOOKUP(D1282, tblCourses[CourseID], tblCourses[CourseName], ""), "")</f>
        <v>Maintenance Indoctrination</v>
      </c>
      <c r="F1282" s="17">
        <v>45843</v>
      </c>
      <c r="G1282" s="17" t="str" cm="1">
        <f t="array" ref="G12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2" s="15" t="str">
        <f ca="1">IF(OR(tblTraining[[#This Row],[Status]]="Renewed",tblTraining[[#This Row],[NextDueDate]]=""),"",tblTraining[[#This Row],[NextDueDate]]-TODAY())</f>
        <v/>
      </c>
      <c r="I1282" s="15" t="str" cm="1">
        <f t="array" aca="1" ref="I12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3" spans="1:9" x14ac:dyDescent="0.25">
      <c r="A1283" s="15">
        <f t="shared" si="19"/>
        <v>1282</v>
      </c>
      <c r="B1283" s="15" t="s">
        <v>475</v>
      </c>
      <c r="C1283" s="15" t="str" cm="1">
        <f t="array" ref="C1283">IFERROR(_xlfn.XLOOKUP(B1283, tblPeople[PersonID], tblPeople[PersonName], ""), "")</f>
        <v>Erick Peter</v>
      </c>
      <c r="D1283" s="15" t="s">
        <v>126</v>
      </c>
      <c r="E1283" s="16" t="str">
        <f>IFERROR(_xlfn.XLOOKUP(D1283, tblCourses[CourseID], tblCourses[CourseName], ""), "")</f>
        <v>Maintenance Indoctrination</v>
      </c>
      <c r="F1283" s="17">
        <v>45751</v>
      </c>
      <c r="G1283" s="17" t="str" cm="1">
        <f t="array" ref="G12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3" s="15" t="str">
        <f ca="1">IF(OR(tblTraining[[#This Row],[Status]]="Renewed",tblTraining[[#This Row],[NextDueDate]]=""),"",tblTraining[[#This Row],[NextDueDate]]-TODAY())</f>
        <v/>
      </c>
      <c r="I1283" s="15" t="str" cm="1">
        <f t="array" aca="1" ref="I12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4" spans="1:9" x14ac:dyDescent="0.25">
      <c r="A1284" s="15">
        <f t="shared" ref="A1284:A1347" si="20">A1283+1</f>
        <v>1283</v>
      </c>
      <c r="B1284" s="15" t="s">
        <v>475</v>
      </c>
      <c r="C1284" s="15" t="str" cm="1">
        <f t="array" ref="C1284">IFERROR(_xlfn.XLOOKUP(B1284, tblPeople[PersonID], tblPeople[PersonName], ""), "")</f>
        <v>Erick Peter</v>
      </c>
      <c r="D1284" s="15" t="s">
        <v>20</v>
      </c>
      <c r="E1284" s="16" t="str">
        <f>IFERROR(_xlfn.XLOOKUP(D1284, tblCourses[CourseID], tblCourses[CourseName], ""), "")</f>
        <v>Safety Management Systems (Initial)</v>
      </c>
      <c r="F1284" s="17">
        <v>45764</v>
      </c>
      <c r="G1284" s="17" t="str" cm="1">
        <f t="array" ref="G12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4" s="15" t="str">
        <f ca="1">IF(OR(tblTraining[[#This Row],[Status]]="Renewed",tblTraining[[#This Row],[NextDueDate]]=""),"",tblTraining[[#This Row],[NextDueDate]]-TODAY())</f>
        <v/>
      </c>
      <c r="I1284" s="15" t="str" cm="1">
        <f t="array" aca="1" ref="I12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5" spans="1:9" x14ac:dyDescent="0.25">
      <c r="A1285" s="15">
        <f t="shared" si="20"/>
        <v>1284</v>
      </c>
      <c r="B1285" s="15" t="s">
        <v>475</v>
      </c>
      <c r="C1285" s="15" t="str" cm="1">
        <f t="array" ref="C1285">IFERROR(_xlfn.XLOOKUP(B1285, tblPeople[PersonID], tblPeople[PersonName], ""), "")</f>
        <v>Erick Peter</v>
      </c>
      <c r="D1285" s="15" t="s">
        <v>17</v>
      </c>
      <c r="E1285" s="16" t="str">
        <f>IFERROR(_xlfn.XLOOKUP(D1285, tblCourses[CourseID], tblCourses[CourseName], ""), "")</f>
        <v>Safety Management Systems (Refresher)</v>
      </c>
      <c r="F1285" s="17">
        <v>45764</v>
      </c>
      <c r="G1285" s="17" cm="1">
        <f t="array" ref="G12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46494</v>
      </c>
      <c r="H1285" s="15">
        <f ca="1">IF(OR(tblTraining[[#This Row],[Status]]="Renewed",tblTraining[[#This Row],[NextDueDate]]=""),"",tblTraining[[#This Row],[NextDueDate]]-TODAY())</f>
        <v>208</v>
      </c>
      <c r="I1285" s="15" t="str" cm="1">
        <f t="array" aca="1" ref="I12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6" spans="1:9" x14ac:dyDescent="0.25">
      <c r="A1286" s="15">
        <f t="shared" si="20"/>
        <v>1285</v>
      </c>
      <c r="B1286" s="15" t="s">
        <v>475</v>
      </c>
      <c r="C1286" s="15" t="str" cm="1">
        <f t="array" ref="C1286">IFERROR(_xlfn.XLOOKUP(B1286, tblPeople[PersonID], tblPeople[PersonName], ""), "")</f>
        <v>Erick Peter</v>
      </c>
      <c r="D1286" s="15" t="s">
        <v>124</v>
      </c>
      <c r="E1286" s="16" t="str">
        <f>IFERROR(_xlfn.XLOOKUP(D1286, tblCourses[CourseID], tblCourses[CourseName], ""), "")</f>
        <v>Aviation Security (Initial)</v>
      </c>
      <c r="F1286" s="17">
        <v>46132</v>
      </c>
      <c r="G1286" s="17" t="str" cm="1">
        <f t="array" ref="G12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6" s="15" t="str">
        <f ca="1">IF(OR(tblTraining[[#This Row],[Status]]="Renewed",tblTraining[[#This Row],[NextDueDate]]=""),"",tblTraining[[#This Row],[NextDueDate]]-TODAY())</f>
        <v/>
      </c>
      <c r="I1286" s="15" t="str" cm="1">
        <f t="array" aca="1" ref="I12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7" spans="1:9" x14ac:dyDescent="0.25">
      <c r="A1287" s="15">
        <f t="shared" si="20"/>
        <v>1286</v>
      </c>
      <c r="B1287" s="15" t="s">
        <v>475</v>
      </c>
      <c r="C1287" s="15" t="str" cm="1">
        <f t="array" ref="C1287">IFERROR(_xlfn.XLOOKUP(B1287, tblPeople[PersonID], tblPeople[PersonName], ""), "")</f>
        <v>Erick Peter</v>
      </c>
      <c r="D1287" s="15" t="s">
        <v>125</v>
      </c>
      <c r="E1287" s="16" t="str">
        <f>IFERROR(_xlfn.XLOOKUP(D1287, tblCourses[CourseID], tblCourses[CourseName], ""), "")</f>
        <v>Aviation Security (Refresher)</v>
      </c>
      <c r="F1287" s="17">
        <v>46132</v>
      </c>
      <c r="G1287" s="17" cm="1">
        <f t="array" ref="G12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46863</v>
      </c>
      <c r="H1287" s="15">
        <f ca="1">IF(OR(tblTraining[[#This Row],[Status]]="Renewed",tblTraining[[#This Row],[NextDueDate]]=""),"",tblTraining[[#This Row],[NextDueDate]]-TODAY())</f>
        <v>577</v>
      </c>
      <c r="I1287" s="15" t="str" cm="1">
        <f t="array" aca="1" ref="I12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8" spans="1:9" x14ac:dyDescent="0.25">
      <c r="A1288" s="15">
        <f t="shared" si="20"/>
        <v>1287</v>
      </c>
      <c r="B1288" s="15" t="s">
        <v>85</v>
      </c>
      <c r="C1288" s="15" t="str" cm="1">
        <f t="array" ref="C1288">IFERROR(_xlfn.XLOOKUP(B1288, tblPeople[PersonID], tblPeople[PersonName], ""), "")</f>
        <v>Titus Shunza</v>
      </c>
      <c r="D1288" s="15" t="s">
        <v>75</v>
      </c>
      <c r="E1288" s="16" t="str">
        <f>IFERROR(_xlfn.XLOOKUP(D1288, tblCourses[CourseID], tblCourses[CourseName], ""), "")</f>
        <v>Fuel Tank Safety Phase 1 &amp; 2 Course (Refresher)</v>
      </c>
      <c r="F1288" s="17">
        <v>46119</v>
      </c>
      <c r="G1288" s="17" cm="1">
        <f t="array" ref="G12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88" s="15">
        <f ca="1">IF(OR(tblTraining[[#This Row],[Status]]="Renewed",tblTraining[[#This Row],[NextDueDate]]=""),"",tblTraining[[#This Row],[NextDueDate]]-TODAY())</f>
        <v>564</v>
      </c>
      <c r="I1288" s="15" t="str" cm="1">
        <f t="array" aca="1" ref="I12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9" spans="1:9" x14ac:dyDescent="0.25">
      <c r="A1289" s="15">
        <f t="shared" si="20"/>
        <v>1288</v>
      </c>
      <c r="B1289" s="15" t="s">
        <v>153</v>
      </c>
      <c r="C1289" s="15" t="str" cm="1">
        <f t="array" ref="C1289">IFERROR(_xlfn.XLOOKUP(B1289, tblPeople[PersonID], tblPeople[PersonName], ""), "")</f>
        <v>Majid Mohamed</v>
      </c>
      <c r="D1289" s="15" t="s">
        <v>75</v>
      </c>
      <c r="E1289" s="16" t="str">
        <f>IFERROR(_xlfn.XLOOKUP(D1289, tblCourses[CourseID], tblCourses[CourseName], ""), "")</f>
        <v>Fuel Tank Safety Phase 1 &amp; 2 Course (Refresher)</v>
      </c>
      <c r="F1289" s="17">
        <v>46104</v>
      </c>
      <c r="G1289" s="17" cm="1">
        <f t="array" ref="G12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46835</v>
      </c>
      <c r="H1289" s="15">
        <f ca="1">IF(OR(tblTraining[[#This Row],[Status]]="Renewed",tblTraining[[#This Row],[NextDueDate]]=""),"",tblTraining[[#This Row],[NextDueDate]]-TODAY())</f>
        <v>549</v>
      </c>
      <c r="I1289" s="15" t="str" cm="1">
        <f t="array" aca="1" ref="I12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0" spans="1:9" x14ac:dyDescent="0.25">
      <c r="A1290" s="15">
        <f t="shared" si="20"/>
        <v>1289</v>
      </c>
      <c r="B1290" s="15" t="s">
        <v>92</v>
      </c>
      <c r="C1290" s="15" t="str" cm="1">
        <f t="array" ref="C1290">IFERROR(_xlfn.XLOOKUP(B1290, tblPeople[PersonID], tblPeople[PersonName], ""), "")</f>
        <v>Reuben Otieno</v>
      </c>
      <c r="D1290" s="15" t="s">
        <v>75</v>
      </c>
      <c r="E1290" s="16" t="str">
        <f>IFERROR(_xlfn.XLOOKUP(D1290, tblCourses[CourseID], tblCourses[CourseName], ""), "")</f>
        <v>Fuel Tank Safety Phase 1 &amp; 2 Course (Refresher)</v>
      </c>
      <c r="F1290" s="17">
        <v>46159</v>
      </c>
      <c r="G1290" s="17" cm="1">
        <f t="array" ref="G12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46890</v>
      </c>
      <c r="H1290" s="15">
        <f ca="1">IF(OR(tblTraining[[#This Row],[Status]]="Renewed",tblTraining[[#This Row],[NextDueDate]]=""),"",tblTraining[[#This Row],[NextDueDate]]-TODAY())</f>
        <v>604</v>
      </c>
      <c r="I1290" s="15" t="str" cm="1">
        <f t="array" aca="1" ref="I12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1" spans="1:9" x14ac:dyDescent="0.25">
      <c r="A1291" s="15">
        <f t="shared" si="20"/>
        <v>1290</v>
      </c>
      <c r="B1291" s="15" t="s">
        <v>409</v>
      </c>
      <c r="C1291" s="15" t="str" cm="1">
        <f t="array" ref="C1291">IFERROR(_xlfn.XLOOKUP(B1291, tblPeople[PersonID], tblPeople[PersonName], ""), "")</f>
        <v>Venessa Ikileng'</v>
      </c>
      <c r="D1291" s="15" t="s">
        <v>22</v>
      </c>
      <c r="E1291" s="16" t="str">
        <f>IFERROR(_xlfn.XLOOKUP(D1291, tblCourses[CourseID], tblCourses[CourseName], ""), "")</f>
        <v>Human Factors in Aviation (Refresher)</v>
      </c>
      <c r="F1291" s="17">
        <v>46168</v>
      </c>
      <c r="G1291" s="17" cm="1">
        <f t="array" ref="G12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46899</v>
      </c>
      <c r="H1291" s="15">
        <f ca="1">IF(OR(tblTraining[[#This Row],[Status]]="Renewed",tblTraining[[#This Row],[NextDueDate]]=""),"",tblTraining[[#This Row],[NextDueDate]]-TODAY())</f>
        <v>613</v>
      </c>
      <c r="I1291" s="15" t="str" cm="1">
        <f t="array" aca="1" ref="I12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2" spans="1:9" x14ac:dyDescent="0.25">
      <c r="A1292" s="15">
        <f t="shared" si="20"/>
        <v>1291</v>
      </c>
      <c r="B1292" s="15" t="s">
        <v>445</v>
      </c>
      <c r="C1292" s="15" t="str" cm="1">
        <f t="array" ref="C1292">IFERROR(_xlfn.XLOOKUP(B1292, tblPeople[PersonID], tblPeople[PersonName], ""), "")</f>
        <v>Brian Muga</v>
      </c>
      <c r="D1292" s="15" t="s">
        <v>179</v>
      </c>
      <c r="E1292" s="16" t="str">
        <f>IFERROR(_xlfn.XLOOKUP(D1292, tblCourses[CourseID], tblCourses[CourseName], ""), "")</f>
        <v>Aircraft Maintenance Engineers' Licence</v>
      </c>
      <c r="F1292" s="17">
        <v>45975</v>
      </c>
      <c r="G1292" s="17" cm="1">
        <f t="array" ref="G12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46705</v>
      </c>
      <c r="H1292" s="15">
        <f ca="1">IF(OR(tblTraining[[#This Row],[Status]]="Renewed",tblTraining[[#This Row],[NextDueDate]]=""),"",tblTraining[[#This Row],[NextDueDate]]-TODAY())</f>
        <v>419</v>
      </c>
      <c r="I1292" s="15" t="str" cm="1">
        <f t="array" aca="1" ref="I12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3" spans="1:9" x14ac:dyDescent="0.25">
      <c r="A1293" s="15">
        <f t="shared" si="20"/>
        <v>1292</v>
      </c>
      <c r="B1293" s="15" t="s">
        <v>473</v>
      </c>
      <c r="C1293" s="15" t="str" cm="1">
        <f t="array" ref="C1293">IFERROR(_xlfn.XLOOKUP(B1293, tblPeople[PersonID], tblPeople[PersonName], ""), "")</f>
        <v>Dickson Mzungu</v>
      </c>
      <c r="D1293" s="15" t="s">
        <v>179</v>
      </c>
      <c r="E1293" s="16" t="str">
        <f>IFERROR(_xlfn.XLOOKUP(D1293, tblCourses[CourseID], tblCourses[CourseName], ""), "")</f>
        <v>Aircraft Maintenance Engineers' Licence</v>
      </c>
      <c r="F1293" s="17">
        <v>45496</v>
      </c>
      <c r="G1293" s="17" t="str" cm="1">
        <f t="array" ref="G12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3" s="15" t="str">
        <f ca="1">IF(OR(tblTraining[[#This Row],[Status]]="Renewed",tblTraining[[#This Row],[NextDueDate]]=""),"",tblTraining[[#This Row],[NextDueDate]]-TODAY())</f>
        <v/>
      </c>
      <c r="I1293" s="15" t="str" cm="1">
        <f t="array" aca="1" ref="I12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4" spans="1:9" x14ac:dyDescent="0.25">
      <c r="A1294" s="15">
        <f t="shared" si="20"/>
        <v>1293</v>
      </c>
      <c r="B1294" s="15" t="s">
        <v>473</v>
      </c>
      <c r="C1294" s="15" t="str" cm="1">
        <f t="array" ref="C1294">IFERROR(_xlfn.XLOOKUP(B1294, tblPeople[PersonID], tblPeople[PersonName], ""), "")</f>
        <v>Dickson Mzungu</v>
      </c>
      <c r="D1294" s="15" t="s">
        <v>389</v>
      </c>
      <c r="E1294" s="16" t="str">
        <f>IFERROR(_xlfn.XLOOKUP(D1294, tblCourses[CourseID], tblCourses[CourseName], ""), "")</f>
        <v>DHC-8-400 Series with PWC 150A Engines (Initial)</v>
      </c>
      <c r="F1294" s="17">
        <v>40137</v>
      </c>
      <c r="G1294" s="17" t="str" cm="1">
        <f t="array" ref="G12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4" s="15" t="str">
        <f ca="1">IF(OR(tblTraining[[#This Row],[Status]]="Renewed",tblTraining[[#This Row],[NextDueDate]]=""),"",tblTraining[[#This Row],[NextDueDate]]-TODAY())</f>
        <v/>
      </c>
      <c r="I1294" s="15" t="str" cm="1">
        <f t="array" aca="1" ref="I12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5" spans="1:9" x14ac:dyDescent="0.25">
      <c r="A1295" s="15">
        <f t="shared" si="20"/>
        <v>1294</v>
      </c>
      <c r="B1295" s="15" t="s">
        <v>473</v>
      </c>
      <c r="C1295" s="15" t="str" cm="1">
        <f t="array" ref="C1295">IFERROR(_xlfn.XLOOKUP(B1295, tblPeople[PersonID], tblPeople[PersonName], ""), "")</f>
        <v>Dickson Mzungu</v>
      </c>
      <c r="D1295" s="15" t="s">
        <v>390</v>
      </c>
      <c r="E1295" s="16" t="str">
        <f>IFERROR(_xlfn.XLOOKUP(D1295, tblCourses[CourseID], tblCourses[CourseName], ""), "")</f>
        <v>DHC-8-400 Series with PWC 150A Engines (Refresher)</v>
      </c>
      <c r="F1295" s="17">
        <v>42173</v>
      </c>
      <c r="G1295" s="17" cm="1">
        <f t="array" ref="G12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42904</v>
      </c>
      <c r="H1295" s="15">
        <f ca="1">IF(OR(tblTraining[[#This Row],[Status]]="Renewed",tblTraining[[#This Row],[NextDueDate]]=""),"",tblTraining[[#This Row],[NextDueDate]]-TODAY())</f>
        <v>-3382</v>
      </c>
      <c r="I1295" s="15" t="str" cm="1">
        <f t="array" aca="1" ref="I12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296" spans="1:9" x14ac:dyDescent="0.25">
      <c r="A1296" s="15">
        <f t="shared" si="20"/>
        <v>1295</v>
      </c>
      <c r="B1296" s="15" t="s">
        <v>473</v>
      </c>
      <c r="C1296" s="15" t="str" cm="1">
        <f t="array" ref="C1296">IFERROR(_xlfn.XLOOKUP(B1296, tblPeople[PersonID], tblPeople[PersonName], ""), "")</f>
        <v>Dickson Mzungu</v>
      </c>
      <c r="D1296" s="15" t="s">
        <v>17</v>
      </c>
      <c r="E1296" s="16" t="str">
        <f>IFERROR(_xlfn.XLOOKUP(D1296, tblCourses[CourseID], tblCourses[CourseName], ""), "")</f>
        <v>Safety Management Systems (Refresher)</v>
      </c>
      <c r="F1296" s="17">
        <v>43358</v>
      </c>
      <c r="G1296" s="17" t="str" cm="1">
        <f t="array" ref="G12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6" s="15" t="str">
        <f ca="1">IF(OR(tblTraining[[#This Row],[Status]]="Renewed",tblTraining[[#This Row],[NextDueDate]]=""),"",tblTraining[[#This Row],[NextDueDate]]-TODAY())</f>
        <v/>
      </c>
      <c r="I1296" s="15" t="str" cm="1">
        <f t="array" aca="1" ref="I12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7" spans="1:9" x14ac:dyDescent="0.25">
      <c r="A1297" s="15">
        <f t="shared" si="20"/>
        <v>1296</v>
      </c>
      <c r="B1297" s="15" t="s">
        <v>473</v>
      </c>
      <c r="C1297" s="15" t="str" cm="1">
        <f t="array" ref="C1297">IFERROR(_xlfn.XLOOKUP(B1297, tblPeople[PersonID], tblPeople[PersonName], ""), "")</f>
        <v>Dickson Mzungu</v>
      </c>
      <c r="D1297" s="15" t="s">
        <v>29</v>
      </c>
      <c r="E1297" s="16" t="str">
        <f>IFERROR(_xlfn.XLOOKUP(D1297, tblCourses[CourseID], tblCourses[CourseName], ""), "")</f>
        <v>DHC-8 100/200/300 with PWC 120/120A/121/123B/C/D/E Series Engines(Initial)</v>
      </c>
      <c r="F1297" s="17">
        <v>40067</v>
      </c>
      <c r="G1297" s="17" t="str" cm="1">
        <f t="array" ref="G12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7" s="15" t="str">
        <f ca="1">IF(OR(tblTraining[[#This Row],[Status]]="Renewed",tblTraining[[#This Row],[NextDueDate]]=""),"",tblTraining[[#This Row],[NextDueDate]]-TODAY())</f>
        <v/>
      </c>
      <c r="I1297" s="15" t="str" cm="1">
        <f t="array" aca="1" ref="I12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8" spans="1:9" x14ac:dyDescent="0.25">
      <c r="A1298" s="15">
        <f t="shared" si="20"/>
        <v>1297</v>
      </c>
      <c r="B1298" s="15" t="s">
        <v>473</v>
      </c>
      <c r="C1298" s="15" t="str" cm="1">
        <f t="array" ref="C1298">IFERROR(_xlfn.XLOOKUP(B1298, tblPeople[PersonID], tblPeople[PersonName], ""), "")</f>
        <v>Dickson Mzungu</v>
      </c>
      <c r="D1298" s="15" t="s">
        <v>28</v>
      </c>
      <c r="E1298" s="16" t="str">
        <f>IFERROR(_xlfn.XLOOKUP(D1298, tblCourses[CourseID], tblCourses[CourseName], ""), "")</f>
        <v>DHC-8 100/200/300 with PWC 120/120A/121/123B/C/D/E Series Engines(Refresher)</v>
      </c>
      <c r="F1298" s="17">
        <v>40067</v>
      </c>
      <c r="G1298" s="17" t="str" cm="1">
        <f t="array" ref="G12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8" s="15" t="str">
        <f ca="1">IF(OR(tblTraining[[#This Row],[Status]]="Renewed",tblTraining[[#This Row],[NextDueDate]]=""),"",tblTraining[[#This Row],[NextDueDate]]-TODAY())</f>
        <v/>
      </c>
      <c r="I1298" s="15" t="str" cm="1">
        <f t="array" aca="1" ref="I12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9" spans="1:9" x14ac:dyDescent="0.25">
      <c r="A1299" s="15">
        <f t="shared" si="20"/>
        <v>1298</v>
      </c>
      <c r="B1299" s="15" t="s">
        <v>473</v>
      </c>
      <c r="C1299" s="15" t="str" cm="1">
        <f t="array" ref="C1299">IFERROR(_xlfn.XLOOKUP(B1299, tblPeople[PersonID], tblPeople[PersonName], ""), "")</f>
        <v>Dickson Mzungu</v>
      </c>
      <c r="D1299" s="15" t="s">
        <v>28</v>
      </c>
      <c r="E1299" s="16" t="str">
        <f>IFERROR(_xlfn.XLOOKUP(D1299, tblCourses[CourseID], tblCourses[CourseName], ""), "")</f>
        <v>DHC-8 100/200/300 with PWC 120/120A/121/123B/C/D/E Series Engines(Refresher)</v>
      </c>
      <c r="F1299" s="17">
        <v>46129</v>
      </c>
      <c r="G1299" s="17" cm="1">
        <f t="array" ref="G12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299" s="15">
        <f ca="1">IF(OR(tblTraining[[#This Row],[Status]]="Renewed",tblTraining[[#This Row],[NextDueDate]]=""),"",tblTraining[[#This Row],[NextDueDate]]-TODAY())</f>
        <v>574</v>
      </c>
      <c r="I1299" s="15" t="str" cm="1">
        <f t="array" aca="1" ref="I12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0" spans="1:9" x14ac:dyDescent="0.25">
      <c r="A1300" s="15">
        <f t="shared" si="20"/>
        <v>1299</v>
      </c>
      <c r="B1300" s="15" t="s">
        <v>443</v>
      </c>
      <c r="C1300" s="15" t="str" cm="1">
        <f t="array" ref="C1300">IFERROR(_xlfn.XLOOKUP(B1300, tblPeople[PersonID], tblPeople[PersonName], ""), "")</f>
        <v>Alfred Okudo</v>
      </c>
      <c r="D1300" s="15" t="s">
        <v>27</v>
      </c>
      <c r="E1300" s="16" t="str">
        <f>IFERROR(_xlfn.XLOOKUP(D1300, tblCourses[CourseID], tblCourses[CourseName], ""), "")</f>
        <v>Pratt &amp; Whitney Canada PT6A Engine With P&amp;WC PT6A
20/ 27/ 41/ 42/ 60A/ 67D/ 112/ 114A/ 140 (Initial)</v>
      </c>
      <c r="F1300" s="17">
        <v>40391</v>
      </c>
      <c r="G1300" s="17" t="str" cm="1">
        <f t="array" ref="G13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0" s="15" t="str">
        <f ca="1">IF(OR(tblTraining[[#This Row],[Status]]="Renewed",tblTraining[[#This Row],[NextDueDate]]=""),"",tblTraining[[#This Row],[NextDueDate]]-TODAY())</f>
        <v/>
      </c>
      <c r="I1300" s="15" t="str" cm="1">
        <f t="array" aca="1" ref="I13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1" spans="1:9" x14ac:dyDescent="0.25">
      <c r="A1301" s="15">
        <f t="shared" si="20"/>
        <v>1300</v>
      </c>
      <c r="B1301" s="15" t="s">
        <v>443</v>
      </c>
      <c r="C1301" s="15" t="str" cm="1">
        <f t="array" ref="C1301">IFERROR(_xlfn.XLOOKUP(B1301, tblPeople[PersonID], tblPeople[PersonName], ""), "")</f>
        <v>Alfred Okudo</v>
      </c>
      <c r="D1301" s="15" t="s">
        <v>25</v>
      </c>
      <c r="E1301" s="16" t="str">
        <f>IFERROR(_xlfn.XLOOKUP(D1301, tblCourses[CourseID], tblCourses[CourseName], ""), "")</f>
        <v>Pratt &amp; Whitney Canada PT6A Engine With P&amp;WC PT6A
20/ 27/ 41/ 42/ 60A/ 67D/ 112/ 114A/ 140 (Refresher)</v>
      </c>
      <c r="F1301" s="17">
        <v>40391</v>
      </c>
      <c r="G1301" s="17" t="str" cm="1">
        <f t="array" ref="G13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1" s="15" t="str">
        <f ca="1">IF(OR(tblTraining[[#This Row],[Status]]="Renewed",tblTraining[[#This Row],[NextDueDate]]=""),"",tblTraining[[#This Row],[NextDueDate]]-TODAY())</f>
        <v/>
      </c>
      <c r="I1301" s="15" t="str" cm="1">
        <f t="array" aca="1" ref="I13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02" spans="1:9" x14ac:dyDescent="0.25">
      <c r="A1302" s="15">
        <f t="shared" si="20"/>
        <v>1301</v>
      </c>
      <c r="B1302" s="15" t="s">
        <v>443</v>
      </c>
      <c r="C1302" s="15" t="str" cm="1">
        <f t="array" ref="C1302">IFERROR(_xlfn.XLOOKUP(B1302, tblPeople[PersonID], tblPeople[PersonName], ""), "")</f>
        <v>Alfred Okudo</v>
      </c>
      <c r="D1302" s="15" t="s">
        <v>181</v>
      </c>
      <c r="E1302" s="16" t="str">
        <f>IFERROR(_xlfn.XLOOKUP(D1302, tblCourses[CourseID], tblCourses[CourseName], ""), "")</f>
        <v>Cessna 208 Series (Caravan) With P&amp;WC PT6A-114/ -114A/ -140 Engines (Initial)</v>
      </c>
      <c r="F1302" s="17">
        <v>42719</v>
      </c>
      <c r="G1302" s="17" t="str" cm="1">
        <f t="array" ref="G13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2" s="15" t="str">
        <f ca="1">IF(OR(tblTraining[[#This Row],[Status]]="Renewed",tblTraining[[#This Row],[NextDueDate]]=""),"",tblTraining[[#This Row],[NextDueDate]]-TODAY())</f>
        <v/>
      </c>
      <c r="I1302" s="15" t="str" cm="1">
        <f t="array" aca="1" ref="I13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3" spans="1:9" x14ac:dyDescent="0.25">
      <c r="A1303" s="15">
        <f t="shared" si="20"/>
        <v>1302</v>
      </c>
      <c r="B1303" s="15" t="s">
        <v>443</v>
      </c>
      <c r="C1303" s="15" t="str" cm="1">
        <f t="array" ref="C1303">IFERROR(_xlfn.XLOOKUP(B1303, tblPeople[PersonID], tblPeople[PersonName], ""), "")</f>
        <v>Alfred Okudo</v>
      </c>
      <c r="D1303" s="15" t="s">
        <v>25</v>
      </c>
      <c r="E1303" s="16" t="str">
        <f>IFERROR(_xlfn.XLOOKUP(D1303, tblCourses[CourseID], tblCourses[CourseName], ""), "")</f>
        <v>Pratt &amp; Whitney Canada PT6A Engine With P&amp;WC PT6A
20/ 27/ 41/ 42/ 60A/ 67D/ 112/ 114A/ 140 (Refresher)</v>
      </c>
      <c r="F1303" s="17">
        <v>42661</v>
      </c>
      <c r="G1303" s="17" cm="1">
        <f t="array" ref="G13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43391</v>
      </c>
      <c r="H1303" s="15">
        <f ca="1">IF(OR(tblTraining[[#This Row],[Status]]="Renewed",tblTraining[[#This Row],[NextDueDate]]=""),"",tblTraining[[#This Row],[NextDueDate]]-TODAY())</f>
        <v>-2895</v>
      </c>
      <c r="I1303" s="15" t="str" cm="1">
        <f t="array" aca="1" ref="I13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304" spans="1:9" x14ac:dyDescent="0.25">
      <c r="A1304" s="15">
        <f t="shared" si="20"/>
        <v>1303</v>
      </c>
      <c r="B1304" s="15" t="s">
        <v>443</v>
      </c>
      <c r="C1304" s="15" t="str" cm="1">
        <f t="array" ref="C1304">IFERROR(_xlfn.XLOOKUP(B1304, tblPeople[PersonID], tblPeople[PersonName], ""), "")</f>
        <v>Alfred Okudo</v>
      </c>
      <c r="D1304" s="15" t="s">
        <v>225</v>
      </c>
      <c r="E1304" s="16" t="str">
        <f>IFERROR(_xlfn.XLOOKUP(D1304, tblCourses[CourseID], tblCourses[CourseName], ""), "")</f>
        <v>Quality Management Systems (Initial)</v>
      </c>
      <c r="F1304" s="17">
        <v>45786</v>
      </c>
      <c r="G1304" s="17" t="str" cm="1">
        <f t="array" ref="G13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4" s="15" t="str">
        <f ca="1">IF(OR(tblTraining[[#This Row],[Status]]="Renewed",tblTraining[[#This Row],[NextDueDate]]=""),"",tblTraining[[#This Row],[NextDueDate]]-TODAY())</f>
        <v/>
      </c>
      <c r="I1304" s="15" t="str" cm="1">
        <f t="array" aca="1" ref="I13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5" spans="1:9" x14ac:dyDescent="0.25">
      <c r="A1305" s="15">
        <f t="shared" si="20"/>
        <v>1304</v>
      </c>
      <c r="B1305" s="15" t="s">
        <v>443</v>
      </c>
      <c r="C1305" s="15" t="str" cm="1">
        <f t="array" ref="C1305">IFERROR(_xlfn.XLOOKUP(B1305, tblPeople[PersonID], tblPeople[PersonName], ""), "")</f>
        <v>Alfred Okudo</v>
      </c>
      <c r="D1305" s="15" t="s">
        <v>173</v>
      </c>
      <c r="E1305" s="16" t="str">
        <f>IFERROR(_xlfn.XLOOKUP(D1305, tblCourses[CourseID], tblCourses[CourseName], ""), "")</f>
        <v>Quality Management Systems</v>
      </c>
      <c r="F1305" s="17">
        <v>45786</v>
      </c>
      <c r="G1305" s="17" cm="1">
        <f t="array" ref="G13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46882</v>
      </c>
      <c r="H1305" s="15">
        <f ca="1">IF(OR(tblTraining[[#This Row],[Status]]="Renewed",tblTraining[[#This Row],[NextDueDate]]=""),"",tblTraining[[#This Row],[NextDueDate]]-TODAY())</f>
        <v>596</v>
      </c>
      <c r="I1305" s="15" t="str" cm="1">
        <f t="array" aca="1" ref="I13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6" spans="1:9" x14ac:dyDescent="0.25">
      <c r="A1306" s="15">
        <f t="shared" si="20"/>
        <v>1305</v>
      </c>
      <c r="B1306" s="15" t="s">
        <v>443</v>
      </c>
      <c r="C1306" s="15" t="str" cm="1">
        <f t="array" ref="C1306">IFERROR(_xlfn.XLOOKUP(B1306, tblPeople[PersonID], tblPeople[PersonName], ""), "")</f>
        <v>Alfred Okudo</v>
      </c>
      <c r="D1306" s="15" t="s">
        <v>33</v>
      </c>
      <c r="E1306" s="16" t="str">
        <f>IFERROR(_xlfn.XLOOKUP(D1306, tblCourses[CourseID], tblCourses[CourseName], ""), "")</f>
        <v>Audit Techniques</v>
      </c>
      <c r="F1306" s="17">
        <v>45799</v>
      </c>
      <c r="G1306" s="17" t="str" cm="1">
        <f t="array" ref="G13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6" s="15" t="str">
        <f ca="1">IF(OR(tblTraining[[#This Row],[Status]]="Renewed",tblTraining[[#This Row],[NextDueDate]]=""),"",tblTraining[[#This Row],[NextDueDate]]-TODAY())</f>
        <v/>
      </c>
      <c r="I1306" s="15" t="str" cm="1">
        <f t="array" aca="1" ref="I13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7" spans="1:9" x14ac:dyDescent="0.25">
      <c r="A1307" s="15">
        <f t="shared" si="20"/>
        <v>1306</v>
      </c>
      <c r="B1307" s="15" t="s">
        <v>443</v>
      </c>
      <c r="C1307" s="15" t="str" cm="1">
        <f t="array" ref="C1307">IFERROR(_xlfn.XLOOKUP(B1307, tblPeople[PersonID], tblPeople[PersonName], ""), "")</f>
        <v>Alfred Okudo</v>
      </c>
      <c r="D1307" s="15" t="s">
        <v>486</v>
      </c>
      <c r="E1307" s="16" t="str">
        <f>IFERROR(_xlfn.XLOOKUP(D1307, tblCourses[CourseID], tblCourses[CourseName], ""), "")</f>
        <v>Aircraft Maintenance Engineers' Licence</v>
      </c>
      <c r="F1307" s="17">
        <v>40560</v>
      </c>
      <c r="G1307" s="17" cm="1">
        <f t="array" ref="G13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46769</v>
      </c>
      <c r="H1307" s="15">
        <f ca="1">IF(OR(tblTraining[[#This Row],[Status]]="Renewed",tblTraining[[#This Row],[NextDueDate]]=""),"",tblTraining[[#This Row],[NextDueDate]]-TODAY())</f>
        <v>483</v>
      </c>
      <c r="I1307" s="15" t="str" cm="1">
        <f t="array" aca="1" ref="I13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8" spans="1:9" x14ac:dyDescent="0.25">
      <c r="A1308" s="15">
        <f t="shared" si="20"/>
        <v>1307</v>
      </c>
      <c r="B1308" s="15" t="s">
        <v>443</v>
      </c>
      <c r="C1308" s="15" t="str" cm="1">
        <f t="array" ref="C1308">IFERROR(_xlfn.XLOOKUP(B1308, tblPeople[PersonID], tblPeople[PersonName], ""), "")</f>
        <v>Alfred Okudo</v>
      </c>
      <c r="D1308" s="15" t="s">
        <v>487</v>
      </c>
      <c r="E1308" s="16" t="str">
        <f>IFERROR(_xlfn.XLOOKUP(D1308, tblCourses[CourseID], tblCourses[CourseName], ""), "")</f>
        <v>Aircraft Maintenance Engineers' Licence</v>
      </c>
      <c r="F1308" s="17">
        <v>45439</v>
      </c>
      <c r="G1308" s="17" cm="1">
        <f t="array" ref="G13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47265</v>
      </c>
      <c r="H1308" s="15">
        <f ca="1">IF(OR(tblTraining[[#This Row],[Status]]="Renewed",tblTraining[[#This Row],[NextDueDate]]=""),"",tblTraining[[#This Row],[NextDueDate]]-TODAY())</f>
        <v>979</v>
      </c>
      <c r="I1308" s="15" t="str" cm="1">
        <f t="array" aca="1" ref="I13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9" spans="1:9" x14ac:dyDescent="0.25">
      <c r="A1309" s="15">
        <f t="shared" si="20"/>
        <v>1308</v>
      </c>
      <c r="B1309" s="15" t="s">
        <v>442</v>
      </c>
      <c r="C1309" s="15" t="str" cm="1">
        <f t="array" ref="C1309">IFERROR(_xlfn.XLOOKUP(B1309, tblPeople[PersonID], tblPeople[PersonName], ""), "")</f>
        <v>Mary Chelagat</v>
      </c>
      <c r="D1309" s="15" t="s">
        <v>27</v>
      </c>
      <c r="E1309" s="16" t="str">
        <f>IFERROR(_xlfn.XLOOKUP(D1309, tblCourses[CourseID], tblCourses[CourseName], ""), "")</f>
        <v>Pratt &amp; Whitney Canada PT6A Engine With P&amp;WC PT6A
20/ 27/ 41/ 42/ 60A/ 67D/ 112/ 114A/ 140 (Initial)</v>
      </c>
      <c r="F1309" s="17">
        <v>44463</v>
      </c>
      <c r="G1309" s="17" t="str" cm="1">
        <f t="array" ref="G13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9" s="15" t="str">
        <f ca="1">IF(OR(tblTraining[[#This Row],[Status]]="Renewed",tblTraining[[#This Row],[NextDueDate]]=""),"",tblTraining[[#This Row],[NextDueDate]]-TODAY())</f>
        <v/>
      </c>
      <c r="I1309" s="15" t="str" cm="1">
        <f t="array" aca="1" ref="I13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0" spans="1:9" x14ac:dyDescent="0.25">
      <c r="A1310" s="15">
        <f t="shared" si="20"/>
        <v>1309</v>
      </c>
      <c r="B1310" s="15" t="s">
        <v>442</v>
      </c>
      <c r="C1310" s="15" t="str" cm="1">
        <f t="array" ref="C1310">IFERROR(_xlfn.XLOOKUP(B1310, tblPeople[PersonID], tblPeople[PersonName], ""), "")</f>
        <v>Mary Chelagat</v>
      </c>
      <c r="D1310" s="15" t="s">
        <v>25</v>
      </c>
      <c r="E1310" s="16" t="str">
        <f>IFERROR(_xlfn.XLOOKUP(D1310, tblCourses[CourseID], tblCourses[CourseName], ""), "")</f>
        <v>Pratt &amp; Whitney Canada PT6A Engine With P&amp;WC PT6A
20/ 27/ 41/ 42/ 60A/ 67D/ 112/ 114A/ 140 (Refresher)</v>
      </c>
      <c r="F1310" s="17">
        <v>44463</v>
      </c>
      <c r="G1310" s="17" t="str" cm="1">
        <f t="array" ref="G13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0" s="15" t="str">
        <f ca="1">IF(OR(tblTraining[[#This Row],[Status]]="Renewed",tblTraining[[#This Row],[NextDueDate]]=""),"",tblTraining[[#This Row],[NextDueDate]]-TODAY())</f>
        <v/>
      </c>
      <c r="I1310" s="15" t="str" cm="1">
        <f t="array" aca="1" ref="I13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1" spans="1:9" x14ac:dyDescent="0.25">
      <c r="A1311" s="15">
        <f t="shared" si="20"/>
        <v>1310</v>
      </c>
      <c r="B1311" s="15" t="s">
        <v>442</v>
      </c>
      <c r="C1311" s="15" t="str" cm="1">
        <f t="array" ref="C1311">IFERROR(_xlfn.XLOOKUP(B1311, tblPeople[PersonID], tblPeople[PersonName], ""), "")</f>
        <v>Mary Chelagat</v>
      </c>
      <c r="D1311" s="15" t="s">
        <v>25</v>
      </c>
      <c r="E1311" s="16" t="str">
        <f>IFERROR(_xlfn.XLOOKUP(D1311, tblCourses[CourseID], tblCourses[CourseName], ""), "")</f>
        <v>Pratt &amp; Whitney Canada PT6A Engine With P&amp;WC PT6A
20/ 27/ 41/ 42/ 60A/ 67D/ 112/ 114A/ 140 (Refresher)</v>
      </c>
      <c r="F1311" s="17">
        <v>45195</v>
      </c>
      <c r="G1311" s="17" t="str" cm="1">
        <f t="array" ref="G13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1" s="15" t="str">
        <f ca="1">IF(OR(tblTraining[[#This Row],[Status]]="Renewed",tblTraining[[#This Row],[NextDueDate]]=""),"",tblTraining[[#This Row],[NextDueDate]]-TODAY())</f>
        <v/>
      </c>
      <c r="I1311" s="15" t="str" cm="1">
        <f t="array" aca="1" ref="I13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2" spans="1:9" x14ac:dyDescent="0.25">
      <c r="A1312" s="15">
        <f t="shared" si="20"/>
        <v>1311</v>
      </c>
      <c r="B1312" s="15" t="s">
        <v>442</v>
      </c>
      <c r="C1312" s="15" t="str" cm="1">
        <f t="array" ref="C1312">IFERROR(_xlfn.XLOOKUP(B1312, tblPeople[PersonID], tblPeople[PersonName], ""), "")</f>
        <v>Mary Chelagat</v>
      </c>
      <c r="D1312" s="15" t="s">
        <v>181</v>
      </c>
      <c r="E1312" s="16" t="str">
        <f>IFERROR(_xlfn.XLOOKUP(D1312, tblCourses[CourseID], tblCourses[CourseName], ""), "")</f>
        <v>Cessna 208 Series (Caravan) With P&amp;WC PT6A-114/ -114A/ -140 Engines (Initial)</v>
      </c>
      <c r="F1312" s="17">
        <v>43865</v>
      </c>
      <c r="G1312" s="17" t="str" cm="1">
        <f t="array" ref="G13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2" s="15" t="str">
        <f ca="1">IF(OR(tblTraining[[#This Row],[Status]]="Renewed",tblTraining[[#This Row],[NextDueDate]]=""),"",tblTraining[[#This Row],[NextDueDate]]-TODAY())</f>
        <v/>
      </c>
      <c r="I1312" s="15" t="str" cm="1">
        <f t="array" aca="1" ref="I13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3" spans="1:9" x14ac:dyDescent="0.25">
      <c r="A1313" s="15">
        <f t="shared" si="20"/>
        <v>1312</v>
      </c>
      <c r="B1313" s="15" t="s">
        <v>442</v>
      </c>
      <c r="C1313" s="15" t="str" cm="1">
        <f t="array" ref="C1313">IFERROR(_xlfn.XLOOKUP(B1313, tblPeople[PersonID], tblPeople[PersonName], ""), "")</f>
        <v>Mary Chelagat</v>
      </c>
      <c r="D1313" s="15" t="s">
        <v>182</v>
      </c>
      <c r="E1313" s="16" t="str">
        <f>IFERROR(_xlfn.XLOOKUP(D1313, tblCourses[CourseID], tblCourses[CourseName], ""), "")</f>
        <v>Cessna 208 Series (Caravan) With P&amp;WC PT6A-114/ -114A/ -140 Engines (Refresher)</v>
      </c>
      <c r="F1313" s="17">
        <v>43865</v>
      </c>
      <c r="G1313" s="17" t="str" cm="1">
        <f t="array" ref="G13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3" s="15" t="str">
        <f ca="1">IF(OR(tblTraining[[#This Row],[Status]]="Renewed",tblTraining[[#This Row],[NextDueDate]]=""),"",tblTraining[[#This Row],[NextDueDate]]-TODAY())</f>
        <v/>
      </c>
      <c r="I1313" s="15" t="str" cm="1">
        <f t="array" aca="1" ref="I13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4" spans="1:9" x14ac:dyDescent="0.25">
      <c r="A1314" s="15">
        <f t="shared" si="20"/>
        <v>1313</v>
      </c>
      <c r="B1314" s="15" t="s">
        <v>442</v>
      </c>
      <c r="C1314" s="15" t="str" cm="1">
        <f t="array" ref="C1314">IFERROR(_xlfn.XLOOKUP(B1314, tblPeople[PersonID], tblPeople[PersonName], ""), "")</f>
        <v>Mary Chelagat</v>
      </c>
      <c r="D1314" s="15" t="s">
        <v>182</v>
      </c>
      <c r="E1314" s="16" t="str">
        <f>IFERROR(_xlfn.XLOOKUP(D1314, tblCourses[CourseID], tblCourses[CourseName], ""), "")</f>
        <v>Cessna 208 Series (Caravan) With P&amp;WC PT6A-114/ -114A/ -140 Engines (Refresher)</v>
      </c>
      <c r="F1314" s="17">
        <v>45343</v>
      </c>
      <c r="G1314" s="17" t="str" cm="1">
        <f t="array" ref="G13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4" s="15" t="str">
        <f ca="1">IF(OR(tblTraining[[#This Row],[Status]]="Renewed",tblTraining[[#This Row],[NextDueDate]]=""),"",tblTraining[[#This Row],[NextDueDate]]-TODAY())</f>
        <v/>
      </c>
      <c r="I1314" s="15" t="str" cm="1">
        <f t="array" aca="1" ref="I13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5" spans="1:9" x14ac:dyDescent="0.25">
      <c r="A1315" s="15">
        <f t="shared" si="20"/>
        <v>1314</v>
      </c>
      <c r="B1315" s="15" t="s">
        <v>442</v>
      </c>
      <c r="C1315" s="15" t="str" cm="1">
        <f t="array" ref="C1315">IFERROR(_xlfn.XLOOKUP(B1315, tblPeople[PersonID], tblPeople[PersonName], ""), "")</f>
        <v>Mary Chelagat</v>
      </c>
      <c r="D1315" s="15" t="s">
        <v>182</v>
      </c>
      <c r="E1315" s="16" t="str">
        <f>IFERROR(_xlfn.XLOOKUP(D1315, tblCourses[CourseID], tblCourses[CourseName], ""), "")</f>
        <v>Cessna 208 Series (Caravan) With P&amp;WC PT6A-114/ -114A/ -140 Engines (Refresher)</v>
      </c>
      <c r="F1315" s="17">
        <v>44596</v>
      </c>
      <c r="G1315" s="17" t="str" cm="1">
        <f t="array" ref="G13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5" s="15" t="str">
        <f ca="1">IF(OR(tblTraining[[#This Row],[Status]]="Renewed",tblTraining[[#This Row],[NextDueDate]]=""),"",tblTraining[[#This Row],[NextDueDate]]-TODAY())</f>
        <v/>
      </c>
      <c r="I1315" s="15" t="str" cm="1">
        <f t="array" aca="1" ref="I13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6" spans="1:9" x14ac:dyDescent="0.25">
      <c r="A1316" s="15">
        <f t="shared" si="20"/>
        <v>1315</v>
      </c>
      <c r="B1316" s="15" t="s">
        <v>442</v>
      </c>
      <c r="C1316" s="15" t="str" cm="1">
        <f t="array" ref="C1316">IFERROR(_xlfn.XLOOKUP(B1316, tblPeople[PersonID], tblPeople[PersonName], ""), "")</f>
        <v>Mary Chelagat</v>
      </c>
      <c r="D1316" s="15" t="s">
        <v>28</v>
      </c>
      <c r="E1316" s="16" t="str">
        <f>IFERROR(_xlfn.XLOOKUP(D1316, tblCourses[CourseID], tblCourses[CourseName], ""), "")</f>
        <v>DHC-8 100/200/300 with PWC 120/120A/121/123B/C/D/E Series Engines(Refresher)</v>
      </c>
      <c r="F1316" s="17">
        <v>45009</v>
      </c>
      <c r="G1316" s="17" t="str" cm="1">
        <f t="array" ref="G13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6" s="15" t="str">
        <f ca="1">IF(OR(tblTraining[[#This Row],[Status]]="Renewed",tblTraining[[#This Row],[NextDueDate]]=""),"",tblTraining[[#This Row],[NextDueDate]]-TODAY())</f>
        <v/>
      </c>
      <c r="I1316" s="15" t="str" cm="1">
        <f t="array" aca="1" ref="I13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7" spans="1:9" x14ac:dyDescent="0.25">
      <c r="A1317" s="15">
        <f t="shared" si="20"/>
        <v>1316</v>
      </c>
      <c r="B1317" s="15" t="s">
        <v>442</v>
      </c>
      <c r="C1317" s="15" t="str" cm="1">
        <f t="array" ref="C1317">IFERROR(_xlfn.XLOOKUP(B1317, tblPeople[PersonID], tblPeople[PersonName], ""), "")</f>
        <v>Mary Chelagat</v>
      </c>
      <c r="D1317" s="15" t="s">
        <v>76</v>
      </c>
      <c r="E1317" s="16" t="str">
        <f>IFERROR(_xlfn.XLOOKUP(D1317, tblCourses[CourseID], tblCourses[CourseName], ""), "")</f>
        <v>Fuel Tank Safety Phase 1 &amp; 2 Course (Initial)</v>
      </c>
      <c r="F1317" s="17">
        <v>44639</v>
      </c>
      <c r="G1317" s="17" t="str" cm="1">
        <f t="array" ref="G13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7" s="15" t="str">
        <f ca="1">IF(OR(tblTraining[[#This Row],[Status]]="Renewed",tblTraining[[#This Row],[NextDueDate]]=""),"",tblTraining[[#This Row],[NextDueDate]]-TODAY())</f>
        <v/>
      </c>
      <c r="I1317" s="15" t="str" cm="1">
        <f t="array" aca="1" ref="I13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8" spans="1:9" x14ac:dyDescent="0.25">
      <c r="A1318" s="15">
        <f t="shared" si="20"/>
        <v>1317</v>
      </c>
      <c r="B1318" s="15" t="s">
        <v>442</v>
      </c>
      <c r="C1318" s="15" t="str" cm="1">
        <f t="array" ref="C1318">IFERROR(_xlfn.XLOOKUP(B1318, tblPeople[PersonID], tblPeople[PersonName], ""), "")</f>
        <v>Mary Chelagat</v>
      </c>
      <c r="D1318" s="15" t="s">
        <v>75</v>
      </c>
      <c r="E1318" s="16" t="str">
        <f>IFERROR(_xlfn.XLOOKUP(D1318, tblCourses[CourseID], tblCourses[CourseName], ""), "")</f>
        <v>Fuel Tank Safety Phase 1 &amp; 2 Course (Refresher)</v>
      </c>
      <c r="F1318" s="17">
        <v>44639</v>
      </c>
      <c r="G1318" s="17" t="str" cm="1">
        <f t="array" ref="G13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8" s="15" t="str">
        <f ca="1">IF(OR(tblTraining[[#This Row],[Status]]="Renewed",tblTraining[[#This Row],[NextDueDate]]=""),"",tblTraining[[#This Row],[NextDueDate]]-TODAY())</f>
        <v/>
      </c>
      <c r="I1318" s="15" t="str" cm="1">
        <f t="array" aca="1" ref="I13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9" spans="1:9" x14ac:dyDescent="0.25">
      <c r="A1319" s="15">
        <f t="shared" si="20"/>
        <v>1318</v>
      </c>
      <c r="B1319" s="15" t="s">
        <v>442</v>
      </c>
      <c r="C1319" s="15" t="str" cm="1">
        <f t="array" ref="C1319">IFERROR(_xlfn.XLOOKUP(B1319, tblPeople[PersonID], tblPeople[PersonName], ""), "")</f>
        <v>Mary Chelagat</v>
      </c>
      <c r="D1319" s="15" t="s">
        <v>78</v>
      </c>
      <c r="E1319" s="16" t="str">
        <f>IFERROR(_xlfn.XLOOKUP(D1319, tblCourses[CourseID], tblCourses[CourseName], ""), "")</f>
        <v>DHC8 -100/-200/-300 Collins Wheels &amp; Brakes Familiarization Training (Initial)</v>
      </c>
      <c r="F1319" s="17">
        <v>44392</v>
      </c>
      <c r="G1319" s="17" t="str" cm="1">
        <f t="array" ref="G13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9" s="15" t="str">
        <f ca="1">IF(OR(tblTraining[[#This Row],[Status]]="Renewed",tblTraining[[#This Row],[NextDueDate]]=""),"",tblTraining[[#This Row],[NextDueDate]]-TODAY())</f>
        <v/>
      </c>
      <c r="I1319" s="15" t="str" cm="1">
        <f t="array" aca="1" ref="I13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0" spans="1:9" x14ac:dyDescent="0.25">
      <c r="A1320" s="15">
        <f t="shared" si="20"/>
        <v>1319</v>
      </c>
      <c r="B1320" s="15" t="s">
        <v>442</v>
      </c>
      <c r="C1320" s="15" t="str" cm="1">
        <f t="array" ref="C1320">IFERROR(_xlfn.XLOOKUP(B1320, tblPeople[PersonID], tblPeople[PersonName], ""), "")</f>
        <v>Mary Chelagat</v>
      </c>
      <c r="D1320" s="15" t="s">
        <v>77</v>
      </c>
      <c r="E1320" s="16" t="str">
        <f>IFERROR(_xlfn.XLOOKUP(D1320, tblCourses[CourseID], tblCourses[CourseName], ""), "")</f>
        <v>DHC8 -100/-200/-300 Collins Wheels &amp; Brakes Familiarization Training (Refresher)</v>
      </c>
      <c r="F1320" s="17">
        <v>44392</v>
      </c>
      <c r="G1320" s="17" t="str" cm="1">
        <f t="array" ref="G13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0" s="15" t="str">
        <f ca="1">IF(OR(tblTraining[[#This Row],[Status]]="Renewed",tblTraining[[#This Row],[NextDueDate]]=""),"",tblTraining[[#This Row],[NextDueDate]]-TODAY())</f>
        <v/>
      </c>
      <c r="I1320" s="15" t="str" cm="1">
        <f t="array" aca="1" ref="I13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21" spans="1:9" x14ac:dyDescent="0.25">
      <c r="A1321" s="15">
        <f t="shared" si="20"/>
        <v>1320</v>
      </c>
      <c r="B1321" s="15" t="s">
        <v>210</v>
      </c>
      <c r="C1321" s="15" t="str" cm="1">
        <f t="array" ref="C1321">IFERROR(_xlfn.XLOOKUP(B1321, tblPeople[PersonID], tblPeople[PersonName], ""), "")</f>
        <v>Andrew Ondiek</v>
      </c>
      <c r="D1321" s="15" t="s">
        <v>181</v>
      </c>
      <c r="E1321" s="16" t="str">
        <f>IFERROR(_xlfn.XLOOKUP(D1321, tblCourses[CourseID], tblCourses[CourseName], ""), "")</f>
        <v>Cessna 208 Series (Caravan) With P&amp;WC PT6A-114/ -114A/ -140 Engines (Initial)</v>
      </c>
      <c r="F1321" s="17">
        <v>45590</v>
      </c>
      <c r="G1321" s="17" t="str" cm="1">
        <f t="array" ref="G13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1" s="15" t="str">
        <f ca="1">IF(OR(tblTraining[[#This Row],[Status]]="Renewed",tblTraining[[#This Row],[NextDueDate]]=""),"",tblTraining[[#This Row],[NextDueDate]]-TODAY())</f>
        <v/>
      </c>
      <c r="I1321" s="15" t="str" cm="1">
        <f t="array" aca="1" ref="I13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2" spans="1:9" x14ac:dyDescent="0.25">
      <c r="A1322" s="15">
        <f t="shared" si="20"/>
        <v>1321</v>
      </c>
      <c r="B1322" s="15" t="s">
        <v>210</v>
      </c>
      <c r="C1322" s="15" t="str" cm="1">
        <f t="array" ref="C1322">IFERROR(_xlfn.XLOOKUP(B1322, tblPeople[PersonID], tblPeople[PersonName], ""), "")</f>
        <v>Andrew Ondiek</v>
      </c>
      <c r="D1322" s="15" t="s">
        <v>182</v>
      </c>
      <c r="E1322" s="16" t="str">
        <f>IFERROR(_xlfn.XLOOKUP(D1322, tblCourses[CourseID], tblCourses[CourseName], ""), "")</f>
        <v>Cessna 208 Series (Caravan) With P&amp;WC PT6A-114/ -114A/ -140 Engines (Refresher)</v>
      </c>
      <c r="F1322" s="17">
        <v>45590</v>
      </c>
      <c r="G1322" s="17" cm="1">
        <f t="array" ref="G13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1322" s="15">
        <f ca="1">IF(OR(tblTraining[[#This Row],[Status]]="Renewed",tblTraining[[#This Row],[NextDueDate]]=""),"",tblTraining[[#This Row],[NextDueDate]]-TODAY())</f>
        <v>34</v>
      </c>
      <c r="I1322" s="15" t="str" cm="1">
        <f t="array" aca="1" ref="I13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323" spans="1:9" x14ac:dyDescent="0.25">
      <c r="A1323" s="15">
        <f t="shared" si="20"/>
        <v>1322</v>
      </c>
      <c r="B1323" s="15" t="s">
        <v>210</v>
      </c>
      <c r="C1323" s="15" t="str" cm="1">
        <f t="array" ref="C1323">IFERROR(_xlfn.XLOOKUP(B1323, tblPeople[PersonID], tblPeople[PersonName], ""), "")</f>
        <v>Andrew Ondiek</v>
      </c>
      <c r="D1323" s="15" t="s">
        <v>126</v>
      </c>
      <c r="E1323" s="16" t="str">
        <f>IFERROR(_xlfn.XLOOKUP(D1323, tblCourses[CourseID], tblCourses[CourseName], ""), "")</f>
        <v>Maintenance Indoctrination</v>
      </c>
      <c r="F1323" s="17">
        <v>45843</v>
      </c>
      <c r="G1323" s="17" t="str" cm="1">
        <f t="array" ref="G13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3" s="15" t="str">
        <f ca="1">IF(OR(tblTraining[[#This Row],[Status]]="Renewed",tblTraining[[#This Row],[NextDueDate]]=""),"",tblTraining[[#This Row],[NextDueDate]]-TODAY())</f>
        <v/>
      </c>
      <c r="I1323" s="15" t="str" cm="1">
        <f t="array" aca="1" ref="I13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4" spans="1:9" x14ac:dyDescent="0.25">
      <c r="A1324" s="15">
        <f t="shared" si="20"/>
        <v>1323</v>
      </c>
      <c r="B1324" s="15" t="s">
        <v>474</v>
      </c>
      <c r="C1324" s="15" t="str" cm="1">
        <f t="array" ref="C1324">IFERROR(_xlfn.XLOOKUP(B1324, tblPeople[PersonID], tblPeople[PersonName], ""), "")</f>
        <v>Benard Kimiti</v>
      </c>
      <c r="D1324" s="15" t="s">
        <v>179</v>
      </c>
      <c r="E1324" s="16" t="str">
        <f>IFERROR(_xlfn.XLOOKUP(D1324, tblCourses[CourseID], tblCourses[CourseName], ""), "")</f>
        <v>Aircraft Maintenance Engineers' Licence</v>
      </c>
      <c r="F1324" s="17">
        <v>46076</v>
      </c>
      <c r="G1324" s="17" cm="1">
        <f t="array" ref="G13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46806</v>
      </c>
      <c r="H1324" s="15">
        <f ca="1">IF(OR(tblTraining[[#This Row],[Status]]="Renewed",tblTraining[[#This Row],[NextDueDate]]=""),"",tblTraining[[#This Row],[NextDueDate]]-TODAY())</f>
        <v>520</v>
      </c>
      <c r="I1324" s="15" t="str" cm="1">
        <f t="array" aca="1" ref="I13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5" spans="1:9" x14ac:dyDescent="0.25">
      <c r="A1325" s="15">
        <f t="shared" si="20"/>
        <v>1324</v>
      </c>
      <c r="B1325" s="15" t="s">
        <v>98</v>
      </c>
      <c r="C1325" s="15" t="str" cm="1">
        <f t="array" ref="C1325">IFERROR(_xlfn.XLOOKUP(B1325, tblPeople[PersonID], tblPeople[PersonName], ""), "")</f>
        <v>Thadeus Mong’are</v>
      </c>
      <c r="D1325" s="15" t="s">
        <v>29</v>
      </c>
      <c r="E1325" s="16" t="str">
        <f>IFERROR(_xlfn.XLOOKUP(D1325, tblCourses[CourseID], tblCourses[CourseName], ""), "")</f>
        <v>DHC-8 100/200/300 with PWC 120/120A/121/123B/C/D/E Series Engines(Initial)</v>
      </c>
      <c r="F1325" s="17">
        <v>46108</v>
      </c>
      <c r="G1325" s="17" t="str" cm="1">
        <f t="array" ref="G13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5" s="15" t="str">
        <f ca="1">IF(OR(tblTraining[[#This Row],[Status]]="Renewed",tblTraining[[#This Row],[NextDueDate]]=""),"",tblTraining[[#This Row],[NextDueDate]]-TODAY())</f>
        <v/>
      </c>
      <c r="I1325" s="15" t="str" cm="1">
        <f t="array" aca="1" ref="I13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6" spans="1:9" x14ac:dyDescent="0.25">
      <c r="A1326" s="15">
        <f t="shared" si="20"/>
        <v>1325</v>
      </c>
      <c r="B1326" s="15" t="s">
        <v>98</v>
      </c>
      <c r="C1326" s="15" t="str" cm="1">
        <f t="array" ref="C1326">IFERROR(_xlfn.XLOOKUP(B1326, tblPeople[PersonID], tblPeople[PersonName], ""), "")</f>
        <v>Thadeus Mong’are</v>
      </c>
      <c r="D1326" s="15" t="s">
        <v>28</v>
      </c>
      <c r="E1326" s="16" t="str">
        <f>IFERROR(_xlfn.XLOOKUP(D1326, tblCourses[CourseID], tblCourses[CourseName], ""), "")</f>
        <v>DHC-8 100/200/300 with PWC 120/120A/121/123B/C/D/E Series Engines(Refresher)</v>
      </c>
      <c r="F1326" s="17">
        <v>46108</v>
      </c>
      <c r="G1326" s="17" cm="1">
        <f t="array" ref="G13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326" s="15">
        <f ca="1">IF(OR(tblTraining[[#This Row],[Status]]="Renewed",tblTraining[[#This Row],[NextDueDate]]=""),"",tblTraining[[#This Row],[NextDueDate]]-TODAY())</f>
        <v>553</v>
      </c>
      <c r="I1326" s="15" t="str" cm="1">
        <f t="array" aca="1" ref="I13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7" spans="1:9" x14ac:dyDescent="0.25">
      <c r="A1327" s="15">
        <f t="shared" si="20"/>
        <v>1326</v>
      </c>
      <c r="B1327" s="15" t="s">
        <v>510</v>
      </c>
      <c r="C1327" s="15" t="str" cm="1">
        <f t="array" ref="C1327">IFERROR(_xlfn.XLOOKUP(B1327, tblPeople[PersonID], tblPeople[PersonName], ""), "")</f>
        <v>Bruce Mukabi</v>
      </c>
      <c r="D1327" s="15" t="s">
        <v>126</v>
      </c>
      <c r="E1327" s="16" t="str">
        <f>IFERROR(_xlfn.XLOOKUP(D1327, tblCourses[CourseID], tblCourses[CourseName], ""), "")</f>
        <v>Maintenance Indoctrination</v>
      </c>
      <c r="F1327" s="17">
        <v>44263</v>
      </c>
      <c r="G1327" s="17" t="str" cm="1">
        <f t="array" ref="G13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7" s="15" t="str">
        <f ca="1">IF(OR(tblTraining[[#This Row],[Status]]="Renewed",tblTraining[[#This Row],[NextDueDate]]=""),"",tblTraining[[#This Row],[NextDueDate]]-TODAY())</f>
        <v/>
      </c>
      <c r="I1327" s="15" t="str" cm="1">
        <f t="array" aca="1" ref="I13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8" spans="1:9" x14ac:dyDescent="0.25">
      <c r="A1328" s="15">
        <f t="shared" si="20"/>
        <v>1327</v>
      </c>
      <c r="B1328" s="15" t="s">
        <v>510</v>
      </c>
      <c r="C1328" s="15" t="str" cm="1">
        <f t="array" ref="C1328">IFERROR(_xlfn.XLOOKUP(B1328, tblPeople[PersonID], tblPeople[PersonName], ""), "")</f>
        <v>Bruce Mukabi</v>
      </c>
      <c r="D1328" s="15" t="s">
        <v>511</v>
      </c>
      <c r="E1328" s="16" t="str">
        <f>IFERROR(_xlfn.XLOOKUP(D1328, tblCourses[CourseID], tblCourses[CourseName], ""), "")</f>
        <v>Aviation Security Management</v>
      </c>
      <c r="F1328" s="17">
        <v>42244</v>
      </c>
      <c r="G1328" s="17" t="str" cm="1">
        <f t="array" ref="G13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8" s="15" t="str">
        <f ca="1">IF(OR(tblTraining[[#This Row],[Status]]="Renewed",tblTraining[[#This Row],[NextDueDate]]=""),"",tblTraining[[#This Row],[NextDueDate]]-TODAY())</f>
        <v/>
      </c>
      <c r="I1328" s="15" t="str" cm="1">
        <f t="array" aca="1" ref="I13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9" spans="1:9" x14ac:dyDescent="0.25">
      <c r="A1329" s="15">
        <f t="shared" si="20"/>
        <v>1328</v>
      </c>
      <c r="B1329" s="15" t="s">
        <v>510</v>
      </c>
      <c r="C1329" s="15" t="str" cm="1">
        <f t="array" ref="C1329">IFERROR(_xlfn.XLOOKUP(B1329, tblPeople[PersonID], tblPeople[PersonName], ""), "")</f>
        <v>Bruce Mukabi</v>
      </c>
      <c r="D1329" s="15" t="s">
        <v>225</v>
      </c>
      <c r="E1329" s="16" t="str">
        <f>IFERROR(_xlfn.XLOOKUP(D1329, tblCourses[CourseID], tblCourses[CourseName], ""), "")</f>
        <v>Quality Management Systems (Initial)</v>
      </c>
      <c r="F1329" s="17">
        <v>42384</v>
      </c>
      <c r="G1329" s="17" t="str" cm="1">
        <f t="array" ref="G13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9" s="15" t="str">
        <f ca="1">IF(OR(tblTraining[[#This Row],[Status]]="Renewed",tblTraining[[#This Row],[NextDueDate]]=""),"",tblTraining[[#This Row],[NextDueDate]]-TODAY())</f>
        <v/>
      </c>
      <c r="I1329" s="15" t="str" cm="1">
        <f t="array" aca="1" ref="I13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0" spans="1:9" x14ac:dyDescent="0.25">
      <c r="A1330" s="15">
        <f t="shared" si="20"/>
        <v>1329</v>
      </c>
      <c r="B1330" s="15" t="s">
        <v>510</v>
      </c>
      <c r="C1330" s="15" t="str" cm="1">
        <f t="array" ref="C1330">IFERROR(_xlfn.XLOOKUP(B1330, tblPeople[PersonID], tblPeople[PersonName], ""), "")</f>
        <v>Bruce Mukabi</v>
      </c>
      <c r="D1330" s="15" t="s">
        <v>173</v>
      </c>
      <c r="E1330" s="16" t="str">
        <f>IFERROR(_xlfn.XLOOKUP(D1330, tblCourses[CourseID], tblCourses[CourseName], ""), "")</f>
        <v>Quality Management Systems</v>
      </c>
      <c r="F1330" s="17">
        <v>42384</v>
      </c>
      <c r="G1330" s="17" t="str" cm="1">
        <f t="array" ref="G13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0" s="15" t="str">
        <f ca="1">IF(OR(tblTraining[[#This Row],[Status]]="Renewed",tblTraining[[#This Row],[NextDueDate]]=""),"",tblTraining[[#This Row],[NextDueDate]]-TODAY())</f>
        <v/>
      </c>
      <c r="I1330" s="15" t="str" cm="1">
        <f t="array" aca="1" ref="I13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1" spans="1:9" x14ac:dyDescent="0.25">
      <c r="A1331" s="15">
        <f t="shared" si="20"/>
        <v>1330</v>
      </c>
      <c r="B1331" s="15" t="s">
        <v>510</v>
      </c>
      <c r="C1331" s="15" t="str" cm="1">
        <f t="array" ref="C1331">IFERROR(_xlfn.XLOOKUP(B1331, tblPeople[PersonID], tblPeople[PersonName], ""), "")</f>
        <v>Bruce Mukabi</v>
      </c>
      <c r="D1331" s="15" t="s">
        <v>20</v>
      </c>
      <c r="E1331" s="16" t="str">
        <f>IFERROR(_xlfn.XLOOKUP(D1331, tblCourses[CourseID], tblCourses[CourseName], ""), "")</f>
        <v>Safety Management Systems (Initial)</v>
      </c>
      <c r="F1331" s="17">
        <v>42272</v>
      </c>
      <c r="G1331" s="17" t="str" cm="1">
        <f t="array" ref="G13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1" s="15" t="str">
        <f ca="1">IF(OR(tblTraining[[#This Row],[Status]]="Renewed",tblTraining[[#This Row],[NextDueDate]]=""),"",tblTraining[[#This Row],[NextDueDate]]-TODAY())</f>
        <v/>
      </c>
      <c r="I1331" s="15" t="str" cm="1">
        <f t="array" aca="1" ref="I13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2" spans="1:9" x14ac:dyDescent="0.25">
      <c r="A1332" s="15">
        <f t="shared" si="20"/>
        <v>1331</v>
      </c>
      <c r="B1332" s="15" t="s">
        <v>510</v>
      </c>
      <c r="C1332" s="15" t="str" cm="1">
        <f t="array" ref="C1332">IFERROR(_xlfn.XLOOKUP(B1332, tblPeople[PersonID], tblPeople[PersonName], ""), "")</f>
        <v>Bruce Mukabi</v>
      </c>
      <c r="D1332" s="15" t="s">
        <v>17</v>
      </c>
      <c r="E1332" s="16" t="str">
        <f>IFERROR(_xlfn.XLOOKUP(D1332, tblCourses[CourseID], tblCourses[CourseName], ""), "")</f>
        <v>Safety Management Systems (Refresher)</v>
      </c>
      <c r="F1332" s="17">
        <v>42272</v>
      </c>
      <c r="G1332" s="17" t="str" cm="1">
        <f t="array" ref="G13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2" s="15" t="str">
        <f ca="1">IF(OR(tblTraining[[#This Row],[Status]]="Renewed",tblTraining[[#This Row],[NextDueDate]]=""),"",tblTraining[[#This Row],[NextDueDate]]-TODAY())</f>
        <v/>
      </c>
      <c r="I1332" s="15" t="str" cm="1">
        <f t="array" aca="1" ref="I13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3" spans="1:9" x14ac:dyDescent="0.25">
      <c r="A1333" s="15">
        <f t="shared" si="20"/>
        <v>1332</v>
      </c>
      <c r="B1333" s="15" t="s">
        <v>510</v>
      </c>
      <c r="C1333" s="15" t="str" cm="1">
        <f t="array" ref="C1333">IFERROR(_xlfn.XLOOKUP(B1333, tblPeople[PersonID], tblPeople[PersonName], ""), "")</f>
        <v>Bruce Mukabi</v>
      </c>
      <c r="D1333" s="15" t="s">
        <v>17</v>
      </c>
      <c r="E1333" s="16" t="str">
        <f>IFERROR(_xlfn.XLOOKUP(D1333, tblCourses[CourseID], tblCourses[CourseName], ""), "")</f>
        <v>Safety Management Systems (Refresher)</v>
      </c>
      <c r="F1333" s="17">
        <v>44833</v>
      </c>
      <c r="G1333" s="17" t="str" cm="1">
        <f t="array" ref="G13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3" s="15" t="str">
        <f ca="1">IF(OR(tblTraining[[#This Row],[Status]]="Renewed",tblTraining[[#This Row],[NextDueDate]]=""),"",tblTraining[[#This Row],[NextDueDate]]-TODAY())</f>
        <v/>
      </c>
      <c r="I1333" s="15" t="str" cm="1">
        <f t="array" aca="1" ref="I13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4" spans="1:9" x14ac:dyDescent="0.25">
      <c r="A1334" s="15">
        <f t="shared" si="20"/>
        <v>1333</v>
      </c>
      <c r="B1334" s="15" t="s">
        <v>510</v>
      </c>
      <c r="C1334" s="15" t="str" cm="1">
        <f t="array" ref="C1334">IFERROR(_xlfn.XLOOKUP(B1334, tblPeople[PersonID], tblPeople[PersonName], ""), "")</f>
        <v>Bruce Mukabi</v>
      </c>
      <c r="D1334" s="15" t="s">
        <v>513</v>
      </c>
      <c r="E1334" s="16" t="str">
        <f>IFERROR(_xlfn.XLOOKUP(D1334, tblCourses[CourseID], tblCourses[CourseName], ""), "")</f>
        <v>Comp. Based Training for Dangerous Goods Instructor (IATA DGR 1.5 &amp; CBTA Appendix H)</v>
      </c>
      <c r="F1334" s="17">
        <v>44876</v>
      </c>
      <c r="G1334" s="17" t="str" cm="1">
        <f t="array" ref="G13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4" s="15" t="str">
        <f ca="1">IF(OR(tblTraining[[#This Row],[Status]]="Renewed",tblTraining[[#This Row],[NextDueDate]]=""),"",tblTraining[[#This Row],[NextDueDate]]-TODAY())</f>
        <v/>
      </c>
      <c r="I1334" s="15" t="str" cm="1">
        <f t="array" aca="1" ref="I13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5" spans="1:9" x14ac:dyDescent="0.25">
      <c r="A1335" s="15">
        <f t="shared" si="20"/>
        <v>1334</v>
      </c>
      <c r="B1335" s="15" t="s">
        <v>510</v>
      </c>
      <c r="C1335" s="15" t="str" cm="1">
        <f t="array" ref="C1335">IFERROR(_xlfn.XLOOKUP(B1335, tblPeople[PersonID], tblPeople[PersonName], ""), "")</f>
        <v>Bruce Mukabi</v>
      </c>
      <c r="D1335" s="15" t="s">
        <v>17</v>
      </c>
      <c r="E1335" s="16" t="str">
        <f>IFERROR(_xlfn.XLOOKUP(D1335, tblCourses[CourseID], tblCourses[CourseName], ""), "")</f>
        <v>Safety Management Systems (Refresher)</v>
      </c>
      <c r="F1335" s="17">
        <v>45531</v>
      </c>
      <c r="G1335" s="17" t="str" cm="1">
        <f t="array" ref="G13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5" s="15" t="str">
        <f ca="1">IF(OR(tblTraining[[#This Row],[Status]]="Renewed",tblTraining[[#This Row],[NextDueDate]]=""),"",tblTraining[[#This Row],[NextDueDate]]-TODAY())</f>
        <v/>
      </c>
      <c r="I1335" s="15" t="str" cm="1">
        <f t="array" aca="1" ref="I13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6" spans="1:9" x14ac:dyDescent="0.25">
      <c r="A1336" s="15">
        <f t="shared" si="20"/>
        <v>1335</v>
      </c>
      <c r="B1336" s="15" t="s">
        <v>510</v>
      </c>
      <c r="C1336" s="15" t="str" cm="1">
        <f t="array" ref="C1336">IFERROR(_xlfn.XLOOKUP(B1336, tblPeople[PersonID], tblPeople[PersonName], ""), "")</f>
        <v>Bruce Mukabi</v>
      </c>
      <c r="D1336" s="15" t="s">
        <v>238</v>
      </c>
      <c r="E1336" s="16" t="str">
        <f>IFERROR(_xlfn.XLOOKUP(D1336, tblCourses[CourseID], tblCourses[CourseName], ""), "")</f>
        <v>Crew Resource Management (Initial)</v>
      </c>
      <c r="F1336" s="17">
        <v>45506</v>
      </c>
      <c r="G1336" s="17" t="str" cm="1">
        <f t="array" ref="G13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6" s="15" t="str">
        <f ca="1">IF(OR(tblTraining[[#This Row],[Status]]="Renewed",tblTraining[[#This Row],[NextDueDate]]=""),"",tblTraining[[#This Row],[NextDueDate]]-TODAY())</f>
        <v/>
      </c>
      <c r="I1336" s="15" t="str" cm="1">
        <f t="array" aca="1" ref="I13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7" spans="1:9" x14ac:dyDescent="0.25">
      <c r="A1337" s="15">
        <f t="shared" si="20"/>
        <v>1336</v>
      </c>
      <c r="B1337" s="15" t="s">
        <v>510</v>
      </c>
      <c r="C1337" s="15" t="str" cm="1">
        <f t="array" ref="C1337">IFERROR(_xlfn.XLOOKUP(B1337, tblPeople[PersonID], tblPeople[PersonName], ""), "")</f>
        <v>Bruce Mukabi</v>
      </c>
      <c r="D1337" s="15" t="s">
        <v>237</v>
      </c>
      <c r="E1337" s="16" t="str">
        <f>IFERROR(_xlfn.XLOOKUP(D1337, tblCourses[CourseID], tblCourses[CourseName], ""), "")</f>
        <v>Crew Resource Management (Refresher)</v>
      </c>
      <c r="F1337" s="17">
        <v>45506</v>
      </c>
      <c r="G1337" s="17" t="str" cm="1">
        <f t="array" ref="G13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7" s="15" t="str">
        <f ca="1">IF(OR(tblTraining[[#This Row],[Status]]="Renewed",tblTraining[[#This Row],[NextDueDate]]=""),"",tblTraining[[#This Row],[NextDueDate]]-TODAY())</f>
        <v/>
      </c>
      <c r="I1337" s="15" t="str" cm="1">
        <f t="array" aca="1" ref="I13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8" spans="1:9" x14ac:dyDescent="0.25">
      <c r="A1338" s="15">
        <f t="shared" si="20"/>
        <v>1337</v>
      </c>
      <c r="B1338" s="15" t="s">
        <v>510</v>
      </c>
      <c r="C1338" s="15" t="str" cm="1">
        <f t="array" ref="C1338">IFERROR(_xlfn.XLOOKUP(B1338, tblPeople[PersonID], tblPeople[PersonName], ""), "")</f>
        <v>Bruce Mukabi</v>
      </c>
      <c r="D1338" s="15" t="s">
        <v>516</v>
      </c>
      <c r="E1338" s="16" t="str">
        <f>IFERROR(_xlfn.XLOOKUP(D1338, tblCourses[CourseID], tblCourses[CourseName], ""), "")</f>
        <v>Professional Skills for DGR Instructors - Categories 1,2,3,6</v>
      </c>
      <c r="F1338" s="17">
        <v>44687</v>
      </c>
      <c r="G1338" s="17" t="str" cm="1">
        <f t="array" ref="G13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8" s="15" t="str">
        <f ca="1">IF(OR(tblTraining[[#This Row],[Status]]="Renewed",tblTraining[[#This Row],[NextDueDate]]=""),"",tblTraining[[#This Row],[NextDueDate]]-TODAY())</f>
        <v/>
      </c>
      <c r="I1338" s="15" t="str" cm="1">
        <f t="array" aca="1" ref="I13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9" spans="1:9" x14ac:dyDescent="0.25">
      <c r="A1339" s="15">
        <f t="shared" si="20"/>
        <v>1338</v>
      </c>
      <c r="B1339" s="15" t="s">
        <v>510</v>
      </c>
      <c r="C1339" s="15" t="str" cm="1">
        <f t="array" ref="C1339">IFERROR(_xlfn.XLOOKUP(B1339, tblPeople[PersonID], tblPeople[PersonName], ""), "")</f>
        <v>Bruce Mukabi</v>
      </c>
      <c r="D1339" s="15" t="s">
        <v>513</v>
      </c>
      <c r="E1339" s="16" t="str">
        <f>IFERROR(_xlfn.XLOOKUP(D1339, tblCourses[CourseID], tblCourses[CourseName], ""), "")</f>
        <v>Comp. Based Training for Dangerous Goods Instructor (IATA DGR 1.5 &amp; CBTA Appendix H)</v>
      </c>
      <c r="F1339" s="17">
        <v>45626</v>
      </c>
      <c r="G1339" s="17" cm="1">
        <f t="array" ref="G13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46356</v>
      </c>
      <c r="H1339" s="15">
        <f ca="1">IF(OR(tblTraining[[#This Row],[Status]]="Renewed",tblTraining[[#This Row],[NextDueDate]]=""),"",tblTraining[[#This Row],[NextDueDate]]-TODAY())</f>
        <v>70</v>
      </c>
      <c r="I1339" s="15" t="str" cm="1">
        <f t="array" aca="1" ref="I13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0" spans="1:9" x14ac:dyDescent="0.25">
      <c r="A1340" s="15">
        <f t="shared" si="20"/>
        <v>1339</v>
      </c>
      <c r="B1340" s="15" t="s">
        <v>472</v>
      </c>
      <c r="C1340" s="15" t="str" cm="1">
        <f t="array" ref="C1340">IFERROR(_xlfn.XLOOKUP(B1340, tblPeople[PersonID], tblPeople[PersonName], ""), "")</f>
        <v>Erick Mwanje</v>
      </c>
      <c r="D1340" s="15" t="s">
        <v>24</v>
      </c>
      <c r="E1340" s="16" t="str">
        <f>IFERROR(_xlfn.XLOOKUP(D1340, tblCourses[CourseID], tblCourses[CourseName], ""), "")</f>
        <v>Human Factors in Aviation (Initial)</v>
      </c>
      <c r="F1340" s="17">
        <v>46166</v>
      </c>
      <c r="G1340" s="17" t="str" cm="1">
        <f t="array" ref="G13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0" s="15" t="str">
        <f ca="1">IF(OR(tblTraining[[#This Row],[Status]]="Renewed",tblTraining[[#This Row],[NextDueDate]]=""),"",tblTraining[[#This Row],[NextDueDate]]-TODAY())</f>
        <v/>
      </c>
      <c r="I1340" s="15" t="str" cm="1">
        <f t="array" aca="1" ref="I13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1" spans="1:9" x14ac:dyDescent="0.25">
      <c r="A1341" s="15">
        <f t="shared" si="20"/>
        <v>1340</v>
      </c>
      <c r="B1341" s="15" t="s">
        <v>472</v>
      </c>
      <c r="C1341" s="15" t="str" cm="1">
        <f t="array" ref="C1341">IFERROR(_xlfn.XLOOKUP(B1341, tblPeople[PersonID], tblPeople[PersonName], ""), "")</f>
        <v>Erick Mwanje</v>
      </c>
      <c r="D1341" s="15" t="s">
        <v>22</v>
      </c>
      <c r="E1341" s="16" t="str">
        <f>IFERROR(_xlfn.XLOOKUP(D1341, tblCourses[CourseID], tblCourses[CourseName], ""), "")</f>
        <v>Human Factors in Aviation (Refresher)</v>
      </c>
      <c r="F1341" s="17">
        <v>46166</v>
      </c>
      <c r="G1341" s="17" cm="1">
        <f t="array" ref="G13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46897</v>
      </c>
      <c r="H1341" s="15">
        <f ca="1">IF(OR(tblTraining[[#This Row],[Status]]="Renewed",tblTraining[[#This Row],[NextDueDate]]=""),"",tblTraining[[#This Row],[NextDueDate]]-TODAY())</f>
        <v>611</v>
      </c>
      <c r="I1341" s="15" t="str" cm="1">
        <f t="array" aca="1" ref="I13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2" spans="1:9" x14ac:dyDescent="0.25">
      <c r="A1342" s="15">
        <f t="shared" si="20"/>
        <v>1341</v>
      </c>
      <c r="B1342" s="15" t="s">
        <v>472</v>
      </c>
      <c r="C1342" s="15" t="str" cm="1">
        <f t="array" ref="C1342">IFERROR(_xlfn.XLOOKUP(B1342, tblPeople[PersonID], tblPeople[PersonName], ""), "")</f>
        <v>Erick Mwanje</v>
      </c>
      <c r="D1342" s="15" t="s">
        <v>126</v>
      </c>
      <c r="E1342" s="16" t="str">
        <f>IFERROR(_xlfn.XLOOKUP(D1342, tblCourses[CourseID], tblCourses[CourseName], ""), "")</f>
        <v>Maintenance Indoctrination</v>
      </c>
      <c r="F1342" s="17">
        <v>46102</v>
      </c>
      <c r="G1342" s="17" t="str" cm="1">
        <f t="array" ref="G13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2" s="15" t="str">
        <f ca="1">IF(OR(tblTraining[[#This Row],[Status]]="Renewed",tblTraining[[#This Row],[NextDueDate]]=""),"",tblTraining[[#This Row],[NextDueDate]]-TODAY())</f>
        <v/>
      </c>
      <c r="I1342" s="15" t="str" cm="1">
        <f t="array" aca="1" ref="I13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3" spans="1:9" x14ac:dyDescent="0.25">
      <c r="A1343" s="15">
        <f t="shared" si="20"/>
        <v>1342</v>
      </c>
      <c r="B1343" s="15" t="s">
        <v>474</v>
      </c>
      <c r="C1343" s="15" t="str" cm="1">
        <f t="array" ref="C1343">IFERROR(_xlfn.XLOOKUP(B1343, tblPeople[PersonID], tblPeople[PersonName], ""), "")</f>
        <v>Benard Kimiti</v>
      </c>
      <c r="D1343" s="15" t="s">
        <v>126</v>
      </c>
      <c r="E1343" s="16" t="str">
        <f>IFERROR(_xlfn.XLOOKUP(D1343, tblCourses[CourseID], tblCourses[CourseName], ""), "")</f>
        <v>Maintenance Indoctrination</v>
      </c>
      <c r="F1343" s="17">
        <v>46102</v>
      </c>
      <c r="G1343" s="17" t="str" cm="1">
        <f t="array" ref="G13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3" s="15" t="str">
        <f ca="1">IF(OR(tblTraining[[#This Row],[Status]]="Renewed",tblTraining[[#This Row],[NextDueDate]]=""),"",tblTraining[[#This Row],[NextDueDate]]-TODAY())</f>
        <v/>
      </c>
      <c r="I1343" s="15" t="str" cm="1">
        <f t="array" aca="1" ref="I13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4" spans="1:9" x14ac:dyDescent="0.25">
      <c r="A1344" s="15">
        <f t="shared" si="20"/>
        <v>1343</v>
      </c>
      <c r="B1344" s="15" t="s">
        <v>473</v>
      </c>
      <c r="C1344" s="15" t="str" cm="1">
        <f t="array" ref="C1344">IFERROR(_xlfn.XLOOKUP(B1344, tblPeople[PersonID], tblPeople[PersonName], ""), "")</f>
        <v>Dickson Mzungu</v>
      </c>
      <c r="D1344" s="15" t="s">
        <v>126</v>
      </c>
      <c r="E1344" s="16" t="str">
        <f>IFERROR(_xlfn.XLOOKUP(D1344, tblCourses[CourseID], tblCourses[CourseName], ""), "")</f>
        <v>Maintenance Indoctrination</v>
      </c>
      <c r="F1344" s="17">
        <v>46102</v>
      </c>
      <c r="G1344" s="17" t="str" cm="1">
        <f t="array" ref="G13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4" s="15" t="str">
        <f ca="1">IF(OR(tblTraining[[#This Row],[Status]]="Renewed",tblTraining[[#This Row],[NextDueDate]]=""),"",tblTraining[[#This Row],[NextDueDate]]-TODAY())</f>
        <v/>
      </c>
      <c r="I1344" s="15" t="str" cm="1">
        <f t="array" aca="1" ref="I13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5" spans="1:9" x14ac:dyDescent="0.25">
      <c r="A1345" s="15">
        <f t="shared" si="20"/>
        <v>1344</v>
      </c>
      <c r="B1345" s="15" t="s">
        <v>443</v>
      </c>
      <c r="C1345" s="15" t="str" cm="1">
        <f t="array" ref="C1345">IFERROR(_xlfn.XLOOKUP(B1345, tblPeople[PersonID], tblPeople[PersonName], ""), "")</f>
        <v>Alfred Okudo</v>
      </c>
      <c r="D1345" s="15" t="s">
        <v>24</v>
      </c>
      <c r="E1345" s="16" t="str">
        <f>IFERROR(_xlfn.XLOOKUP(D1345, tblCourses[CourseID], tblCourses[CourseName], ""), "")</f>
        <v>Human Factors in Aviation (Initial)</v>
      </c>
      <c r="F1345" s="17">
        <v>46169</v>
      </c>
      <c r="G1345" s="17" t="str" cm="1">
        <f t="array" ref="G13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5" s="15" t="str">
        <f ca="1">IF(OR(tblTraining[[#This Row],[Status]]="Renewed",tblTraining[[#This Row],[NextDueDate]]=""),"",tblTraining[[#This Row],[NextDueDate]]-TODAY())</f>
        <v/>
      </c>
      <c r="I1345" s="15" t="str" cm="1">
        <f t="array" aca="1" ref="I13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6" spans="1:9" x14ac:dyDescent="0.25">
      <c r="A1346" s="15">
        <f t="shared" si="20"/>
        <v>1345</v>
      </c>
      <c r="B1346" s="15" t="s">
        <v>443</v>
      </c>
      <c r="C1346" s="15" t="str" cm="1">
        <f t="array" ref="C1346">IFERROR(_xlfn.XLOOKUP(B1346, tblPeople[PersonID], tblPeople[PersonName], ""), "")</f>
        <v>Alfred Okudo</v>
      </c>
      <c r="D1346" s="15" t="s">
        <v>22</v>
      </c>
      <c r="E1346" s="16" t="str">
        <f>IFERROR(_xlfn.XLOOKUP(D1346, tblCourses[CourseID], tblCourses[CourseName], ""), "")</f>
        <v>Human Factors in Aviation (Refresher)</v>
      </c>
      <c r="F1346" s="17">
        <v>46169</v>
      </c>
      <c r="G1346" s="17" cm="1">
        <f t="array" ref="G13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46900</v>
      </c>
      <c r="H1346" s="15">
        <f ca="1">IF(OR(tblTraining[[#This Row],[Status]]="Renewed",tblTraining[[#This Row],[NextDueDate]]=""),"",tblTraining[[#This Row],[NextDueDate]]-TODAY())</f>
        <v>614</v>
      </c>
      <c r="I1346" s="15" t="str" cm="1">
        <f t="array" aca="1" ref="I13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7" spans="1:9" x14ac:dyDescent="0.25">
      <c r="A1347" s="15">
        <f t="shared" si="20"/>
        <v>1346</v>
      </c>
      <c r="B1347" s="15" t="s">
        <v>103</v>
      </c>
      <c r="C1347" s="15" t="str" cm="1">
        <f t="array" ref="C1347">IFERROR(_xlfn.XLOOKUP(B1347, tblPeople[PersonID], tblPeople[PersonName], ""), "")</f>
        <v>Smith Harun</v>
      </c>
      <c r="D1347" s="15" t="s">
        <v>75</v>
      </c>
      <c r="E1347" s="16" t="str">
        <f>IFERROR(_xlfn.XLOOKUP(D1347, tblCourses[CourseID], tblCourses[CourseName], ""), "")</f>
        <v>Fuel Tank Safety Phase 1 &amp; 2 Course (Refresher)</v>
      </c>
      <c r="F1347" s="17">
        <v>46146</v>
      </c>
      <c r="G1347" s="17" cm="1">
        <f t="array" ref="G13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46877</v>
      </c>
      <c r="H1347" s="15">
        <f ca="1">IF(OR(tblTraining[[#This Row],[Status]]="Renewed",tblTraining[[#This Row],[NextDueDate]]=""),"",tblTraining[[#This Row],[NextDueDate]]-TODAY())</f>
        <v>591</v>
      </c>
      <c r="I1347" s="15" t="str" cm="1">
        <f t="array" aca="1" ref="I13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8" spans="1:9" x14ac:dyDescent="0.25">
      <c r="A1348" s="15">
        <f t="shared" ref="A1348:A1411" si="21">A1347+1</f>
        <v>1347</v>
      </c>
      <c r="B1348" s="15" t="s">
        <v>473</v>
      </c>
      <c r="C1348" s="15" t="str" cm="1">
        <f t="array" ref="C1348">IFERROR(_xlfn.XLOOKUP(B1348, tblPeople[PersonID], tblPeople[PersonName], ""), "")</f>
        <v>Dickson Mzungu</v>
      </c>
      <c r="D1348" s="15" t="s">
        <v>24</v>
      </c>
      <c r="E1348" s="16" t="str">
        <f>IFERROR(_xlfn.XLOOKUP(D1348, tblCourses[CourseID], tblCourses[CourseName], ""), "")</f>
        <v>Human Factors in Aviation (Initial)</v>
      </c>
      <c r="F1348" s="17">
        <v>46166</v>
      </c>
      <c r="G1348" s="17" t="str" cm="1">
        <f t="array" ref="G13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8" s="15" t="str">
        <f ca="1">IF(OR(tblTraining[[#This Row],[Status]]="Renewed",tblTraining[[#This Row],[NextDueDate]]=""),"",tblTraining[[#This Row],[NextDueDate]]-TODAY())</f>
        <v/>
      </c>
      <c r="I1348" s="15" t="str" cm="1">
        <f t="array" aca="1" ref="I13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9" spans="1:9" x14ac:dyDescent="0.25">
      <c r="A1349" s="15">
        <f t="shared" si="21"/>
        <v>1348</v>
      </c>
      <c r="B1349" s="15" t="s">
        <v>473</v>
      </c>
      <c r="C1349" s="15" t="str" cm="1">
        <f t="array" ref="C1349">IFERROR(_xlfn.XLOOKUP(B1349, tblPeople[PersonID], tblPeople[PersonName], ""), "")</f>
        <v>Dickson Mzungu</v>
      </c>
      <c r="D1349" s="15" t="s">
        <v>22</v>
      </c>
      <c r="E1349" s="16" t="str">
        <f>IFERROR(_xlfn.XLOOKUP(D1349, tblCourses[CourseID], tblCourses[CourseName], ""), "")</f>
        <v>Human Factors in Aviation (Refresher)</v>
      </c>
      <c r="F1349" s="17">
        <v>46166</v>
      </c>
      <c r="G1349" s="17" cm="1">
        <f t="array" ref="G13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46897</v>
      </c>
      <c r="H1349" s="15">
        <f ca="1">IF(OR(tblTraining[[#This Row],[Status]]="Renewed",tblTraining[[#This Row],[NextDueDate]]=""),"",tblTraining[[#This Row],[NextDueDate]]-TODAY())</f>
        <v>611</v>
      </c>
      <c r="I1349" s="15" t="str" cm="1">
        <f t="array" aca="1" ref="I13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0" spans="1:9" x14ac:dyDescent="0.25">
      <c r="A1350" s="15">
        <f t="shared" si="21"/>
        <v>1349</v>
      </c>
      <c r="B1350" s="15" t="s">
        <v>413</v>
      </c>
      <c r="C1350" s="15" t="str" cm="1">
        <f t="array" ref="C1350">IFERROR(_xlfn.XLOOKUP(B1350, tblPeople[PersonID], tblPeople[PersonName], ""), "")</f>
        <v>James Muisyo</v>
      </c>
      <c r="D1350" s="15" t="s">
        <v>22</v>
      </c>
      <c r="E1350" s="16" t="str">
        <f>IFERROR(_xlfn.XLOOKUP(D1350, tblCourses[CourseID], tblCourses[CourseName], ""), "")</f>
        <v>Human Factors in Aviation (Refresher)</v>
      </c>
      <c r="F1350" s="17">
        <v>46172</v>
      </c>
      <c r="G1350" s="17" cm="1">
        <f t="array" ref="G13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46903</v>
      </c>
      <c r="H1350" s="15">
        <f ca="1">IF(OR(tblTraining[[#This Row],[Status]]="Renewed",tblTraining[[#This Row],[NextDueDate]]=""),"",tblTraining[[#This Row],[NextDueDate]]-TODAY())</f>
        <v>617</v>
      </c>
      <c r="I1350" s="15" t="str" cm="1">
        <f t="array" aca="1" ref="I13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1" spans="1:9" x14ac:dyDescent="0.25">
      <c r="A1351" s="15">
        <f t="shared" si="21"/>
        <v>1350</v>
      </c>
      <c r="B1351" s="15" t="s">
        <v>150</v>
      </c>
      <c r="C1351" s="15" t="str" cm="1">
        <f t="array" ref="C1351">IFERROR(_xlfn.XLOOKUP(B1351, tblPeople[PersonID], tblPeople[PersonName], ""), "")</f>
        <v>Kea Kazungu</v>
      </c>
      <c r="D1351" s="15" t="s">
        <v>194</v>
      </c>
      <c r="E1351" s="16" t="str">
        <f>IFERROR(_xlfn.XLOOKUP(D1351, tblCourses[CourseID], tblCourses[CourseName], ""), "")</f>
        <v>Stock Receiving Inspection</v>
      </c>
      <c r="F1351" s="17">
        <v>46087</v>
      </c>
      <c r="G1351" s="17" t="str" cm="1">
        <f t="array" ref="G13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1" s="15" t="str">
        <f ca="1">IF(OR(tblTraining[[#This Row],[Status]]="Renewed",tblTraining[[#This Row],[NextDueDate]]=""),"",tblTraining[[#This Row],[NextDueDate]]-TODAY())</f>
        <v/>
      </c>
      <c r="I1351" s="15" t="str" cm="1">
        <f t="array" aca="1" ref="I13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2" spans="1:9" x14ac:dyDescent="0.25">
      <c r="A1352" s="15">
        <f t="shared" si="21"/>
        <v>1351</v>
      </c>
      <c r="B1352" s="15" t="s">
        <v>95</v>
      </c>
      <c r="C1352" s="15" t="str" cm="1">
        <f t="array" ref="C1352">IFERROR(_xlfn.XLOOKUP(B1352, tblPeople[PersonID], tblPeople[PersonName], ""), "")</f>
        <v>Walter Kibet</v>
      </c>
      <c r="D1352" s="15" t="s">
        <v>194</v>
      </c>
      <c r="E1352" s="16" t="str">
        <f>IFERROR(_xlfn.XLOOKUP(D1352, tblCourses[CourseID], tblCourses[CourseName], ""), "")</f>
        <v>Stock Receiving Inspection</v>
      </c>
      <c r="F1352" s="17">
        <v>46087</v>
      </c>
      <c r="G1352" s="17" t="str" cm="1">
        <f t="array" ref="G13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2" s="15" t="str">
        <f ca="1">IF(OR(tblTraining[[#This Row],[Status]]="Renewed",tblTraining[[#This Row],[NextDueDate]]=""),"",tblTraining[[#This Row],[NextDueDate]]-TODAY())</f>
        <v/>
      </c>
      <c r="I1352" s="15" t="str" cm="1">
        <f t="array" aca="1" ref="I13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3" spans="1:9" x14ac:dyDescent="0.25">
      <c r="A1353" s="15">
        <f t="shared" si="21"/>
        <v>1352</v>
      </c>
      <c r="B1353" s="15" t="s">
        <v>100</v>
      </c>
      <c r="C1353" s="15" t="str" cm="1">
        <f t="array" ref="C1353">IFERROR(_xlfn.XLOOKUP(B1353, tblPeople[PersonID], tblPeople[PersonName], ""), "")</f>
        <v>John Muriithi</v>
      </c>
      <c r="D1353" s="15" t="s">
        <v>194</v>
      </c>
      <c r="E1353" s="16" t="str">
        <f>IFERROR(_xlfn.XLOOKUP(D1353, tblCourses[CourseID], tblCourses[CourseName], ""), "")</f>
        <v>Stock Receiving Inspection</v>
      </c>
      <c r="F1353" s="17">
        <v>46087</v>
      </c>
      <c r="G1353" s="17" t="str" cm="1">
        <f t="array" ref="G13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3" s="15" t="str">
        <f ca="1">IF(OR(tblTraining[[#This Row],[Status]]="Renewed",tblTraining[[#This Row],[NextDueDate]]=""),"",tblTraining[[#This Row],[NextDueDate]]-TODAY())</f>
        <v/>
      </c>
      <c r="I1353" s="15" t="str" cm="1">
        <f t="array" aca="1" ref="I13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4" spans="1:9" x14ac:dyDescent="0.25">
      <c r="A1354" s="15">
        <f t="shared" si="21"/>
        <v>1353</v>
      </c>
      <c r="B1354" s="15" t="s">
        <v>135</v>
      </c>
      <c r="C1354" s="15" t="str" cm="1">
        <f t="array" ref="C1354">IFERROR(_xlfn.XLOOKUP(B1354, tblPeople[PersonID], tblPeople[PersonName], ""), "")</f>
        <v>Francis Muriuki</v>
      </c>
      <c r="D1354" s="15" t="s">
        <v>194</v>
      </c>
      <c r="E1354" s="16" t="str">
        <f>IFERROR(_xlfn.XLOOKUP(D1354, tblCourses[CourseID], tblCourses[CourseName], ""), "")</f>
        <v>Stock Receiving Inspection</v>
      </c>
      <c r="F1354" s="17">
        <v>46087</v>
      </c>
      <c r="G1354" s="17" t="str" cm="1">
        <f t="array" ref="G13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4" s="15" t="str">
        <f ca="1">IF(OR(tblTraining[[#This Row],[Status]]="Renewed",tblTraining[[#This Row],[NextDueDate]]=""),"",tblTraining[[#This Row],[NextDueDate]]-TODAY())</f>
        <v/>
      </c>
      <c r="I1354" s="15" t="str" cm="1">
        <f t="array" aca="1" ref="I13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5" spans="1:9" x14ac:dyDescent="0.25">
      <c r="A1355" s="15">
        <f t="shared" si="21"/>
        <v>1354</v>
      </c>
      <c r="B1355" s="15" t="s">
        <v>85</v>
      </c>
      <c r="C1355" s="15" t="str" cm="1">
        <f t="array" ref="C1355">IFERROR(_xlfn.XLOOKUP(B1355, tblPeople[PersonID], tblPeople[PersonName], ""), "")</f>
        <v>Titus Shunza</v>
      </c>
      <c r="D1355" s="15" t="s">
        <v>194</v>
      </c>
      <c r="E1355" s="16" t="str">
        <f>IFERROR(_xlfn.XLOOKUP(D1355, tblCourses[CourseID], tblCourses[CourseName], ""), "")</f>
        <v>Stock Receiving Inspection</v>
      </c>
      <c r="F1355" s="17">
        <v>46087</v>
      </c>
      <c r="G1355" s="17" t="str" cm="1">
        <f t="array" ref="G13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5" s="15" t="str">
        <f ca="1">IF(OR(tblTraining[[#This Row],[Status]]="Renewed",tblTraining[[#This Row],[NextDueDate]]=""),"",tblTraining[[#This Row],[NextDueDate]]-TODAY())</f>
        <v/>
      </c>
      <c r="I1355" s="15" t="str" cm="1">
        <f t="array" aca="1" ref="I13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6" spans="1:9" x14ac:dyDescent="0.25">
      <c r="A1356" s="15">
        <f t="shared" si="21"/>
        <v>1355</v>
      </c>
      <c r="B1356" s="15" t="s">
        <v>215</v>
      </c>
      <c r="C1356" s="15" t="str" cm="1">
        <f t="array" ref="C1356">IFERROR(_xlfn.XLOOKUP(B1356, tblPeople[PersonID], tblPeople[PersonName], ""), "")</f>
        <v>Samuel Wacho</v>
      </c>
      <c r="D1356" s="15" t="s">
        <v>194</v>
      </c>
      <c r="E1356" s="16" t="str">
        <f>IFERROR(_xlfn.XLOOKUP(D1356, tblCourses[CourseID], tblCourses[CourseName], ""), "")</f>
        <v>Stock Receiving Inspection</v>
      </c>
      <c r="F1356" s="17">
        <v>46087</v>
      </c>
      <c r="G1356" s="17" t="str" cm="1">
        <f t="array" ref="G13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6" s="15" t="str">
        <f ca="1">IF(OR(tblTraining[[#This Row],[Status]]="Renewed",tblTraining[[#This Row],[NextDueDate]]=""),"",tblTraining[[#This Row],[NextDueDate]]-TODAY())</f>
        <v/>
      </c>
      <c r="I1356" s="15" t="str" cm="1">
        <f t="array" aca="1" ref="I13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7" spans="1:9" x14ac:dyDescent="0.25">
      <c r="A1357" s="15">
        <f t="shared" si="21"/>
        <v>1356</v>
      </c>
      <c r="B1357" s="15" t="s">
        <v>117</v>
      </c>
      <c r="C1357" s="15" t="str" cm="1">
        <f t="array" ref="C1357">IFERROR(_xlfn.XLOOKUP(B1357, tblPeople[PersonID], tblPeople[PersonName], ""), "")</f>
        <v>Mercy Etende</v>
      </c>
      <c r="D1357" s="15" t="s">
        <v>426</v>
      </c>
      <c r="E1357" s="16" t="str">
        <f>IFERROR(_xlfn.XLOOKUP(D1357, tblCourses[CourseID], tblCourses[CourseName], ""), "")</f>
        <v>Electrostatic Discharge Sensitive (ESDs)</v>
      </c>
      <c r="F1357" s="17">
        <v>46092</v>
      </c>
      <c r="G1357" s="17" cm="1">
        <f t="array" ref="G13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57" s="15">
        <f ca="1">IF(OR(tblTraining[[#This Row],[Status]]="Renewed",tblTraining[[#This Row],[NextDueDate]]=""),"",tblTraining[[#This Row],[NextDueDate]]-TODAY())</f>
        <v>537</v>
      </c>
      <c r="I1357" s="15" t="str" cm="1">
        <f t="array" aca="1" ref="I13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8" spans="1:9" x14ac:dyDescent="0.25">
      <c r="A1358" s="15">
        <f t="shared" si="21"/>
        <v>1357</v>
      </c>
      <c r="B1358" s="15" t="s">
        <v>104</v>
      </c>
      <c r="C1358" s="15" t="str" cm="1">
        <f t="array" ref="C1358">IFERROR(_xlfn.XLOOKUP(B1358, tblPeople[PersonID], tblPeople[PersonName], ""), "")</f>
        <v>Douglas Hurgins</v>
      </c>
      <c r="D1358" s="15" t="s">
        <v>426</v>
      </c>
      <c r="E1358" s="16" t="str">
        <f>IFERROR(_xlfn.XLOOKUP(D1358, tblCourses[CourseID], tblCourses[CourseName], ""), "")</f>
        <v>Electrostatic Discharge Sensitive (ESDs)</v>
      </c>
      <c r="F1358" s="17">
        <v>46092</v>
      </c>
      <c r="G1358" s="17" cm="1">
        <f t="array" ref="G13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58" s="15">
        <f ca="1">IF(OR(tblTraining[[#This Row],[Status]]="Renewed",tblTraining[[#This Row],[NextDueDate]]=""),"",tblTraining[[#This Row],[NextDueDate]]-TODAY())</f>
        <v>537</v>
      </c>
      <c r="I1358" s="15" t="str" cm="1">
        <f t="array" aca="1" ref="I13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9" spans="1:9" x14ac:dyDescent="0.25">
      <c r="A1359" s="15">
        <f t="shared" si="21"/>
        <v>1358</v>
      </c>
      <c r="B1359" s="15" t="s">
        <v>150</v>
      </c>
      <c r="C1359" s="15" t="str" cm="1">
        <f t="array" ref="C1359">IFERROR(_xlfn.XLOOKUP(B1359, tblPeople[PersonID], tblPeople[PersonName], ""), "")</f>
        <v>Kea Kazungu</v>
      </c>
      <c r="D1359" s="15" t="s">
        <v>426</v>
      </c>
      <c r="E1359" s="16" t="str">
        <f>IFERROR(_xlfn.XLOOKUP(D1359, tblCourses[CourseID], tblCourses[CourseName], ""), "")</f>
        <v>Electrostatic Discharge Sensitive (ESDs)</v>
      </c>
      <c r="F1359" s="17">
        <v>46092</v>
      </c>
      <c r="G1359" s="17" cm="1">
        <f t="array" ref="G13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59" s="15">
        <f ca="1">IF(OR(tblTraining[[#This Row],[Status]]="Renewed",tblTraining[[#This Row],[NextDueDate]]=""),"",tblTraining[[#This Row],[NextDueDate]]-TODAY())</f>
        <v>537</v>
      </c>
      <c r="I1359" s="15" t="str" cm="1">
        <f t="array" aca="1" ref="I13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0" spans="1:9" x14ac:dyDescent="0.25">
      <c r="A1360" s="15">
        <f t="shared" si="21"/>
        <v>1359</v>
      </c>
      <c r="B1360" s="15" t="s">
        <v>95</v>
      </c>
      <c r="C1360" s="15" t="str" cm="1">
        <f t="array" ref="C1360">IFERROR(_xlfn.XLOOKUP(B1360, tblPeople[PersonID], tblPeople[PersonName], ""), "")</f>
        <v>Walter Kibet</v>
      </c>
      <c r="D1360" s="15" t="s">
        <v>426</v>
      </c>
      <c r="E1360" s="16" t="str">
        <f>IFERROR(_xlfn.XLOOKUP(D1360, tblCourses[CourseID], tblCourses[CourseName], ""), "")</f>
        <v>Electrostatic Discharge Sensitive (ESDs)</v>
      </c>
      <c r="F1360" s="17">
        <v>46092</v>
      </c>
      <c r="G1360" s="17" cm="1">
        <f t="array" ref="G13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0" s="15">
        <f ca="1">IF(OR(tblTraining[[#This Row],[Status]]="Renewed",tblTraining[[#This Row],[NextDueDate]]=""),"",tblTraining[[#This Row],[NextDueDate]]-TODAY())</f>
        <v>537</v>
      </c>
      <c r="I1360" s="15" t="str" cm="1">
        <f t="array" aca="1" ref="I13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1" spans="1:9" x14ac:dyDescent="0.25">
      <c r="A1361" s="15">
        <f t="shared" si="21"/>
        <v>1360</v>
      </c>
      <c r="B1361" s="15" t="s">
        <v>156</v>
      </c>
      <c r="C1361" s="15" t="str" cm="1">
        <f t="array" ref="C1361">IFERROR(_xlfn.XLOOKUP(B1361, tblPeople[PersonID], tblPeople[PersonName], ""), "")</f>
        <v>Urbanus Muema</v>
      </c>
      <c r="D1361" s="15" t="s">
        <v>426</v>
      </c>
      <c r="E1361" s="16" t="str">
        <f>IFERROR(_xlfn.XLOOKUP(D1361, tblCourses[CourseID], tblCourses[CourseName], ""), "")</f>
        <v>Electrostatic Discharge Sensitive (ESDs)</v>
      </c>
      <c r="F1361" s="17">
        <v>46092</v>
      </c>
      <c r="G1361" s="17" cm="1">
        <f t="array" ref="G13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1" s="15">
        <f ca="1">IF(OR(tblTraining[[#This Row],[Status]]="Renewed",tblTraining[[#This Row],[NextDueDate]]=""),"",tblTraining[[#This Row],[NextDueDate]]-TODAY())</f>
        <v>537</v>
      </c>
      <c r="I1361" s="15" t="str" cm="1">
        <f t="array" aca="1" ref="I13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2" spans="1:9" x14ac:dyDescent="0.25">
      <c r="A1362" s="15">
        <f t="shared" si="21"/>
        <v>1361</v>
      </c>
      <c r="B1362" s="15" t="s">
        <v>100</v>
      </c>
      <c r="C1362" s="15" t="str" cm="1">
        <f t="array" ref="C1362">IFERROR(_xlfn.XLOOKUP(B1362, tblPeople[PersonID], tblPeople[PersonName], ""), "")</f>
        <v>John Muriithi</v>
      </c>
      <c r="D1362" s="15" t="s">
        <v>426</v>
      </c>
      <c r="E1362" s="16" t="str">
        <f>IFERROR(_xlfn.XLOOKUP(D1362, tblCourses[CourseID], tblCourses[CourseName], ""), "")</f>
        <v>Electrostatic Discharge Sensitive (ESDs)</v>
      </c>
      <c r="F1362" s="17">
        <v>46092</v>
      </c>
      <c r="G1362" s="17" cm="1">
        <f t="array" ref="G13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2" s="15">
        <f ca="1">IF(OR(tblTraining[[#This Row],[Status]]="Renewed",tblTraining[[#This Row],[NextDueDate]]=""),"",tblTraining[[#This Row],[NextDueDate]]-TODAY())</f>
        <v>537</v>
      </c>
      <c r="I1362" s="15" t="str" cm="1">
        <f t="array" aca="1" ref="I13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3" spans="1:9" x14ac:dyDescent="0.25">
      <c r="A1363" s="15">
        <f t="shared" si="21"/>
        <v>1362</v>
      </c>
      <c r="B1363" s="15" t="s">
        <v>135</v>
      </c>
      <c r="C1363" s="15" t="str" cm="1">
        <f t="array" ref="C1363">IFERROR(_xlfn.XLOOKUP(B1363, tblPeople[PersonID], tblPeople[PersonName], ""), "")</f>
        <v>Francis Muriuki</v>
      </c>
      <c r="D1363" s="15" t="s">
        <v>426</v>
      </c>
      <c r="E1363" s="16" t="str">
        <f>IFERROR(_xlfn.XLOOKUP(D1363, tblCourses[CourseID], tblCourses[CourseName], ""), "")</f>
        <v>Electrostatic Discharge Sensitive (ESDs)</v>
      </c>
      <c r="F1363" s="17">
        <v>46092</v>
      </c>
      <c r="G1363" s="17" cm="1">
        <f t="array" ref="G13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3" s="15">
        <f ca="1">IF(OR(tblTraining[[#This Row],[Status]]="Renewed",tblTraining[[#This Row],[NextDueDate]]=""),"",tblTraining[[#This Row],[NextDueDate]]-TODAY())</f>
        <v>537</v>
      </c>
      <c r="I1363" s="15" t="str" cm="1">
        <f t="array" aca="1" ref="I13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4" spans="1:9" x14ac:dyDescent="0.25">
      <c r="A1364" s="15">
        <f t="shared" si="21"/>
        <v>1363</v>
      </c>
      <c r="B1364" s="15" t="s">
        <v>85</v>
      </c>
      <c r="C1364" s="15" t="str" cm="1">
        <f t="array" ref="C1364">IFERROR(_xlfn.XLOOKUP(B1364, tblPeople[PersonID], tblPeople[PersonName], ""), "")</f>
        <v>Titus Shunza</v>
      </c>
      <c r="D1364" s="15" t="s">
        <v>426</v>
      </c>
      <c r="E1364" s="16" t="str">
        <f>IFERROR(_xlfn.XLOOKUP(D1364, tblCourses[CourseID], tblCourses[CourseName], ""), "")</f>
        <v>Electrostatic Discharge Sensitive (ESDs)</v>
      </c>
      <c r="F1364" s="17">
        <v>46092</v>
      </c>
      <c r="G1364" s="17" cm="1">
        <f t="array" ref="G13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4" s="15">
        <f ca="1">IF(OR(tblTraining[[#This Row],[Status]]="Renewed",tblTraining[[#This Row],[NextDueDate]]=""),"",tblTraining[[#This Row],[NextDueDate]]-TODAY())</f>
        <v>537</v>
      </c>
      <c r="I1364" s="15" t="str" cm="1">
        <f t="array" aca="1" ref="I13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5" spans="1:9" x14ac:dyDescent="0.25">
      <c r="A1365" s="15">
        <f t="shared" si="21"/>
        <v>1364</v>
      </c>
      <c r="B1365" s="15" t="s">
        <v>117</v>
      </c>
      <c r="C1365" s="15" t="str" cm="1">
        <f t="array" ref="C1365">IFERROR(_xlfn.XLOOKUP(B1365, tblPeople[PersonID], tblPeople[PersonName], ""), "")</f>
        <v>Mercy Etende</v>
      </c>
      <c r="D1365" s="15" t="s">
        <v>428</v>
      </c>
      <c r="E1365" s="16" t="str">
        <f>IFERROR(_xlfn.XLOOKUP(D1365, tblCourses[CourseID], tblCourses[CourseName], ""), "")</f>
        <v>EASA Awareness Initial</v>
      </c>
      <c r="F1365" s="17">
        <v>46092</v>
      </c>
      <c r="G1365" s="17" cm="1">
        <f t="array" ref="G13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5" s="15">
        <f ca="1">IF(OR(tblTraining[[#This Row],[Status]]="Renewed",tblTraining[[#This Row],[NextDueDate]]=""),"",tblTraining[[#This Row],[NextDueDate]]-TODAY())</f>
        <v>537</v>
      </c>
      <c r="I1365" s="15" t="str" cm="1">
        <f t="array" aca="1" ref="I13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6" spans="1:9" x14ac:dyDescent="0.25">
      <c r="A1366" s="15">
        <f t="shared" si="21"/>
        <v>1365</v>
      </c>
      <c r="B1366" s="15" t="s">
        <v>104</v>
      </c>
      <c r="C1366" s="15" t="str" cm="1">
        <f t="array" ref="C1366">IFERROR(_xlfn.XLOOKUP(B1366, tblPeople[PersonID], tblPeople[PersonName], ""), "")</f>
        <v>Douglas Hurgins</v>
      </c>
      <c r="D1366" s="15" t="s">
        <v>428</v>
      </c>
      <c r="E1366" s="16" t="str">
        <f>IFERROR(_xlfn.XLOOKUP(D1366, tblCourses[CourseID], tblCourses[CourseName], ""), "")</f>
        <v>EASA Awareness Initial</v>
      </c>
      <c r="F1366" s="17">
        <v>46092</v>
      </c>
      <c r="G1366" s="17" cm="1">
        <f t="array" ref="G13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6" s="15">
        <f ca="1">IF(OR(tblTraining[[#This Row],[Status]]="Renewed",tblTraining[[#This Row],[NextDueDate]]=""),"",tblTraining[[#This Row],[NextDueDate]]-TODAY())</f>
        <v>537</v>
      </c>
      <c r="I1366" s="15" t="str" cm="1">
        <f t="array" aca="1" ref="I13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7" spans="1:9" x14ac:dyDescent="0.25">
      <c r="A1367" s="15">
        <f t="shared" si="21"/>
        <v>1366</v>
      </c>
      <c r="B1367" s="15" t="s">
        <v>150</v>
      </c>
      <c r="C1367" s="15" t="str" cm="1">
        <f t="array" ref="C1367">IFERROR(_xlfn.XLOOKUP(B1367, tblPeople[PersonID], tblPeople[PersonName], ""), "")</f>
        <v>Kea Kazungu</v>
      </c>
      <c r="D1367" s="15" t="s">
        <v>428</v>
      </c>
      <c r="E1367" s="16" t="str">
        <f>IFERROR(_xlfn.XLOOKUP(D1367, tblCourses[CourseID], tblCourses[CourseName], ""), "")</f>
        <v>EASA Awareness Initial</v>
      </c>
      <c r="F1367" s="17">
        <v>46092</v>
      </c>
      <c r="G1367" s="17" cm="1">
        <f t="array" ref="G13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7" s="15">
        <f ca="1">IF(OR(tblTraining[[#This Row],[Status]]="Renewed",tblTraining[[#This Row],[NextDueDate]]=""),"",tblTraining[[#This Row],[NextDueDate]]-TODAY())</f>
        <v>537</v>
      </c>
      <c r="I1367" s="15" t="str" cm="1">
        <f t="array" aca="1" ref="I13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8" spans="1:9" x14ac:dyDescent="0.25">
      <c r="A1368" s="15">
        <f t="shared" si="21"/>
        <v>1367</v>
      </c>
      <c r="B1368" s="15" t="s">
        <v>95</v>
      </c>
      <c r="C1368" s="15" t="str" cm="1">
        <f t="array" ref="C1368">IFERROR(_xlfn.XLOOKUP(B1368, tblPeople[PersonID], tblPeople[PersonName], ""), "")</f>
        <v>Walter Kibet</v>
      </c>
      <c r="D1368" s="15" t="s">
        <v>428</v>
      </c>
      <c r="E1368" s="16" t="str">
        <f>IFERROR(_xlfn.XLOOKUP(D1368, tblCourses[CourseID], tblCourses[CourseName], ""), "")</f>
        <v>EASA Awareness Initial</v>
      </c>
      <c r="F1368" s="17">
        <v>46092</v>
      </c>
      <c r="G1368" s="17" cm="1">
        <f t="array" ref="G13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8" s="15">
        <f ca="1">IF(OR(tblTraining[[#This Row],[Status]]="Renewed",tblTraining[[#This Row],[NextDueDate]]=""),"",tblTraining[[#This Row],[NextDueDate]]-TODAY())</f>
        <v>537</v>
      </c>
      <c r="I1368" s="15" t="str" cm="1">
        <f t="array" aca="1" ref="I13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9" spans="1:9" x14ac:dyDescent="0.25">
      <c r="A1369" s="15">
        <f t="shared" si="21"/>
        <v>1368</v>
      </c>
      <c r="B1369" s="15" t="s">
        <v>156</v>
      </c>
      <c r="C1369" s="15" t="str" cm="1">
        <f t="array" ref="C1369">IFERROR(_xlfn.XLOOKUP(B1369, tblPeople[PersonID], tblPeople[PersonName], ""), "")</f>
        <v>Urbanus Muema</v>
      </c>
      <c r="D1369" s="15" t="s">
        <v>428</v>
      </c>
      <c r="E1369" s="16" t="str">
        <f>IFERROR(_xlfn.XLOOKUP(D1369, tblCourses[CourseID], tblCourses[CourseName], ""), "")</f>
        <v>EASA Awareness Initial</v>
      </c>
      <c r="F1369" s="17">
        <v>46092</v>
      </c>
      <c r="G1369" s="17" cm="1">
        <f t="array" ref="G13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9" s="15">
        <f ca="1">IF(OR(tblTraining[[#This Row],[Status]]="Renewed",tblTraining[[#This Row],[NextDueDate]]=""),"",tblTraining[[#This Row],[NextDueDate]]-TODAY())</f>
        <v>537</v>
      </c>
      <c r="I1369" s="15" t="str" cm="1">
        <f t="array" aca="1" ref="I13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0" spans="1:9" x14ac:dyDescent="0.25">
      <c r="A1370" s="15">
        <f t="shared" si="21"/>
        <v>1369</v>
      </c>
      <c r="B1370" s="15" t="s">
        <v>100</v>
      </c>
      <c r="C1370" s="15" t="str" cm="1">
        <f t="array" ref="C1370">IFERROR(_xlfn.XLOOKUP(B1370, tblPeople[PersonID], tblPeople[PersonName], ""), "")</f>
        <v>John Muriithi</v>
      </c>
      <c r="D1370" s="15" t="s">
        <v>428</v>
      </c>
      <c r="E1370" s="16" t="str">
        <f>IFERROR(_xlfn.XLOOKUP(D1370, tblCourses[CourseID], tblCourses[CourseName], ""), "")</f>
        <v>EASA Awareness Initial</v>
      </c>
      <c r="F1370" s="17">
        <v>46092</v>
      </c>
      <c r="G1370" s="17" cm="1">
        <f t="array" ref="G13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70" s="15">
        <f ca="1">IF(OR(tblTraining[[#This Row],[Status]]="Renewed",tblTraining[[#This Row],[NextDueDate]]=""),"",tblTraining[[#This Row],[NextDueDate]]-TODAY())</f>
        <v>537</v>
      </c>
      <c r="I1370" s="15" t="str" cm="1">
        <f t="array" aca="1" ref="I13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1" spans="1:9" x14ac:dyDescent="0.25">
      <c r="A1371" s="15">
        <f t="shared" si="21"/>
        <v>1370</v>
      </c>
      <c r="B1371" s="15" t="s">
        <v>135</v>
      </c>
      <c r="C1371" s="15" t="str" cm="1">
        <f t="array" ref="C1371">IFERROR(_xlfn.XLOOKUP(B1371, tblPeople[PersonID], tblPeople[PersonName], ""), "")</f>
        <v>Francis Muriuki</v>
      </c>
      <c r="D1371" s="15" t="s">
        <v>428</v>
      </c>
      <c r="E1371" s="16" t="str">
        <f>IFERROR(_xlfn.XLOOKUP(D1371, tblCourses[CourseID], tblCourses[CourseName], ""), "")</f>
        <v>EASA Awareness Initial</v>
      </c>
      <c r="F1371" s="17">
        <v>46092</v>
      </c>
      <c r="G1371" s="17" cm="1">
        <f t="array" ref="G13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71" s="15">
        <f ca="1">IF(OR(tblTraining[[#This Row],[Status]]="Renewed",tblTraining[[#This Row],[NextDueDate]]=""),"",tblTraining[[#This Row],[NextDueDate]]-TODAY())</f>
        <v>537</v>
      </c>
      <c r="I1371" s="15" t="str" cm="1">
        <f t="array" aca="1" ref="I13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2" spans="1:9" x14ac:dyDescent="0.25">
      <c r="A1372" s="15">
        <f t="shared" si="21"/>
        <v>1371</v>
      </c>
      <c r="B1372" s="15" t="s">
        <v>85</v>
      </c>
      <c r="C1372" s="15" t="str" cm="1">
        <f t="array" ref="C1372">IFERROR(_xlfn.XLOOKUP(B1372, tblPeople[PersonID], tblPeople[PersonName], ""), "")</f>
        <v>Titus Shunza</v>
      </c>
      <c r="D1372" s="15" t="s">
        <v>428</v>
      </c>
      <c r="E1372" s="16" t="str">
        <f>IFERROR(_xlfn.XLOOKUP(D1372, tblCourses[CourseID], tblCourses[CourseName], ""), "")</f>
        <v>EASA Awareness Initial</v>
      </c>
      <c r="F1372" s="17">
        <v>46092</v>
      </c>
      <c r="G1372" s="17" cm="1">
        <f t="array" ref="G13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72" s="15">
        <f ca="1">IF(OR(tblTraining[[#This Row],[Status]]="Renewed",tblTraining[[#This Row],[NextDueDate]]=""),"",tblTraining[[#This Row],[NextDueDate]]-TODAY())</f>
        <v>537</v>
      </c>
      <c r="I1372" s="15" t="str" cm="1">
        <f t="array" aca="1" ref="I13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3" spans="1:9" x14ac:dyDescent="0.25">
      <c r="A1373" s="15">
        <f t="shared" si="21"/>
        <v>1372</v>
      </c>
      <c r="B1373" s="15" t="s">
        <v>215</v>
      </c>
      <c r="C1373" s="15" t="str" cm="1">
        <f t="array" ref="C1373">IFERROR(_xlfn.XLOOKUP(B1373, tblPeople[PersonID], tblPeople[PersonName], ""), "")</f>
        <v>Samuel Wacho</v>
      </c>
      <c r="D1373" s="15" t="s">
        <v>428</v>
      </c>
      <c r="E1373" s="16" t="str">
        <f>IFERROR(_xlfn.XLOOKUP(D1373, tblCourses[CourseID], tblCourses[CourseName], ""), "")</f>
        <v>EASA Awareness Initial</v>
      </c>
      <c r="F1373" s="17">
        <v>46092</v>
      </c>
      <c r="G1373" s="17" cm="1">
        <f t="array" ref="G13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73" s="15">
        <f ca="1">IF(OR(tblTraining[[#This Row],[Status]]="Renewed",tblTraining[[#This Row],[NextDueDate]]=""),"",tblTraining[[#This Row],[NextDueDate]]-TODAY())</f>
        <v>537</v>
      </c>
      <c r="I1373" s="15" t="str" cm="1">
        <f t="array" aca="1" ref="I13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4" spans="1:9" x14ac:dyDescent="0.25">
      <c r="A1374" s="15">
        <f t="shared" si="21"/>
        <v>1373</v>
      </c>
      <c r="B1374" s="15" t="s">
        <v>215</v>
      </c>
      <c r="C1374" s="15" t="str" cm="1">
        <f t="array" ref="C1374">IFERROR(_xlfn.XLOOKUP(B1374, tblPeople[PersonID], tblPeople[PersonName], ""), "")</f>
        <v>Samuel Wacho</v>
      </c>
      <c r="D1374" s="15" t="s">
        <v>426</v>
      </c>
      <c r="E1374" s="16" t="str">
        <f>IFERROR(_xlfn.XLOOKUP(D1374, tblCourses[CourseID], tblCourses[CourseName], ""), "")</f>
        <v>Electrostatic Discharge Sensitive (ESDs)</v>
      </c>
      <c r="F1374" s="17">
        <v>46092</v>
      </c>
      <c r="G1374" s="17" cm="1">
        <f t="array" ref="G13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74" s="15">
        <f ca="1">IF(OR(tblTraining[[#This Row],[Status]]="Renewed",tblTraining[[#This Row],[NextDueDate]]=""),"",tblTraining[[#This Row],[NextDueDate]]-TODAY())</f>
        <v>537</v>
      </c>
      <c r="I1374" s="15" t="str" cm="1">
        <f t="array" aca="1" ref="I13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5" spans="1:9" x14ac:dyDescent="0.25">
      <c r="A1375" s="15">
        <f t="shared" si="21"/>
        <v>1374</v>
      </c>
      <c r="B1375" s="15" t="s">
        <v>117</v>
      </c>
      <c r="C1375" s="15" t="str" cm="1">
        <f t="array" ref="C1375">IFERROR(_xlfn.XLOOKUP(B1375, tblPeople[PersonID], tblPeople[PersonName], ""), "")</f>
        <v>Mercy Etende</v>
      </c>
      <c r="D1375" s="15" t="s">
        <v>194</v>
      </c>
      <c r="E1375" s="16" t="str">
        <f>IFERROR(_xlfn.XLOOKUP(D1375, tblCourses[CourseID], tblCourses[CourseName], ""), "")</f>
        <v>Stock Receiving Inspection</v>
      </c>
      <c r="F1375" s="17">
        <v>46092</v>
      </c>
      <c r="G1375" s="17" t="str" cm="1">
        <f t="array" ref="G13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5" s="15" t="str">
        <f ca="1">IF(OR(tblTraining[[#This Row],[Status]]="Renewed",tblTraining[[#This Row],[NextDueDate]]=""),"",tblTraining[[#This Row],[NextDueDate]]-TODAY())</f>
        <v/>
      </c>
      <c r="I1375" s="15" t="str" cm="1">
        <f t="array" aca="1" ref="I13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6" spans="1:9" x14ac:dyDescent="0.25">
      <c r="A1376" s="15">
        <f t="shared" si="21"/>
        <v>1375</v>
      </c>
      <c r="B1376" s="15" t="s">
        <v>104</v>
      </c>
      <c r="C1376" s="15" t="str" cm="1">
        <f t="array" ref="C1376">IFERROR(_xlfn.XLOOKUP(B1376, tblPeople[PersonID], tblPeople[PersonName], ""), "")</f>
        <v>Douglas Hurgins</v>
      </c>
      <c r="D1376" s="15" t="s">
        <v>194</v>
      </c>
      <c r="E1376" s="16" t="str">
        <f>IFERROR(_xlfn.XLOOKUP(D1376, tblCourses[CourseID], tblCourses[CourseName], ""), "")</f>
        <v>Stock Receiving Inspection</v>
      </c>
      <c r="F1376" s="17">
        <v>46092</v>
      </c>
      <c r="G1376" s="17" t="str" cm="1">
        <f t="array" ref="G13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6" s="15" t="str">
        <f ca="1">IF(OR(tblTraining[[#This Row],[Status]]="Renewed",tblTraining[[#This Row],[NextDueDate]]=""),"",tblTraining[[#This Row],[NextDueDate]]-TODAY())</f>
        <v/>
      </c>
      <c r="I1376" s="15" t="str" cm="1">
        <f t="array" aca="1" ref="I13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7" spans="1:9" x14ac:dyDescent="0.25">
      <c r="A1377" s="15">
        <f t="shared" si="21"/>
        <v>1376</v>
      </c>
      <c r="B1377" s="15" t="s">
        <v>150</v>
      </c>
      <c r="C1377" s="15" t="str" cm="1">
        <f t="array" ref="C1377">IFERROR(_xlfn.XLOOKUP(B1377, tblPeople[PersonID], tblPeople[PersonName], ""), "")</f>
        <v>Kea Kazungu</v>
      </c>
      <c r="D1377" s="15" t="s">
        <v>194</v>
      </c>
      <c r="E1377" s="16" t="str">
        <f>IFERROR(_xlfn.XLOOKUP(D1377, tblCourses[CourseID], tblCourses[CourseName], ""), "")</f>
        <v>Stock Receiving Inspection</v>
      </c>
      <c r="F1377" s="17">
        <v>46092</v>
      </c>
      <c r="G1377" s="17" t="str" cm="1">
        <f t="array" ref="G13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7" s="15" t="str">
        <f ca="1">IF(OR(tblTraining[[#This Row],[Status]]="Renewed",tblTraining[[#This Row],[NextDueDate]]=""),"",tblTraining[[#This Row],[NextDueDate]]-TODAY())</f>
        <v/>
      </c>
      <c r="I1377" s="15" t="str" cm="1">
        <f t="array" aca="1" ref="I13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8" spans="1:9" x14ac:dyDescent="0.25">
      <c r="A1378" s="15">
        <f t="shared" si="21"/>
        <v>1377</v>
      </c>
      <c r="B1378" s="15" t="s">
        <v>95</v>
      </c>
      <c r="C1378" s="15" t="str" cm="1">
        <f t="array" ref="C1378">IFERROR(_xlfn.XLOOKUP(B1378, tblPeople[PersonID], tblPeople[PersonName], ""), "")</f>
        <v>Walter Kibet</v>
      </c>
      <c r="D1378" s="15" t="s">
        <v>194</v>
      </c>
      <c r="E1378" s="16" t="str">
        <f>IFERROR(_xlfn.XLOOKUP(D1378, tblCourses[CourseID], tblCourses[CourseName], ""), "")</f>
        <v>Stock Receiving Inspection</v>
      </c>
      <c r="F1378" s="17">
        <v>46092</v>
      </c>
      <c r="G1378" s="17" t="str" cm="1">
        <f t="array" ref="G13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8" s="15" t="str">
        <f ca="1">IF(OR(tblTraining[[#This Row],[Status]]="Renewed",tblTraining[[#This Row],[NextDueDate]]=""),"",tblTraining[[#This Row],[NextDueDate]]-TODAY())</f>
        <v/>
      </c>
      <c r="I1378" s="15" t="str" cm="1">
        <f t="array" aca="1" ref="I13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9" spans="1:9" x14ac:dyDescent="0.25">
      <c r="A1379" s="15">
        <f t="shared" si="21"/>
        <v>1378</v>
      </c>
      <c r="B1379" s="15" t="s">
        <v>156</v>
      </c>
      <c r="C1379" s="15" t="str" cm="1">
        <f t="array" ref="C1379">IFERROR(_xlfn.XLOOKUP(B1379, tblPeople[PersonID], tblPeople[PersonName], ""), "")</f>
        <v>Urbanus Muema</v>
      </c>
      <c r="D1379" s="15" t="s">
        <v>194</v>
      </c>
      <c r="E1379" s="16" t="str">
        <f>IFERROR(_xlfn.XLOOKUP(D1379, tblCourses[CourseID], tblCourses[CourseName], ""), "")</f>
        <v>Stock Receiving Inspection</v>
      </c>
      <c r="F1379" s="17">
        <v>46092</v>
      </c>
      <c r="G1379" s="17" t="str" cm="1">
        <f t="array" ref="G13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9" s="15" t="str">
        <f ca="1">IF(OR(tblTraining[[#This Row],[Status]]="Renewed",tblTraining[[#This Row],[NextDueDate]]=""),"",tblTraining[[#This Row],[NextDueDate]]-TODAY())</f>
        <v/>
      </c>
      <c r="I1379" s="15" t="str" cm="1">
        <f t="array" aca="1" ref="I13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0" spans="1:9" x14ac:dyDescent="0.25">
      <c r="A1380" s="15">
        <f t="shared" si="21"/>
        <v>1379</v>
      </c>
      <c r="B1380" s="15" t="s">
        <v>100</v>
      </c>
      <c r="C1380" s="15" t="str" cm="1">
        <f t="array" ref="C1380">IFERROR(_xlfn.XLOOKUP(B1380, tblPeople[PersonID], tblPeople[PersonName], ""), "")</f>
        <v>John Muriithi</v>
      </c>
      <c r="D1380" s="15" t="s">
        <v>194</v>
      </c>
      <c r="E1380" s="16" t="str">
        <f>IFERROR(_xlfn.XLOOKUP(D1380, tblCourses[CourseID], tblCourses[CourseName], ""), "")</f>
        <v>Stock Receiving Inspection</v>
      </c>
      <c r="F1380" s="17">
        <v>46092</v>
      </c>
      <c r="G1380" s="17" t="str" cm="1">
        <f t="array" ref="G13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0" s="15" t="str">
        <f ca="1">IF(OR(tblTraining[[#This Row],[Status]]="Renewed",tblTraining[[#This Row],[NextDueDate]]=""),"",tblTraining[[#This Row],[NextDueDate]]-TODAY())</f>
        <v/>
      </c>
      <c r="I1380" s="15" t="str" cm="1">
        <f t="array" aca="1" ref="I13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1" spans="1:9" x14ac:dyDescent="0.25">
      <c r="A1381" s="15">
        <f t="shared" si="21"/>
        <v>1380</v>
      </c>
      <c r="B1381" s="15" t="s">
        <v>135</v>
      </c>
      <c r="C1381" s="15" t="str" cm="1">
        <f t="array" ref="C1381">IFERROR(_xlfn.XLOOKUP(B1381, tblPeople[PersonID], tblPeople[PersonName], ""), "")</f>
        <v>Francis Muriuki</v>
      </c>
      <c r="D1381" s="15" t="s">
        <v>194</v>
      </c>
      <c r="E1381" s="16" t="str">
        <f>IFERROR(_xlfn.XLOOKUP(D1381, tblCourses[CourseID], tblCourses[CourseName], ""), "")</f>
        <v>Stock Receiving Inspection</v>
      </c>
      <c r="F1381" s="17">
        <v>46092</v>
      </c>
      <c r="G1381" s="17" t="str" cm="1">
        <f t="array" ref="G13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1" s="15" t="str">
        <f ca="1">IF(OR(tblTraining[[#This Row],[Status]]="Renewed",tblTraining[[#This Row],[NextDueDate]]=""),"",tblTraining[[#This Row],[NextDueDate]]-TODAY())</f>
        <v/>
      </c>
      <c r="I1381" s="15" t="str" cm="1">
        <f t="array" aca="1" ref="I13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2" spans="1:9" x14ac:dyDescent="0.25">
      <c r="A1382" s="15">
        <f t="shared" si="21"/>
        <v>1381</v>
      </c>
      <c r="B1382" s="15" t="s">
        <v>85</v>
      </c>
      <c r="C1382" s="15" t="str" cm="1">
        <f t="array" ref="C1382">IFERROR(_xlfn.XLOOKUP(B1382, tblPeople[PersonID], tblPeople[PersonName], ""), "")</f>
        <v>Titus Shunza</v>
      </c>
      <c r="D1382" s="15" t="s">
        <v>194</v>
      </c>
      <c r="E1382" s="16" t="str">
        <f>IFERROR(_xlfn.XLOOKUP(D1382, tblCourses[CourseID], tblCourses[CourseName], ""), "")</f>
        <v>Stock Receiving Inspection</v>
      </c>
      <c r="F1382" s="17">
        <v>46092</v>
      </c>
      <c r="G1382" s="17" t="str" cm="1">
        <f t="array" ref="G13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2" s="15" t="str">
        <f ca="1">IF(OR(tblTraining[[#This Row],[Status]]="Renewed",tblTraining[[#This Row],[NextDueDate]]=""),"",tblTraining[[#This Row],[NextDueDate]]-TODAY())</f>
        <v/>
      </c>
      <c r="I1382" s="15" t="str" cm="1">
        <f t="array" aca="1" ref="I13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3" spans="1:9" x14ac:dyDescent="0.25">
      <c r="A1383" s="15">
        <f t="shared" si="21"/>
        <v>1382</v>
      </c>
      <c r="B1383" s="15" t="s">
        <v>215</v>
      </c>
      <c r="C1383" s="15" t="str" cm="1">
        <f t="array" ref="C1383">IFERROR(_xlfn.XLOOKUP(B1383, tblPeople[PersonID], tblPeople[PersonName], ""), "")</f>
        <v>Samuel Wacho</v>
      </c>
      <c r="D1383" s="15" t="s">
        <v>194</v>
      </c>
      <c r="E1383" s="16" t="str">
        <f>IFERROR(_xlfn.XLOOKUP(D1383, tblCourses[CourseID], tblCourses[CourseName], ""), "")</f>
        <v>Stock Receiving Inspection</v>
      </c>
      <c r="F1383" s="17">
        <v>46092</v>
      </c>
      <c r="G1383" s="17" t="str" cm="1">
        <f t="array" ref="G13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3" s="15" t="str">
        <f ca="1">IF(OR(tblTraining[[#This Row],[Status]]="Renewed",tblTraining[[#This Row],[NextDueDate]]=""),"",tblTraining[[#This Row],[NextDueDate]]-TODAY())</f>
        <v/>
      </c>
      <c r="I1383" s="15" t="str" cm="1">
        <f t="array" aca="1" ref="I13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4" spans="1:9" x14ac:dyDescent="0.25">
      <c r="A1384" s="15">
        <f t="shared" si="21"/>
        <v>1383</v>
      </c>
      <c r="B1384" s="15" t="s">
        <v>445</v>
      </c>
      <c r="C1384" s="15" t="str" cm="1">
        <f t="array" ref="C1384">IFERROR(_xlfn.XLOOKUP(B1384, tblPeople[PersonID], tblPeople[PersonName], ""), "")</f>
        <v>Brian Muga</v>
      </c>
      <c r="D1384" s="15" t="s">
        <v>24</v>
      </c>
      <c r="E1384" s="16" t="str">
        <f>IFERROR(_xlfn.XLOOKUP(D1384, tblCourses[CourseID], tblCourses[CourseName], ""), "")</f>
        <v>Human Factors in Aviation (Initial)</v>
      </c>
      <c r="F1384" s="17">
        <v>46173</v>
      </c>
      <c r="G1384" s="17" t="str" cm="1">
        <f t="array" ref="G13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4" s="15" t="str">
        <f ca="1">IF(OR(tblTraining[[#This Row],[Status]]="Renewed",tblTraining[[#This Row],[NextDueDate]]=""),"",tblTraining[[#This Row],[NextDueDate]]-TODAY())</f>
        <v/>
      </c>
      <c r="I1384" s="15" t="str" cm="1">
        <f t="array" aca="1" ref="I13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5" spans="1:9" x14ac:dyDescent="0.25">
      <c r="A1385" s="15">
        <f t="shared" si="21"/>
        <v>1384</v>
      </c>
      <c r="B1385" s="15" t="s">
        <v>445</v>
      </c>
      <c r="C1385" s="15" t="str" cm="1">
        <f t="array" ref="C1385">IFERROR(_xlfn.XLOOKUP(B1385, tblPeople[PersonID], tblPeople[PersonName], ""), "")</f>
        <v>Brian Muga</v>
      </c>
      <c r="D1385" s="15" t="s">
        <v>22</v>
      </c>
      <c r="E1385" s="16" t="str">
        <f>IFERROR(_xlfn.XLOOKUP(D1385, tblCourses[CourseID], tblCourses[CourseName], ""), "")</f>
        <v>Human Factors in Aviation (Refresher)</v>
      </c>
      <c r="F1385" s="17">
        <v>46173</v>
      </c>
      <c r="G1385" s="17" cm="1">
        <f t="array" ref="G13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46904</v>
      </c>
      <c r="H1385" s="15">
        <f ca="1">IF(OR(tblTraining[[#This Row],[Status]]="Renewed",tblTraining[[#This Row],[NextDueDate]]=""),"",tblTraining[[#This Row],[NextDueDate]]-TODAY())</f>
        <v>618</v>
      </c>
      <c r="I1385" s="15" t="str" cm="1">
        <f t="array" aca="1" ref="I13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6" spans="1:9" x14ac:dyDescent="0.25">
      <c r="A1386" s="15">
        <f t="shared" si="21"/>
        <v>1385</v>
      </c>
      <c r="B1386" s="15" t="s">
        <v>217</v>
      </c>
      <c r="C1386" s="15" t="str" cm="1">
        <f t="array" ref="C1386">IFERROR(_xlfn.XLOOKUP(B1386, tblPeople[PersonID], tblPeople[PersonName], ""), "")</f>
        <v>Angeline Nthakyo</v>
      </c>
      <c r="D1386" s="15" t="s">
        <v>360</v>
      </c>
      <c r="E1386" s="16" t="str">
        <f>IFERROR(_xlfn.XLOOKUP(D1386, tblCourses[CourseID], tblCourses[CourseName], ""), "")</f>
        <v>Maintenance Procedures &amp; Standard Maintenance Practices (Initial)</v>
      </c>
      <c r="F1386" s="17">
        <v>45843</v>
      </c>
      <c r="G1386" s="17" t="str" cm="1">
        <f t="array" ref="G13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6" s="15" t="str">
        <f ca="1">IF(OR(tblTraining[[#This Row],[Status]]="Renewed",tblTraining[[#This Row],[NextDueDate]]=""),"",tblTraining[[#This Row],[NextDueDate]]-TODAY())</f>
        <v/>
      </c>
      <c r="I1386" s="15" t="str" cm="1">
        <f t="array" aca="1" ref="I13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7" spans="1:9" x14ac:dyDescent="0.25">
      <c r="A1387" s="15">
        <f t="shared" si="21"/>
        <v>1386</v>
      </c>
      <c r="B1387" s="15" t="s">
        <v>217</v>
      </c>
      <c r="C1387" s="15" t="str" cm="1">
        <f t="array" ref="C1387">IFERROR(_xlfn.XLOOKUP(B1387, tblPeople[PersonID], tblPeople[PersonName], ""), "")</f>
        <v>Angeline Nthakyo</v>
      </c>
      <c r="D1387" s="15" t="s">
        <v>202</v>
      </c>
      <c r="E1387" s="16" t="str">
        <f>IFERROR(_xlfn.XLOOKUP(D1387, tblCourses[CourseID], tblCourses[CourseName], ""), "")</f>
        <v>Maintenance Procedures &amp; Standard Maintenance Practices (Refresher)</v>
      </c>
      <c r="F1387" s="17">
        <v>45843</v>
      </c>
      <c r="G1387" s="17" cm="1">
        <f t="array" ref="G13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87" s="15">
        <f ca="1">IF(OR(tblTraining[[#This Row],[Status]]="Renewed",tblTraining[[#This Row],[NextDueDate]]=""),"",tblTraining[[#This Row],[NextDueDate]]-TODAY())</f>
        <v>287</v>
      </c>
      <c r="I1387" s="15" t="str" cm="1">
        <f t="array" aca="1" ref="I13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8" spans="1:9" x14ac:dyDescent="0.25">
      <c r="A1388" s="15">
        <f t="shared" si="21"/>
        <v>1387</v>
      </c>
      <c r="B1388" s="15" t="s">
        <v>216</v>
      </c>
      <c r="C1388" s="15" t="str" cm="1">
        <f t="array" ref="C1388">IFERROR(_xlfn.XLOOKUP(B1388, tblPeople[PersonID], tblPeople[PersonName], ""), "")</f>
        <v>John Kihara</v>
      </c>
      <c r="D1388" s="15" t="s">
        <v>360</v>
      </c>
      <c r="E1388" s="16" t="str">
        <f>IFERROR(_xlfn.XLOOKUP(D1388, tblCourses[CourseID], tblCourses[CourseName], ""), "")</f>
        <v>Maintenance Procedures &amp; Standard Maintenance Practices (Initial)</v>
      </c>
      <c r="F1388" s="17">
        <v>45843</v>
      </c>
      <c r="G1388" s="17" t="str" cm="1">
        <f t="array" ref="G13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8" s="15" t="str">
        <f ca="1">IF(OR(tblTraining[[#This Row],[Status]]="Renewed",tblTraining[[#This Row],[NextDueDate]]=""),"",tblTraining[[#This Row],[NextDueDate]]-TODAY())</f>
        <v/>
      </c>
      <c r="I1388" s="15" t="str" cm="1">
        <f t="array" aca="1" ref="I13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9" spans="1:9" x14ac:dyDescent="0.25">
      <c r="A1389" s="15">
        <f t="shared" si="21"/>
        <v>1388</v>
      </c>
      <c r="B1389" s="15" t="s">
        <v>216</v>
      </c>
      <c r="C1389" s="15" t="str" cm="1">
        <f t="array" ref="C1389">IFERROR(_xlfn.XLOOKUP(B1389, tblPeople[PersonID], tblPeople[PersonName], ""), "")</f>
        <v>John Kihara</v>
      </c>
      <c r="D1389" s="15" t="s">
        <v>202</v>
      </c>
      <c r="E1389" s="16" t="str">
        <f>IFERROR(_xlfn.XLOOKUP(D1389, tblCourses[CourseID], tblCourses[CourseName], ""), "")</f>
        <v>Maintenance Procedures &amp; Standard Maintenance Practices (Refresher)</v>
      </c>
      <c r="F1389" s="17">
        <v>45843</v>
      </c>
      <c r="G1389" s="17" cm="1">
        <f t="array" ref="G13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89" s="15">
        <f ca="1">IF(OR(tblTraining[[#This Row],[Status]]="Renewed",tblTraining[[#This Row],[NextDueDate]]=""),"",tblTraining[[#This Row],[NextDueDate]]-TODAY())</f>
        <v>287</v>
      </c>
      <c r="I1389" s="15" t="str" cm="1">
        <f t="array" aca="1" ref="I13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0" spans="1:9" x14ac:dyDescent="0.25">
      <c r="A1390" s="15">
        <f t="shared" si="21"/>
        <v>1389</v>
      </c>
      <c r="B1390" s="15" t="s">
        <v>267</v>
      </c>
      <c r="C1390" s="15" t="str" cm="1">
        <f t="array" ref="C1390">IFERROR(_xlfn.XLOOKUP(B1390, tblPeople[PersonID], tblPeople[PersonName], ""), "")</f>
        <v>Romy Okello</v>
      </c>
      <c r="D1390" s="15" t="s">
        <v>360</v>
      </c>
      <c r="E1390" s="16" t="str">
        <f>IFERROR(_xlfn.XLOOKUP(D1390, tblCourses[CourseID], tblCourses[CourseName], ""), "")</f>
        <v>Maintenance Procedures &amp; Standard Maintenance Practices (Initial)</v>
      </c>
      <c r="F1390" s="17">
        <v>45843</v>
      </c>
      <c r="G1390" s="17" t="str" cm="1">
        <f t="array" ref="G13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0" s="15" t="str">
        <f ca="1">IF(OR(tblTraining[[#This Row],[Status]]="Renewed",tblTraining[[#This Row],[NextDueDate]]=""),"",tblTraining[[#This Row],[NextDueDate]]-TODAY())</f>
        <v/>
      </c>
      <c r="I1390" s="15" t="str" cm="1">
        <f t="array" aca="1" ref="I13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1" spans="1:9" x14ac:dyDescent="0.25">
      <c r="A1391" s="15">
        <f t="shared" si="21"/>
        <v>1390</v>
      </c>
      <c r="B1391" s="15" t="s">
        <v>267</v>
      </c>
      <c r="C1391" s="15" t="str" cm="1">
        <f t="array" ref="C1391">IFERROR(_xlfn.XLOOKUP(B1391, tblPeople[PersonID], tblPeople[PersonName], ""), "")</f>
        <v>Romy Okello</v>
      </c>
      <c r="D1391" s="15" t="s">
        <v>202</v>
      </c>
      <c r="E1391" s="16" t="str">
        <f>IFERROR(_xlfn.XLOOKUP(D1391, tblCourses[CourseID], tblCourses[CourseName], ""), "")</f>
        <v>Maintenance Procedures &amp; Standard Maintenance Practices (Refresher)</v>
      </c>
      <c r="F1391" s="17">
        <v>45843</v>
      </c>
      <c r="G1391" s="17" cm="1">
        <f t="array" ref="G13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91" s="15">
        <f ca="1">IF(OR(tblTraining[[#This Row],[Status]]="Renewed",tblTraining[[#This Row],[NextDueDate]]=""),"",tblTraining[[#This Row],[NextDueDate]]-TODAY())</f>
        <v>287</v>
      </c>
      <c r="I1391" s="15" t="str" cm="1">
        <f t="array" aca="1" ref="I13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2" spans="1:9" x14ac:dyDescent="0.25">
      <c r="A1392" s="15">
        <f t="shared" si="21"/>
        <v>1391</v>
      </c>
      <c r="B1392" s="15" t="s">
        <v>210</v>
      </c>
      <c r="C1392" s="15" t="str" cm="1">
        <f t="array" ref="C1392">IFERROR(_xlfn.XLOOKUP(B1392, tblPeople[PersonID], tblPeople[PersonName], ""), "")</f>
        <v>Andrew Ondiek</v>
      </c>
      <c r="D1392" s="15" t="s">
        <v>360</v>
      </c>
      <c r="E1392" s="16" t="str">
        <f>IFERROR(_xlfn.XLOOKUP(D1392, tblCourses[CourseID], tblCourses[CourseName], ""), "")</f>
        <v>Maintenance Procedures &amp; Standard Maintenance Practices (Initial)</v>
      </c>
      <c r="F1392" s="17">
        <v>45843</v>
      </c>
      <c r="G1392" s="17" t="str" cm="1">
        <f t="array" ref="G13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2" s="15" t="str">
        <f ca="1">IF(OR(tblTraining[[#This Row],[Status]]="Renewed",tblTraining[[#This Row],[NextDueDate]]=""),"",tblTraining[[#This Row],[NextDueDate]]-TODAY())</f>
        <v/>
      </c>
      <c r="I1392" s="15" t="str" cm="1">
        <f t="array" aca="1" ref="I13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3" spans="1:9" x14ac:dyDescent="0.25">
      <c r="A1393" s="15">
        <f t="shared" si="21"/>
        <v>1392</v>
      </c>
      <c r="B1393" s="15" t="s">
        <v>210</v>
      </c>
      <c r="C1393" s="15" t="str" cm="1">
        <f t="array" ref="C1393">IFERROR(_xlfn.XLOOKUP(B1393, tblPeople[PersonID], tblPeople[PersonName], ""), "")</f>
        <v>Andrew Ondiek</v>
      </c>
      <c r="D1393" s="15" t="s">
        <v>202</v>
      </c>
      <c r="E1393" s="16" t="str">
        <f>IFERROR(_xlfn.XLOOKUP(D1393, tblCourses[CourseID], tblCourses[CourseName], ""), "")</f>
        <v>Maintenance Procedures &amp; Standard Maintenance Practices (Refresher)</v>
      </c>
      <c r="F1393" s="17">
        <v>45843</v>
      </c>
      <c r="G1393" s="17" cm="1">
        <f t="array" ref="G13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93" s="15">
        <f ca="1">IF(OR(tblTraining[[#This Row],[Status]]="Renewed",tblTraining[[#This Row],[NextDueDate]]=""),"",tblTraining[[#This Row],[NextDueDate]]-TODAY())</f>
        <v>287</v>
      </c>
      <c r="I1393" s="15" t="str" cm="1">
        <f t="array" aca="1" ref="I13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4" spans="1:9" x14ac:dyDescent="0.25">
      <c r="A1394" s="15">
        <f t="shared" si="21"/>
        <v>1393</v>
      </c>
      <c r="B1394" s="15" t="s">
        <v>97</v>
      </c>
      <c r="C1394" s="15" t="str" cm="1">
        <f t="array" ref="C1394">IFERROR(_xlfn.XLOOKUP(B1394, tblPeople[PersonID], tblPeople[PersonName], ""), "")</f>
        <v>Thomas Wambunya</v>
      </c>
      <c r="D1394" s="15" t="s">
        <v>75</v>
      </c>
      <c r="E1394" s="16" t="str">
        <f>IFERROR(_xlfn.XLOOKUP(D1394, tblCourses[CourseID], tblCourses[CourseName], ""), "")</f>
        <v>Fuel Tank Safety Phase 1 &amp; 2 Course (Refresher)</v>
      </c>
      <c r="F1394" s="17">
        <v>46151</v>
      </c>
      <c r="G1394" s="17" cm="1">
        <f t="array" ref="G13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46882</v>
      </c>
      <c r="H1394" s="15">
        <f ca="1">IF(OR(tblTraining[[#This Row],[Status]]="Renewed",tblTraining[[#This Row],[NextDueDate]]=""),"",tblTraining[[#This Row],[NextDueDate]]-TODAY())</f>
        <v>596</v>
      </c>
      <c r="I1394" s="15" t="str" cm="1">
        <f t="array" aca="1" ref="I13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5" spans="1:9" x14ac:dyDescent="0.25">
      <c r="A1395" s="15">
        <f t="shared" si="21"/>
        <v>1394</v>
      </c>
      <c r="B1395" s="15" t="s">
        <v>97</v>
      </c>
      <c r="C1395" s="15" t="str" cm="1">
        <f t="array" ref="C1395">IFERROR(_xlfn.XLOOKUP(B1395, tblPeople[PersonID], tblPeople[PersonName], ""), "")</f>
        <v>Thomas Wambunya</v>
      </c>
      <c r="D1395" s="15" t="s">
        <v>22</v>
      </c>
      <c r="E1395" s="16" t="str">
        <f>IFERROR(_xlfn.XLOOKUP(D1395, tblCourses[CourseID], tblCourses[CourseName], ""), "")</f>
        <v>Human Factors in Aviation (Refresher)</v>
      </c>
      <c r="F1395" s="17">
        <v>46071</v>
      </c>
      <c r="G1395" s="17" cm="1">
        <f t="array" ref="G13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46801</v>
      </c>
      <c r="H1395" s="15">
        <f ca="1">IF(OR(tblTraining[[#This Row],[Status]]="Renewed",tblTraining[[#This Row],[NextDueDate]]=""),"",tblTraining[[#This Row],[NextDueDate]]-TODAY())</f>
        <v>515</v>
      </c>
      <c r="I1395" s="15" t="str" cm="1">
        <f t="array" aca="1" ref="I13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6" spans="1:9" x14ac:dyDescent="0.25">
      <c r="A1396" s="15">
        <f t="shared" si="21"/>
        <v>1395</v>
      </c>
      <c r="B1396" s="15" t="s">
        <v>444</v>
      </c>
      <c r="C1396" s="15" t="str" cm="1">
        <f t="array" ref="C1396">IFERROR(_xlfn.XLOOKUP(B1396, tblPeople[PersonID], tblPeople[PersonName], ""), "")</f>
        <v>Martin Chege</v>
      </c>
      <c r="D1396" s="15" t="s">
        <v>24</v>
      </c>
      <c r="E1396" s="16" t="str">
        <f>IFERROR(_xlfn.XLOOKUP(D1396, tblCourses[CourseID], tblCourses[CourseName], ""), "")</f>
        <v>Human Factors in Aviation (Initial)</v>
      </c>
      <c r="F1396" s="17">
        <v>46175</v>
      </c>
      <c r="G1396" s="17" t="str" cm="1">
        <f t="array" ref="G13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6" s="15" t="str">
        <f ca="1">IF(OR(tblTraining[[#This Row],[Status]]="Renewed",tblTraining[[#This Row],[NextDueDate]]=""),"",tblTraining[[#This Row],[NextDueDate]]-TODAY())</f>
        <v/>
      </c>
      <c r="I1396" s="15" t="str" cm="1">
        <f t="array" aca="1" ref="I13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7" spans="1:9" x14ac:dyDescent="0.25">
      <c r="A1397" s="15">
        <f t="shared" si="21"/>
        <v>1396</v>
      </c>
      <c r="B1397" s="15" t="s">
        <v>444</v>
      </c>
      <c r="C1397" s="15" t="str" cm="1">
        <f t="array" ref="C1397">IFERROR(_xlfn.XLOOKUP(B1397, tblPeople[PersonID], tblPeople[PersonName], ""), "")</f>
        <v>Martin Chege</v>
      </c>
      <c r="D1397" s="15" t="s">
        <v>22</v>
      </c>
      <c r="E1397" s="16" t="str">
        <f>IFERROR(_xlfn.XLOOKUP(D1397, tblCourses[CourseID], tblCourses[CourseName], ""), "")</f>
        <v>Human Factors in Aviation (Refresher)</v>
      </c>
      <c r="F1397" s="17">
        <v>46175</v>
      </c>
      <c r="G1397" s="17" cm="1">
        <f t="array" ref="G13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46906</v>
      </c>
      <c r="H1397" s="15">
        <f ca="1">IF(OR(tblTraining[[#This Row],[Status]]="Renewed",tblTraining[[#This Row],[NextDueDate]]=""),"",tblTraining[[#This Row],[NextDueDate]]-TODAY())</f>
        <v>620</v>
      </c>
      <c r="I1397" s="15" t="str" cm="1">
        <f t="array" aca="1" ref="I13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8" spans="1:9" x14ac:dyDescent="0.25">
      <c r="A1398" s="15">
        <f t="shared" si="21"/>
        <v>1397</v>
      </c>
      <c r="B1398" s="15" t="s">
        <v>410</v>
      </c>
      <c r="C1398" s="15" t="str" cm="1">
        <f t="array" ref="C1398">IFERROR(_xlfn.XLOOKUP(B1398, tblPeople[PersonID], tblPeople[PersonName], ""), "")</f>
        <v>Prudence Muhami</v>
      </c>
      <c r="D1398" s="15" t="s">
        <v>22</v>
      </c>
      <c r="E1398" s="16" t="str">
        <f>IFERROR(_xlfn.XLOOKUP(D1398, tblCourses[CourseID], tblCourses[CourseName], ""), "")</f>
        <v>Human Factors in Aviation (Refresher)</v>
      </c>
      <c r="F1398" s="17">
        <v>46175</v>
      </c>
      <c r="G1398" s="17" cm="1">
        <f t="array" ref="G13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46906</v>
      </c>
      <c r="H1398" s="15">
        <f ca="1">IF(OR(tblTraining[[#This Row],[Status]]="Renewed",tblTraining[[#This Row],[NextDueDate]]=""),"",tblTraining[[#This Row],[NextDueDate]]-TODAY())</f>
        <v>620</v>
      </c>
      <c r="I1398" s="15" t="str" cm="1">
        <f t="array" aca="1" ref="I13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9" spans="1:9" x14ac:dyDescent="0.25">
      <c r="A1399" s="15">
        <f t="shared" si="21"/>
        <v>1398</v>
      </c>
      <c r="B1399" s="15" t="s">
        <v>450</v>
      </c>
      <c r="C1399" s="15" t="str" cm="1">
        <f t="array" ref="C1399">IFERROR(_xlfn.XLOOKUP(B1399, tblPeople[PersonID], tblPeople[PersonName], ""), "")</f>
        <v>Evans Maingi</v>
      </c>
      <c r="D1399" s="15" t="s">
        <v>24</v>
      </c>
      <c r="E1399" s="16" t="str">
        <f>IFERROR(_xlfn.XLOOKUP(D1399, tblCourses[CourseID], tblCourses[CourseName], ""), "")</f>
        <v>Human Factors in Aviation (Initial)</v>
      </c>
      <c r="F1399" s="17">
        <v>46176</v>
      </c>
      <c r="G1399" s="17" t="str" cm="1">
        <f t="array" ref="G13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9" s="15" t="str">
        <f ca="1">IF(OR(tblTraining[[#This Row],[Status]]="Renewed",tblTraining[[#This Row],[NextDueDate]]=""),"",tblTraining[[#This Row],[NextDueDate]]-TODAY())</f>
        <v/>
      </c>
      <c r="I1399" s="15" t="str" cm="1">
        <f t="array" aca="1" ref="I13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0" spans="1:9" x14ac:dyDescent="0.25">
      <c r="A1400" s="15">
        <f t="shared" si="21"/>
        <v>1399</v>
      </c>
      <c r="B1400" s="15" t="s">
        <v>450</v>
      </c>
      <c r="C1400" s="15" t="str" cm="1">
        <f t="array" ref="C1400">IFERROR(_xlfn.XLOOKUP(B1400, tblPeople[PersonID], tblPeople[PersonName], ""), "")</f>
        <v>Evans Maingi</v>
      </c>
      <c r="D1400" s="15" t="s">
        <v>22</v>
      </c>
      <c r="E1400" s="16" t="str">
        <f>IFERROR(_xlfn.XLOOKUP(D1400, tblCourses[CourseID], tblCourses[CourseName], ""), "")</f>
        <v>Human Factors in Aviation (Refresher)</v>
      </c>
      <c r="F1400" s="17">
        <v>46176</v>
      </c>
      <c r="G1400" s="17" cm="1">
        <f t="array" ref="G14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46907</v>
      </c>
      <c r="H1400" s="15">
        <f ca="1">IF(OR(tblTraining[[#This Row],[Status]]="Renewed",tblTraining[[#This Row],[NextDueDate]]=""),"",tblTraining[[#This Row],[NextDueDate]]-TODAY())</f>
        <v>621</v>
      </c>
      <c r="I1400" s="15" t="str" cm="1">
        <f t="array" aca="1" ref="I14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1" spans="1:9" x14ac:dyDescent="0.25">
      <c r="A1401" s="15">
        <f t="shared" si="21"/>
        <v>1400</v>
      </c>
      <c r="B1401" s="15" t="s">
        <v>442</v>
      </c>
      <c r="C1401" s="15" t="str" cm="1">
        <f t="array" ref="C1401">IFERROR(_xlfn.XLOOKUP(B1401, tblPeople[PersonID], tblPeople[PersonName], ""), "")</f>
        <v>Mary Chelagat</v>
      </c>
      <c r="D1401" s="15" t="s">
        <v>182</v>
      </c>
      <c r="E1401" s="16" t="str">
        <f>IFERROR(_xlfn.XLOOKUP(D1401, tblCourses[CourseID], tblCourses[CourseName], ""), "")</f>
        <v>Cessna 208 Series (Caravan) With P&amp;WC PT6A-114/ -114A/ -140 Engines (Refresher)</v>
      </c>
      <c r="F1401" s="17">
        <v>46162</v>
      </c>
      <c r="G1401" s="17" cm="1">
        <f t="array" ref="G14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46893</v>
      </c>
      <c r="H1401" s="15">
        <f ca="1">IF(OR(tblTraining[[#This Row],[Status]]="Renewed",tblTraining[[#This Row],[NextDueDate]]=""),"",tblTraining[[#This Row],[NextDueDate]]-TODAY())</f>
        <v>607</v>
      </c>
      <c r="I1401" s="15" t="str" cm="1">
        <f t="array" aca="1" ref="I14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2" spans="1:9" x14ac:dyDescent="0.25">
      <c r="A1402" s="15">
        <f t="shared" si="21"/>
        <v>1401</v>
      </c>
      <c r="B1402" s="15" t="s">
        <v>215</v>
      </c>
      <c r="C1402" s="15" t="str" cm="1">
        <f t="array" ref="C1402">IFERROR(_xlfn.XLOOKUP(B1402, tblPeople[PersonID], tblPeople[PersonName], ""), "")</f>
        <v>Samuel Wacho</v>
      </c>
      <c r="D1402" s="15" t="s">
        <v>75</v>
      </c>
      <c r="E1402" s="16" t="str">
        <f>IFERROR(_xlfn.XLOOKUP(D1402, tblCourses[CourseID], tblCourses[CourseName], ""), "")</f>
        <v>Fuel Tank Safety Phase 1 &amp; 2 Course (Refresher)</v>
      </c>
      <c r="F1402" s="17">
        <v>46180</v>
      </c>
      <c r="G1402" s="17" cm="1">
        <f t="array" ref="G14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46911</v>
      </c>
      <c r="H1402" s="15">
        <f ca="1">IF(OR(tblTraining[[#This Row],[Status]]="Renewed",tblTraining[[#This Row],[NextDueDate]]=""),"",tblTraining[[#This Row],[NextDueDate]]-TODAY())</f>
        <v>625</v>
      </c>
      <c r="I1402" s="15" t="str" cm="1">
        <f t="array" aca="1" ref="I14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3" spans="1:9" x14ac:dyDescent="0.25">
      <c r="A1403" s="15">
        <f t="shared" si="21"/>
        <v>1402</v>
      </c>
      <c r="B1403" s="15" t="s">
        <v>85</v>
      </c>
      <c r="C1403" s="15" t="str" cm="1">
        <f t="array" ref="C1403">IFERROR(_xlfn.XLOOKUP(B1403, tblPeople[PersonID], tblPeople[PersonName], ""), "")</f>
        <v>Titus Shunza</v>
      </c>
      <c r="D1403" s="15" t="s">
        <v>202</v>
      </c>
      <c r="E1403" s="16" t="str">
        <f>IFERROR(_xlfn.XLOOKUP(D1403, tblCourses[CourseID], tblCourses[CourseName], ""), "")</f>
        <v>Maintenance Procedures &amp; Standard Maintenance Practices (Refresher)</v>
      </c>
      <c r="F1403" s="17">
        <v>44505</v>
      </c>
      <c r="G1403" s="17" t="str" cm="1">
        <f t="array" ref="G14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03" s="15" t="str">
        <f ca="1">IF(OR(tblTraining[[#This Row],[Status]]="Renewed",tblTraining[[#This Row],[NextDueDate]]=""),"",tblTraining[[#This Row],[NextDueDate]]-TODAY())</f>
        <v/>
      </c>
      <c r="I1403" s="15" t="str" cm="1">
        <f t="array" aca="1" ref="I14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04" spans="1:9" x14ac:dyDescent="0.25">
      <c r="A1404" s="15">
        <f t="shared" si="21"/>
        <v>1403</v>
      </c>
      <c r="B1404" s="15" t="s">
        <v>445</v>
      </c>
      <c r="C1404" s="15" t="str" cm="1">
        <f t="array" ref="C1404">IFERROR(_xlfn.XLOOKUP(B1404, tblPeople[PersonID], tblPeople[PersonName], ""), "")</f>
        <v>Brian Muga</v>
      </c>
      <c r="D1404" s="15" t="s">
        <v>110</v>
      </c>
      <c r="E1404" s="16" t="str">
        <f>IFERROR(_xlfn.XLOOKUP(D1404, tblCourses[CourseID], tblCourses[CourseName], ""), "")</f>
        <v>Electrical Wiring Interconnection System Target Groups 1 &amp; 2 (Initial)</v>
      </c>
      <c r="F1404" s="17">
        <v>46179</v>
      </c>
      <c r="G1404" s="17" t="str" cm="1">
        <f t="array" ref="G14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04" s="15" t="str">
        <f ca="1">IF(OR(tblTraining[[#This Row],[Status]]="Renewed",tblTraining[[#This Row],[NextDueDate]]=""),"",tblTraining[[#This Row],[NextDueDate]]-TODAY())</f>
        <v/>
      </c>
      <c r="I1404" s="15" t="str" cm="1">
        <f t="array" aca="1" ref="I14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5" spans="1:9" x14ac:dyDescent="0.25">
      <c r="A1405" s="15">
        <f t="shared" si="21"/>
        <v>1404</v>
      </c>
      <c r="B1405" s="15" t="s">
        <v>445</v>
      </c>
      <c r="C1405" s="15" t="str" cm="1">
        <f t="array" ref="C1405">IFERROR(_xlfn.XLOOKUP(B1405, tblPeople[PersonID], tblPeople[PersonName], ""), "")</f>
        <v>Brian Muga</v>
      </c>
      <c r="D1405" s="15" t="s">
        <v>109</v>
      </c>
      <c r="E1405" s="16" t="str">
        <f>IFERROR(_xlfn.XLOOKUP(D1405, tblCourses[CourseID], tblCourses[CourseName], ""), "")</f>
        <v>Electrical Wiring Interconnection System Target Groups 1 &amp; 2 (Refresher)</v>
      </c>
      <c r="F1405" s="17">
        <v>46179</v>
      </c>
      <c r="G1405" s="17" cm="1">
        <f t="array" ref="G14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46910</v>
      </c>
      <c r="H1405" s="15">
        <f ca="1">IF(OR(tblTraining[[#This Row],[Status]]="Renewed",tblTraining[[#This Row],[NextDueDate]]=""),"",tblTraining[[#This Row],[NextDueDate]]-TODAY())</f>
        <v>624</v>
      </c>
      <c r="I1405" s="15" t="str" cm="1">
        <f t="array" aca="1" ref="I14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6" spans="1:9" x14ac:dyDescent="0.25">
      <c r="A1406" s="15">
        <f t="shared" si="21"/>
        <v>1405</v>
      </c>
      <c r="B1406" s="15" t="s">
        <v>150</v>
      </c>
      <c r="C1406" s="15" t="str" cm="1">
        <f t="array" ref="C1406">IFERROR(_xlfn.XLOOKUP(B1406, tblPeople[PersonID], tblPeople[PersonName], ""), "")</f>
        <v>Kea Kazungu</v>
      </c>
      <c r="D1406" s="15" t="s">
        <v>75</v>
      </c>
      <c r="E1406" s="16" t="str">
        <f>IFERROR(_xlfn.XLOOKUP(D1406, tblCourses[CourseID], tblCourses[CourseName], ""), "")</f>
        <v>Fuel Tank Safety Phase 1 &amp; 2 Course (Refresher)</v>
      </c>
      <c r="F1406" s="17">
        <v>46189</v>
      </c>
      <c r="G1406" s="17" cm="1">
        <f t="array" ref="G14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46920</v>
      </c>
      <c r="H1406" s="15">
        <f ca="1">IF(OR(tblTraining[[#This Row],[Status]]="Renewed",tblTraining[[#This Row],[NextDueDate]]=""),"",tblTraining[[#This Row],[NextDueDate]]-TODAY())</f>
        <v>634</v>
      </c>
      <c r="I1406" s="15" t="str" cm="1">
        <f t="array" aca="1" ref="I14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7" spans="1:9" x14ac:dyDescent="0.25">
      <c r="A1407" s="15">
        <f t="shared" si="21"/>
        <v>1406</v>
      </c>
      <c r="B1407" s="15" t="s">
        <v>361</v>
      </c>
      <c r="C1407" s="15" t="str" cm="1">
        <f t="array" ref="C1407">IFERROR(_xlfn.XLOOKUP(B1407, tblPeople[PersonID], tblPeople[PersonName], ""), "")</f>
        <v>Jackline Muembu</v>
      </c>
      <c r="D1407" s="15" t="s">
        <v>22</v>
      </c>
      <c r="E1407" s="16" t="str">
        <f>IFERROR(_xlfn.XLOOKUP(D1407, tblCourses[CourseID], tblCourses[CourseName], ""), "")</f>
        <v>Human Factors in Aviation (Refresher)</v>
      </c>
      <c r="F1407" s="17">
        <v>46189</v>
      </c>
      <c r="G1407" s="17" cm="1">
        <f t="array" ref="G14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46920</v>
      </c>
      <c r="H1407" s="15">
        <f ca="1">IF(OR(tblTraining[[#This Row],[Status]]="Renewed",tblTraining[[#This Row],[NextDueDate]]=""),"",tblTraining[[#This Row],[NextDueDate]]-TODAY())</f>
        <v>634</v>
      </c>
      <c r="I1407" s="15" t="str" cm="1">
        <f t="array" aca="1" ref="I14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8" spans="1:9" x14ac:dyDescent="0.25">
      <c r="A1408" s="15">
        <f t="shared" si="21"/>
        <v>1407</v>
      </c>
      <c r="B1408" s="15" t="s">
        <v>473</v>
      </c>
      <c r="C1408" s="15" t="str" cm="1">
        <f t="array" ref="C1408">IFERROR(_xlfn.XLOOKUP(B1408, tblPeople[PersonID], tblPeople[PersonName], ""), "")</f>
        <v>Dickson Mzungu</v>
      </c>
      <c r="D1408" s="15" t="s">
        <v>110</v>
      </c>
      <c r="E1408" s="16" t="str">
        <f>IFERROR(_xlfn.XLOOKUP(D1408, tblCourses[CourseID], tblCourses[CourseName], ""), "")</f>
        <v>Electrical Wiring Interconnection System Target Groups 1 &amp; 2 (Initial)</v>
      </c>
      <c r="F1408" s="17">
        <v>46186</v>
      </c>
      <c r="G1408" s="17" t="str" cm="1">
        <f t="array" ref="G14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08" s="15" t="str">
        <f ca="1">IF(OR(tblTraining[[#This Row],[Status]]="Renewed",tblTraining[[#This Row],[NextDueDate]]=""),"",tblTraining[[#This Row],[NextDueDate]]-TODAY())</f>
        <v/>
      </c>
      <c r="I1408" s="15" t="str" cm="1">
        <f t="array" aca="1" ref="I14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9" spans="1:9" x14ac:dyDescent="0.25">
      <c r="A1409" s="15">
        <f t="shared" si="21"/>
        <v>1408</v>
      </c>
      <c r="B1409" s="15" t="s">
        <v>473</v>
      </c>
      <c r="C1409" s="15" t="str" cm="1">
        <f t="array" ref="C1409">IFERROR(_xlfn.XLOOKUP(B1409, tblPeople[PersonID], tblPeople[PersonName], ""), "")</f>
        <v>Dickson Mzungu</v>
      </c>
      <c r="D1409" s="15" t="s">
        <v>109</v>
      </c>
      <c r="E1409" s="16" t="str">
        <f>IFERROR(_xlfn.XLOOKUP(D1409, tblCourses[CourseID], tblCourses[CourseName], ""), "")</f>
        <v>Electrical Wiring Interconnection System Target Groups 1 &amp; 2 (Refresher)</v>
      </c>
      <c r="F1409" s="17">
        <v>46186</v>
      </c>
      <c r="G1409" s="17" cm="1">
        <f t="array" ref="G14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46917</v>
      </c>
      <c r="H1409" s="15">
        <f ca="1">IF(OR(tblTraining[[#This Row],[Status]]="Renewed",tblTraining[[#This Row],[NextDueDate]]=""),"",tblTraining[[#This Row],[NextDueDate]]-TODAY())</f>
        <v>631</v>
      </c>
      <c r="I1409" s="15" t="str" cm="1">
        <f t="array" aca="1" ref="I14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0" spans="1:9" x14ac:dyDescent="0.25">
      <c r="A1410" s="15">
        <f t="shared" si="21"/>
        <v>1409</v>
      </c>
      <c r="B1410" s="15" t="s">
        <v>210</v>
      </c>
      <c r="C1410" s="15" t="str" cm="1">
        <f t="array" ref="C1410">IFERROR(_xlfn.XLOOKUP(B1410, tblPeople[PersonID], tblPeople[PersonName], ""), "")</f>
        <v>Andrew Ondiek</v>
      </c>
      <c r="D1410" s="15" t="s">
        <v>110</v>
      </c>
      <c r="E1410" s="16" t="str">
        <f>IFERROR(_xlfn.XLOOKUP(D1410, tblCourses[CourseID], tblCourses[CourseName], ""), "")</f>
        <v>Electrical Wiring Interconnection System Target Groups 1 &amp; 2 (Initial)</v>
      </c>
      <c r="F1410" s="17">
        <v>46187</v>
      </c>
      <c r="G1410" s="17" t="str" cm="1">
        <f t="array" ref="G14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0" s="15" t="str">
        <f ca="1">IF(OR(tblTraining[[#This Row],[Status]]="Renewed",tblTraining[[#This Row],[NextDueDate]]=""),"",tblTraining[[#This Row],[NextDueDate]]-TODAY())</f>
        <v/>
      </c>
      <c r="I1410" s="15" t="str" cm="1">
        <f t="array" aca="1" ref="I14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1" spans="1:9" x14ac:dyDescent="0.25">
      <c r="A1411" s="15">
        <f t="shared" si="21"/>
        <v>1410</v>
      </c>
      <c r="B1411" s="15" t="s">
        <v>210</v>
      </c>
      <c r="C1411" s="15" t="str" cm="1">
        <f t="array" ref="C1411">IFERROR(_xlfn.XLOOKUP(B1411, tblPeople[PersonID], tblPeople[PersonName], ""), "")</f>
        <v>Andrew Ondiek</v>
      </c>
      <c r="D1411" s="15" t="s">
        <v>109</v>
      </c>
      <c r="E1411" s="16" t="str">
        <f>IFERROR(_xlfn.XLOOKUP(D1411, tblCourses[CourseID], tblCourses[CourseName], ""), "")</f>
        <v>Electrical Wiring Interconnection System Target Groups 1 &amp; 2 (Refresher)</v>
      </c>
      <c r="F1411" s="17">
        <v>46187</v>
      </c>
      <c r="G1411" s="17" cm="1">
        <f t="array" ref="G14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411" s="15">
        <f ca="1">IF(OR(tblTraining[[#This Row],[Status]]="Renewed",tblTraining[[#This Row],[NextDueDate]]=""),"",tblTraining[[#This Row],[NextDueDate]]-TODAY())</f>
        <v>632</v>
      </c>
      <c r="I1411" s="15" t="str" cm="1">
        <f t="array" aca="1" ref="I14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2" spans="1:9" x14ac:dyDescent="0.25">
      <c r="A1412" s="15">
        <f t="shared" ref="A1412:A1475" si="22">A1411+1</f>
        <v>1411</v>
      </c>
      <c r="B1412" s="15" t="s">
        <v>93</v>
      </c>
      <c r="C1412" s="15" t="str" cm="1">
        <f t="array" ref="C1412">IFERROR(_xlfn.XLOOKUP(B1412, tblPeople[PersonID], tblPeople[PersonName], ""), "")</f>
        <v>Stephen Tunje</v>
      </c>
      <c r="D1412" s="15" t="s">
        <v>75</v>
      </c>
      <c r="E1412" s="16" t="str">
        <f>IFERROR(_xlfn.XLOOKUP(D1412, tblCourses[CourseID], tblCourses[CourseName], ""), "")</f>
        <v>Fuel Tank Safety Phase 1 &amp; 2 Course (Refresher)</v>
      </c>
      <c r="F1412" s="17">
        <v>46187</v>
      </c>
      <c r="G1412" s="17" cm="1">
        <f t="array" ref="G14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412" s="15">
        <f ca="1">IF(OR(tblTraining[[#This Row],[Status]]="Renewed",tblTraining[[#This Row],[NextDueDate]]=""),"",tblTraining[[#This Row],[NextDueDate]]-TODAY())</f>
        <v>632</v>
      </c>
      <c r="I1412" s="15" t="str" cm="1">
        <f t="array" aca="1" ref="I14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3" spans="1:9" x14ac:dyDescent="0.25">
      <c r="A1413" s="15">
        <f t="shared" si="22"/>
        <v>1412</v>
      </c>
      <c r="B1413" s="15" t="s">
        <v>443</v>
      </c>
      <c r="C1413" s="15" t="str" cm="1">
        <f t="array" ref="C1413">IFERROR(_xlfn.XLOOKUP(B1413, tblPeople[PersonID], tblPeople[PersonName], ""), "")</f>
        <v>Alfred Okudo</v>
      </c>
      <c r="D1413" s="15" t="s">
        <v>110</v>
      </c>
      <c r="E1413" s="16" t="str">
        <f>IFERROR(_xlfn.XLOOKUP(D1413, tblCourses[CourseID], tblCourses[CourseName], ""), "")</f>
        <v>Electrical Wiring Interconnection System Target Groups 1 &amp; 2 (Initial)</v>
      </c>
      <c r="F1413" s="17">
        <v>46187</v>
      </c>
      <c r="G1413" s="17" t="str" cm="1">
        <f t="array" ref="G14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3" s="15" t="str">
        <f ca="1">IF(OR(tblTraining[[#This Row],[Status]]="Renewed",tblTraining[[#This Row],[NextDueDate]]=""),"",tblTraining[[#This Row],[NextDueDate]]-TODAY())</f>
        <v/>
      </c>
      <c r="I1413" s="15" t="str" cm="1">
        <f t="array" aca="1" ref="I14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4" spans="1:9" x14ac:dyDescent="0.25">
      <c r="A1414" s="15">
        <f t="shared" si="22"/>
        <v>1413</v>
      </c>
      <c r="B1414" s="15" t="s">
        <v>443</v>
      </c>
      <c r="C1414" s="15" t="str" cm="1">
        <f t="array" ref="C1414">IFERROR(_xlfn.XLOOKUP(B1414, tblPeople[PersonID], tblPeople[PersonName], ""), "")</f>
        <v>Alfred Okudo</v>
      </c>
      <c r="D1414" s="15" t="s">
        <v>109</v>
      </c>
      <c r="E1414" s="16" t="str">
        <f>IFERROR(_xlfn.XLOOKUP(D1414, tblCourses[CourseID], tblCourses[CourseName], ""), "")</f>
        <v>Electrical Wiring Interconnection System Target Groups 1 &amp; 2 (Refresher)</v>
      </c>
      <c r="F1414" s="17">
        <v>46187</v>
      </c>
      <c r="G1414" s="17" cm="1">
        <f t="array" ref="G14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414" s="15">
        <f ca="1">IF(OR(tblTraining[[#This Row],[Status]]="Renewed",tblTraining[[#This Row],[NextDueDate]]=""),"",tblTraining[[#This Row],[NextDueDate]]-TODAY())</f>
        <v>632</v>
      </c>
      <c r="I1414" s="15" t="str" cm="1">
        <f t="array" aca="1" ref="I14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5" spans="1:9" x14ac:dyDescent="0.25">
      <c r="A1415" s="15">
        <f t="shared" si="22"/>
        <v>1414</v>
      </c>
      <c r="B1415" s="15" t="s">
        <v>217</v>
      </c>
      <c r="C1415" s="15" t="str" cm="1">
        <f t="array" ref="C1415">IFERROR(_xlfn.XLOOKUP(B1415, tblPeople[PersonID], tblPeople[PersonName], ""), "")</f>
        <v>Angeline Nthakyo</v>
      </c>
      <c r="D1415" s="15" t="s">
        <v>110</v>
      </c>
      <c r="E1415" s="16" t="str">
        <f>IFERROR(_xlfn.XLOOKUP(D1415, tblCourses[CourseID], tblCourses[CourseName], ""), "")</f>
        <v>Electrical Wiring Interconnection System Target Groups 1 &amp; 2 (Initial)</v>
      </c>
      <c r="F1415" s="17">
        <v>46187</v>
      </c>
      <c r="G1415" s="17" t="str" cm="1">
        <f t="array" ref="G14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5" s="15" t="str">
        <f ca="1">IF(OR(tblTraining[[#This Row],[Status]]="Renewed",tblTraining[[#This Row],[NextDueDate]]=""),"",tblTraining[[#This Row],[NextDueDate]]-TODAY())</f>
        <v/>
      </c>
      <c r="I1415" s="15" t="str" cm="1">
        <f t="array" aca="1" ref="I14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6" spans="1:9" x14ac:dyDescent="0.25">
      <c r="A1416" s="15">
        <f t="shared" si="22"/>
        <v>1415</v>
      </c>
      <c r="B1416" s="15" t="s">
        <v>217</v>
      </c>
      <c r="C1416" s="15" t="str" cm="1">
        <f t="array" ref="C1416">IFERROR(_xlfn.XLOOKUP(B1416, tblPeople[PersonID], tblPeople[PersonName], ""), "")</f>
        <v>Angeline Nthakyo</v>
      </c>
      <c r="D1416" s="15" t="s">
        <v>109</v>
      </c>
      <c r="E1416" s="16" t="str">
        <f>IFERROR(_xlfn.XLOOKUP(D1416, tblCourses[CourseID], tblCourses[CourseName], ""), "")</f>
        <v>Electrical Wiring Interconnection System Target Groups 1 &amp; 2 (Refresher)</v>
      </c>
      <c r="F1416" s="17">
        <v>46187</v>
      </c>
      <c r="G1416" s="17" cm="1">
        <f t="array" ref="G14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416" s="15">
        <f ca="1">IF(OR(tblTraining[[#This Row],[Status]]="Renewed",tblTraining[[#This Row],[NextDueDate]]=""),"",tblTraining[[#This Row],[NextDueDate]]-TODAY())</f>
        <v>632</v>
      </c>
      <c r="I1416" s="15" t="str" cm="1">
        <f t="array" aca="1" ref="I14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7" spans="1:9" x14ac:dyDescent="0.25">
      <c r="A1417" s="15">
        <f t="shared" si="22"/>
        <v>1416</v>
      </c>
      <c r="B1417" s="15" t="s">
        <v>447</v>
      </c>
      <c r="C1417" s="15" t="str" cm="1">
        <f t="array" ref="C1417">IFERROR(_xlfn.XLOOKUP(B1417, tblPeople[PersonID], tblPeople[PersonName], ""), "")</f>
        <v>Francis Mutonga</v>
      </c>
      <c r="D1417" s="15" t="s">
        <v>110</v>
      </c>
      <c r="E1417" s="16" t="str">
        <f>IFERROR(_xlfn.XLOOKUP(D1417, tblCourses[CourseID], tblCourses[CourseName], ""), "")</f>
        <v>Electrical Wiring Interconnection System Target Groups 1 &amp; 2 (Initial)</v>
      </c>
      <c r="F1417" s="17">
        <v>46186</v>
      </c>
      <c r="G1417" s="17" t="str" cm="1">
        <f t="array" ref="G14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7" s="15" t="str">
        <f ca="1">IF(OR(tblTraining[[#This Row],[Status]]="Renewed",tblTraining[[#This Row],[NextDueDate]]=""),"",tblTraining[[#This Row],[NextDueDate]]-TODAY())</f>
        <v/>
      </c>
      <c r="I1417" s="15" t="str" cm="1">
        <f t="array" aca="1" ref="I14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8" spans="1:9" x14ac:dyDescent="0.25">
      <c r="A1418" s="15">
        <f t="shared" si="22"/>
        <v>1417</v>
      </c>
      <c r="B1418" s="15" t="s">
        <v>447</v>
      </c>
      <c r="C1418" s="15" t="str" cm="1">
        <f t="array" ref="C1418">IFERROR(_xlfn.XLOOKUP(B1418, tblPeople[PersonID], tblPeople[PersonName], ""), "")</f>
        <v>Francis Mutonga</v>
      </c>
      <c r="D1418" s="15" t="s">
        <v>109</v>
      </c>
      <c r="E1418" s="16" t="str">
        <f>IFERROR(_xlfn.XLOOKUP(D1418, tblCourses[CourseID], tblCourses[CourseName], ""), "")</f>
        <v>Electrical Wiring Interconnection System Target Groups 1 &amp; 2 (Refresher)</v>
      </c>
      <c r="F1418" s="17">
        <v>46186</v>
      </c>
      <c r="G1418" s="17" cm="1">
        <f t="array" ref="G14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46917</v>
      </c>
      <c r="H1418" s="15">
        <f ca="1">IF(OR(tblTraining[[#This Row],[Status]]="Renewed",tblTraining[[#This Row],[NextDueDate]]=""),"",tblTraining[[#This Row],[NextDueDate]]-TODAY())</f>
        <v>631</v>
      </c>
      <c r="I1418" s="15" t="str" cm="1">
        <f t="array" aca="1" ref="I14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9" spans="1:9" x14ac:dyDescent="0.25">
      <c r="A1419" s="15">
        <f t="shared" si="22"/>
        <v>1418</v>
      </c>
      <c r="B1419" s="15" t="s">
        <v>267</v>
      </c>
      <c r="C1419" s="15" t="str" cm="1">
        <f t="array" ref="C1419">IFERROR(_xlfn.XLOOKUP(B1419, tblPeople[PersonID], tblPeople[PersonName], ""), "")</f>
        <v>Romy Okello</v>
      </c>
      <c r="D1419" s="15" t="s">
        <v>110</v>
      </c>
      <c r="E1419" s="16" t="str">
        <f>IFERROR(_xlfn.XLOOKUP(D1419, tblCourses[CourseID], tblCourses[CourseName], ""), "")</f>
        <v>Electrical Wiring Interconnection System Target Groups 1 &amp; 2 (Initial)</v>
      </c>
      <c r="F1419" s="17">
        <v>46187</v>
      </c>
      <c r="G1419" s="17" t="str" cm="1">
        <f t="array" ref="G14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9" s="15" t="str">
        <f ca="1">IF(OR(tblTraining[[#This Row],[Status]]="Renewed",tblTraining[[#This Row],[NextDueDate]]=""),"",tblTraining[[#This Row],[NextDueDate]]-TODAY())</f>
        <v/>
      </c>
      <c r="I1419" s="15" t="str" cm="1">
        <f t="array" aca="1" ref="I14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0" spans="1:9" x14ac:dyDescent="0.25">
      <c r="A1420" s="15">
        <f t="shared" si="22"/>
        <v>1419</v>
      </c>
      <c r="B1420" s="15" t="s">
        <v>267</v>
      </c>
      <c r="C1420" s="15" t="str" cm="1">
        <f t="array" ref="C1420">IFERROR(_xlfn.XLOOKUP(B1420, tblPeople[PersonID], tblPeople[PersonName], ""), "")</f>
        <v>Romy Okello</v>
      </c>
      <c r="D1420" s="15" t="s">
        <v>109</v>
      </c>
      <c r="E1420" s="16" t="str">
        <f>IFERROR(_xlfn.XLOOKUP(D1420, tblCourses[CourseID], tblCourses[CourseName], ""), "")</f>
        <v>Electrical Wiring Interconnection System Target Groups 1 &amp; 2 (Refresher)</v>
      </c>
      <c r="F1420" s="17">
        <v>46187</v>
      </c>
      <c r="G1420" s="17" cm="1">
        <f t="array" ref="G14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420" s="15">
        <f ca="1">IF(OR(tblTraining[[#This Row],[Status]]="Renewed",tblTraining[[#This Row],[NextDueDate]]=""),"",tblTraining[[#This Row],[NextDueDate]]-TODAY())</f>
        <v>632</v>
      </c>
      <c r="I1420" s="15" t="str" cm="1">
        <f t="array" aca="1" ref="I14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1" spans="1:9" x14ac:dyDescent="0.25">
      <c r="A1421" s="15">
        <f t="shared" si="22"/>
        <v>1420</v>
      </c>
      <c r="B1421" s="15" t="s">
        <v>214</v>
      </c>
      <c r="C1421" s="15" t="str" cm="1">
        <f t="array" ref="C1421">IFERROR(_xlfn.XLOOKUP(B1421, tblPeople[PersonID], tblPeople[PersonName], ""), "")</f>
        <v xml:space="preserve">Edwin Kemei </v>
      </c>
      <c r="D1421" s="15" t="s">
        <v>202</v>
      </c>
      <c r="E1421" s="16" t="str">
        <f>IFERROR(_xlfn.XLOOKUP(D1421, tblCourses[CourseID], tblCourses[CourseName], ""), "")</f>
        <v>Maintenance Procedures &amp; Standard Maintenance Practices (Refresher)</v>
      </c>
      <c r="F1421" s="17">
        <v>46184</v>
      </c>
      <c r="G1421" s="17" cm="1">
        <f t="array" ref="G14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1" s="15">
        <f ca="1">IF(OR(tblTraining[[#This Row],[Status]]="Renewed",tblTraining[[#This Row],[NextDueDate]]=""),"",tblTraining[[#This Row],[NextDueDate]]-TODAY())</f>
        <v>629</v>
      </c>
      <c r="I1421" s="15" t="str" cm="1">
        <f t="array" aca="1" ref="I14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2" spans="1:9" x14ac:dyDescent="0.25">
      <c r="A1422" s="15">
        <f t="shared" si="22"/>
        <v>1421</v>
      </c>
      <c r="B1422" s="15" t="s">
        <v>98</v>
      </c>
      <c r="C1422" s="15" t="str" cm="1">
        <f t="array" ref="C1422">IFERROR(_xlfn.XLOOKUP(B1422, tblPeople[PersonID], tblPeople[PersonName], ""), "")</f>
        <v>Thadeus Mong’are</v>
      </c>
      <c r="D1422" s="15" t="s">
        <v>202</v>
      </c>
      <c r="E1422" s="16" t="str">
        <f>IFERROR(_xlfn.XLOOKUP(D1422, tblCourses[CourseID], tblCourses[CourseName], ""), "")</f>
        <v>Maintenance Procedures &amp; Standard Maintenance Practices (Refresher)</v>
      </c>
      <c r="F1422" s="17">
        <v>46184</v>
      </c>
      <c r="G1422" s="17" cm="1">
        <f t="array" ref="G14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2" s="15">
        <f ca="1">IF(OR(tblTraining[[#This Row],[Status]]="Renewed",tblTraining[[#This Row],[NextDueDate]]=""),"",tblTraining[[#This Row],[NextDueDate]]-TODAY())</f>
        <v>629</v>
      </c>
      <c r="I1422" s="15" t="str" cm="1">
        <f t="array" aca="1" ref="I14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3" spans="1:9" x14ac:dyDescent="0.25">
      <c r="A1423" s="15">
        <f t="shared" si="22"/>
        <v>1422</v>
      </c>
      <c r="B1423" s="15" t="s">
        <v>106</v>
      </c>
      <c r="C1423" s="15" t="str" cm="1">
        <f t="array" ref="C1423">IFERROR(_xlfn.XLOOKUP(B1423, tblPeople[PersonID], tblPeople[PersonName], ""), "")</f>
        <v>James Mugo</v>
      </c>
      <c r="D1423" s="15" t="s">
        <v>202</v>
      </c>
      <c r="E1423" s="16" t="str">
        <f>IFERROR(_xlfn.XLOOKUP(D1423, tblCourses[CourseID], tblCourses[CourseName], ""), "")</f>
        <v>Maintenance Procedures &amp; Standard Maintenance Practices (Refresher)</v>
      </c>
      <c r="F1423" s="17">
        <v>46184</v>
      </c>
      <c r="G1423" s="17" cm="1">
        <f t="array" ref="G14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3" s="15">
        <f ca="1">IF(OR(tblTraining[[#This Row],[Status]]="Renewed",tblTraining[[#This Row],[NextDueDate]]=""),"",tblTraining[[#This Row],[NextDueDate]]-TODAY())</f>
        <v>629</v>
      </c>
      <c r="I1423" s="15" t="str" cm="1">
        <f t="array" aca="1" ref="I14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4" spans="1:9" x14ac:dyDescent="0.25">
      <c r="A1424" s="15">
        <f t="shared" si="22"/>
        <v>1423</v>
      </c>
      <c r="B1424" s="15" t="s">
        <v>88</v>
      </c>
      <c r="C1424" s="15" t="str" cm="1">
        <f t="array" ref="C1424">IFERROR(_xlfn.XLOOKUP(B1424, tblPeople[PersonID], tblPeople[PersonName], ""), "")</f>
        <v>Michael Njihia</v>
      </c>
      <c r="D1424" s="15" t="s">
        <v>202</v>
      </c>
      <c r="E1424" s="16" t="str">
        <f>IFERROR(_xlfn.XLOOKUP(D1424, tblCourses[CourseID], tblCourses[CourseName], ""), "")</f>
        <v>Maintenance Procedures &amp; Standard Maintenance Practices (Refresher)</v>
      </c>
      <c r="F1424" s="17">
        <v>46184</v>
      </c>
      <c r="G1424" s="17" cm="1">
        <f t="array" ref="G14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4" s="15">
        <f ca="1">IF(OR(tblTraining[[#This Row],[Status]]="Renewed",tblTraining[[#This Row],[NextDueDate]]=""),"",tblTraining[[#This Row],[NextDueDate]]-TODAY())</f>
        <v>629</v>
      </c>
      <c r="I1424" s="15" t="str" cm="1">
        <f t="array" aca="1" ref="I14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5" spans="1:9" x14ac:dyDescent="0.25">
      <c r="A1425" s="15">
        <f t="shared" si="22"/>
        <v>1424</v>
      </c>
      <c r="B1425" s="15" t="s">
        <v>86</v>
      </c>
      <c r="C1425" s="15" t="str" cm="1">
        <f t="array" ref="C1425">IFERROR(_xlfn.XLOOKUP(B1425, tblPeople[PersonID], tblPeople[PersonName], ""), "")</f>
        <v>Samuel Okoth</v>
      </c>
      <c r="D1425" s="15" t="s">
        <v>202</v>
      </c>
      <c r="E1425" s="16" t="str">
        <f>IFERROR(_xlfn.XLOOKUP(D1425, tblCourses[CourseID], tblCourses[CourseName], ""), "")</f>
        <v>Maintenance Procedures &amp; Standard Maintenance Practices (Refresher)</v>
      </c>
      <c r="F1425" s="17">
        <v>46184</v>
      </c>
      <c r="G1425" s="17" cm="1">
        <f t="array" ref="G14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5" s="15">
        <f ca="1">IF(OR(tblTraining[[#This Row],[Status]]="Renewed",tblTraining[[#This Row],[NextDueDate]]=""),"",tblTraining[[#This Row],[NextDueDate]]-TODAY())</f>
        <v>629</v>
      </c>
      <c r="I1425" s="15" t="str" cm="1">
        <f t="array" aca="1" ref="I14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6" spans="1:9" x14ac:dyDescent="0.25">
      <c r="A1426" s="15">
        <f t="shared" si="22"/>
        <v>1425</v>
      </c>
      <c r="B1426" s="15" t="s">
        <v>87</v>
      </c>
      <c r="C1426" s="15" t="str" cm="1">
        <f t="array" ref="C1426">IFERROR(_xlfn.XLOOKUP(B1426, tblPeople[PersonID], tblPeople[PersonName], ""), "")</f>
        <v>Sydney Sawe</v>
      </c>
      <c r="D1426" s="15" t="s">
        <v>202</v>
      </c>
      <c r="E1426" s="16" t="str">
        <f>IFERROR(_xlfn.XLOOKUP(D1426, tblCourses[CourseID], tblCourses[CourseName], ""), "")</f>
        <v>Maintenance Procedures &amp; Standard Maintenance Practices (Refresher)</v>
      </c>
      <c r="F1426" s="17">
        <v>46184</v>
      </c>
      <c r="G1426" s="17" cm="1">
        <f t="array" ref="G14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6" s="15">
        <f ca="1">IF(OR(tblTraining[[#This Row],[Status]]="Renewed",tblTraining[[#This Row],[NextDueDate]]=""),"",tblTraining[[#This Row],[NextDueDate]]-TODAY())</f>
        <v>629</v>
      </c>
      <c r="I1426" s="15" t="str" cm="1">
        <f t="array" aca="1" ref="I14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7" spans="1:9" x14ac:dyDescent="0.25">
      <c r="A1427" s="15">
        <f t="shared" si="22"/>
        <v>1426</v>
      </c>
      <c r="B1427" s="15" t="s">
        <v>85</v>
      </c>
      <c r="C1427" s="15" t="str" cm="1">
        <f t="array" ref="C1427">IFERROR(_xlfn.XLOOKUP(B1427, tblPeople[PersonID], tblPeople[PersonName], ""), "")</f>
        <v>Titus Shunza</v>
      </c>
      <c r="D1427" s="15" t="s">
        <v>202</v>
      </c>
      <c r="E1427" s="16" t="str">
        <f>IFERROR(_xlfn.XLOOKUP(D1427, tblCourses[CourseID], tblCourses[CourseName], ""), "")</f>
        <v>Maintenance Procedures &amp; Standard Maintenance Practices (Refresher)</v>
      </c>
      <c r="F1427" s="17">
        <v>46184</v>
      </c>
      <c r="G1427" s="17" cm="1">
        <f t="array" ref="G14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7" s="15">
        <f ca="1">IF(OR(tblTraining[[#This Row],[Status]]="Renewed",tblTraining[[#This Row],[NextDueDate]]=""),"",tblTraining[[#This Row],[NextDueDate]]-TODAY())</f>
        <v>629</v>
      </c>
      <c r="I1427" s="15" t="str" cm="1">
        <f t="array" aca="1" ref="I14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8" spans="1:9" x14ac:dyDescent="0.25">
      <c r="A1428" s="15">
        <f t="shared" si="22"/>
        <v>1427</v>
      </c>
      <c r="B1428" s="15" t="s">
        <v>97</v>
      </c>
      <c r="C1428" s="15" t="str" cm="1">
        <f t="array" ref="C1428">IFERROR(_xlfn.XLOOKUP(B1428, tblPeople[PersonID], tblPeople[PersonName], ""), "")</f>
        <v>Thomas Wambunya</v>
      </c>
      <c r="D1428" s="15" t="s">
        <v>202</v>
      </c>
      <c r="E1428" s="16" t="str">
        <f>IFERROR(_xlfn.XLOOKUP(D1428, tblCourses[CourseID], tblCourses[CourseName], ""), "")</f>
        <v>Maintenance Procedures &amp; Standard Maintenance Practices (Refresher)</v>
      </c>
      <c r="F1428" s="17">
        <v>46184</v>
      </c>
      <c r="G1428" s="17" cm="1">
        <f t="array" ref="G14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8" s="15">
        <f ca="1">IF(OR(tblTraining[[#This Row],[Status]]="Renewed",tblTraining[[#This Row],[NextDueDate]]=""),"",tblTraining[[#This Row],[NextDueDate]]-TODAY())</f>
        <v>629</v>
      </c>
      <c r="I1428" s="15" t="str" cm="1">
        <f t="array" aca="1" ref="I14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9" spans="1:9" x14ac:dyDescent="0.25">
      <c r="A1429" s="15">
        <f t="shared" si="22"/>
        <v>1428</v>
      </c>
      <c r="B1429" s="15" t="s">
        <v>472</v>
      </c>
      <c r="C1429" s="15" t="str" cm="1">
        <f t="array" ref="C1429">IFERROR(_xlfn.XLOOKUP(B1429, tblPeople[PersonID], tblPeople[PersonName], ""), "")</f>
        <v>Erick Mwanje</v>
      </c>
      <c r="D1429" s="15" t="s">
        <v>360</v>
      </c>
      <c r="E1429" s="16" t="str">
        <f>IFERROR(_xlfn.XLOOKUP(D1429, tblCourses[CourseID], tblCourses[CourseName], ""), "")</f>
        <v>Maintenance Procedures &amp; Standard Maintenance Practices (Initial)</v>
      </c>
      <c r="F1429" s="17">
        <v>46155</v>
      </c>
      <c r="G1429" s="17" t="str" cm="1">
        <f t="array" ref="G14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9" s="15" t="str">
        <f ca="1">IF(OR(tblTraining[[#This Row],[Status]]="Renewed",tblTraining[[#This Row],[NextDueDate]]=""),"",tblTraining[[#This Row],[NextDueDate]]-TODAY())</f>
        <v/>
      </c>
      <c r="I1429" s="15" t="str" cm="1">
        <f t="array" aca="1" ref="I14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0" spans="1:9" x14ac:dyDescent="0.25">
      <c r="A1430" s="15">
        <f t="shared" si="22"/>
        <v>1429</v>
      </c>
      <c r="B1430" s="15" t="s">
        <v>472</v>
      </c>
      <c r="C1430" s="15" t="str" cm="1">
        <f t="array" ref="C1430">IFERROR(_xlfn.XLOOKUP(B1430, tblPeople[PersonID], tblPeople[PersonName], ""), "")</f>
        <v>Erick Mwanje</v>
      </c>
      <c r="D1430" s="15" t="s">
        <v>202</v>
      </c>
      <c r="E1430" s="16" t="str">
        <f>IFERROR(_xlfn.XLOOKUP(D1430, tblCourses[CourseID], tblCourses[CourseName], ""), "")</f>
        <v>Maintenance Procedures &amp; Standard Maintenance Practices (Refresher)</v>
      </c>
      <c r="F1430" s="17">
        <v>46155</v>
      </c>
      <c r="G1430" s="17" cm="1">
        <f t="array" ref="G14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430" s="15">
        <f ca="1">IF(OR(tblTraining[[#This Row],[Status]]="Renewed",tblTraining[[#This Row],[NextDueDate]]=""),"",tblTraining[[#This Row],[NextDueDate]]-TODAY())</f>
        <v>600</v>
      </c>
      <c r="I1430" s="15" t="str" cm="1">
        <f t="array" aca="1" ref="I14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1" spans="1:9" x14ac:dyDescent="0.25">
      <c r="A1431" s="15">
        <f t="shared" si="22"/>
        <v>1430</v>
      </c>
      <c r="B1431" s="15" t="s">
        <v>210</v>
      </c>
      <c r="C1431" s="15" t="str" cm="1">
        <f t="array" ref="C1431">IFERROR(_xlfn.XLOOKUP(B1431, tblPeople[PersonID], tblPeople[PersonName], ""), "")</f>
        <v>Andrew Ondiek</v>
      </c>
      <c r="D1431" s="15" t="s">
        <v>179</v>
      </c>
      <c r="E1431" s="16" t="str">
        <f>IFERROR(_xlfn.XLOOKUP(D1431, tblCourses[CourseID], tblCourses[CourseName], ""), "")</f>
        <v>Aircraft Maintenance Engineers' Licence</v>
      </c>
      <c r="F1431" s="17">
        <v>46171</v>
      </c>
      <c r="G1431" s="17" cm="1">
        <f t="array" ref="G14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46902</v>
      </c>
      <c r="H1431" s="15">
        <f ca="1">IF(OR(tblTraining[[#This Row],[Status]]="Renewed",tblTraining[[#This Row],[NextDueDate]]=""),"",tblTraining[[#This Row],[NextDueDate]]-TODAY())</f>
        <v>616</v>
      </c>
      <c r="I1431" s="15" t="str" cm="1">
        <f t="array" aca="1" ref="I14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2" spans="1:9" x14ac:dyDescent="0.25">
      <c r="A1432" s="15">
        <f t="shared" si="22"/>
        <v>1431</v>
      </c>
      <c r="B1432" s="15" t="s">
        <v>442</v>
      </c>
      <c r="C1432" s="15" t="str" cm="1">
        <f t="array" ref="C1432">IFERROR(_xlfn.XLOOKUP(B1432, tblPeople[PersonID], tblPeople[PersonName], ""), "")</f>
        <v>Mary Chelagat</v>
      </c>
      <c r="D1432" s="15" t="s">
        <v>179</v>
      </c>
      <c r="E1432" s="16" t="str">
        <f>IFERROR(_xlfn.XLOOKUP(D1432, tblCourses[CourseID], tblCourses[CourseName], ""), "")</f>
        <v>Aircraft Maintenance Engineers' Licence</v>
      </c>
      <c r="F1432" s="17">
        <v>46234</v>
      </c>
      <c r="G1432" s="17" cm="1">
        <f t="array" ref="G14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46965</v>
      </c>
      <c r="H1432" s="15">
        <f ca="1">IF(OR(tblTraining[[#This Row],[Status]]="Renewed",tblTraining[[#This Row],[NextDueDate]]=""),"",tblTraining[[#This Row],[NextDueDate]]-TODAY())</f>
        <v>679</v>
      </c>
      <c r="I1432" s="15" t="str" cm="1">
        <f t="array" aca="1" ref="I14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3" spans="1:9" x14ac:dyDescent="0.25">
      <c r="A1433" s="15">
        <f t="shared" si="22"/>
        <v>1432</v>
      </c>
      <c r="B1433" s="15" t="s">
        <v>473</v>
      </c>
      <c r="C1433" s="15" t="str" cm="1">
        <f t="array" ref="C1433">IFERROR(_xlfn.XLOOKUP(B1433, tblPeople[PersonID], tblPeople[PersonName], ""), "")</f>
        <v>Dickson Mzungu</v>
      </c>
      <c r="D1433" s="15" t="s">
        <v>179</v>
      </c>
      <c r="E1433" s="16" t="str">
        <f>IFERROR(_xlfn.XLOOKUP(D1433, tblCourses[CourseID], tblCourses[CourseName], ""), "")</f>
        <v>Aircraft Maintenance Engineers' Licence</v>
      </c>
      <c r="F1433" s="17">
        <v>46225</v>
      </c>
      <c r="G1433" s="17" cm="1">
        <f t="array" ref="G14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46956</v>
      </c>
      <c r="H1433" s="15">
        <f ca="1">IF(OR(tblTraining[[#This Row],[Status]]="Renewed",tblTraining[[#This Row],[NextDueDate]]=""),"",tblTraining[[#This Row],[NextDueDate]]-TODAY())</f>
        <v>670</v>
      </c>
      <c r="I1433" s="15" t="str" cm="1">
        <f t="array" aca="1" ref="I14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4" spans="1:9" x14ac:dyDescent="0.25">
      <c r="A1434" s="15">
        <f t="shared" si="22"/>
        <v>1433</v>
      </c>
      <c r="B1434" s="15" t="s">
        <v>442</v>
      </c>
      <c r="C1434" s="15" t="str" cm="1">
        <f t="array" ref="C1434">IFERROR(_xlfn.XLOOKUP(B1434, tblPeople[PersonID], tblPeople[PersonName], ""), "")</f>
        <v>Mary Chelagat</v>
      </c>
      <c r="D1434" s="15" t="s">
        <v>109</v>
      </c>
      <c r="E1434" s="16" t="str">
        <f>IFERROR(_xlfn.XLOOKUP(D1434, tblCourses[CourseID], tblCourses[CourseName], ""), "")</f>
        <v>Electrical Wiring Interconnection System Target Groups 1 &amp; 2 (Refresher)</v>
      </c>
      <c r="F1434" s="17">
        <v>46207</v>
      </c>
      <c r="G1434" s="17" cm="1">
        <f t="array" ref="G14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46938</v>
      </c>
      <c r="H1434" s="15">
        <f ca="1">IF(OR(tblTraining[[#This Row],[Status]]="Renewed",tblTraining[[#This Row],[NextDueDate]]=""),"",tblTraining[[#This Row],[NextDueDate]]-TODAY())</f>
        <v>652</v>
      </c>
      <c r="I1434" s="15" t="str" cm="1">
        <f t="array" aca="1" ref="I14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5" spans="1:9" x14ac:dyDescent="0.25">
      <c r="A1435" s="15">
        <f t="shared" si="22"/>
        <v>1434</v>
      </c>
      <c r="B1435" s="15" t="s">
        <v>442</v>
      </c>
      <c r="C1435" s="15" t="str" cm="1">
        <f t="array" ref="C1435">IFERROR(_xlfn.XLOOKUP(B1435, tblPeople[PersonID], tblPeople[PersonName], ""), "")</f>
        <v>Mary Chelagat</v>
      </c>
      <c r="D1435" s="15" t="s">
        <v>110</v>
      </c>
      <c r="E1435" s="16" t="str">
        <f>IFERROR(_xlfn.XLOOKUP(D1435, tblCourses[CourseID], tblCourses[CourseName], ""), "")</f>
        <v>Electrical Wiring Interconnection System Target Groups 1 &amp; 2 (Initial)</v>
      </c>
      <c r="F1435" s="17">
        <v>46207</v>
      </c>
      <c r="G1435" s="17" t="str" cm="1">
        <f t="array" ref="G14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5" s="15" t="str">
        <f ca="1">IF(OR(tblTraining[[#This Row],[Status]]="Renewed",tblTraining[[#This Row],[NextDueDate]]=""),"",tblTraining[[#This Row],[NextDueDate]]-TODAY())</f>
        <v/>
      </c>
      <c r="I1435" s="15" t="str" cm="1">
        <f t="array" aca="1" ref="I14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6" spans="1:9" x14ac:dyDescent="0.25">
      <c r="A1436" s="15">
        <f t="shared" si="22"/>
        <v>1435</v>
      </c>
      <c r="B1436" s="15" t="s">
        <v>475</v>
      </c>
      <c r="C1436" s="15" t="str" cm="1">
        <f t="array" ref="C1436">IFERROR(_xlfn.XLOOKUP(B1436, tblPeople[PersonID], tblPeople[PersonName], ""), "")</f>
        <v>Erick Peter</v>
      </c>
      <c r="D1436" s="15" t="s">
        <v>360</v>
      </c>
      <c r="E1436" s="16" t="str">
        <f>IFERROR(_xlfn.XLOOKUP(D1436, tblCourses[CourseID], tblCourses[CourseName], ""), "")</f>
        <v>Maintenance Procedures &amp; Standard Maintenance Practices (Initial)</v>
      </c>
      <c r="F1436" s="17">
        <v>45843</v>
      </c>
      <c r="G1436" s="17" t="str" cm="1">
        <f t="array" ref="G14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6" s="15" t="str">
        <f ca="1">IF(OR(tblTraining[[#This Row],[Status]]="Renewed",tblTraining[[#This Row],[NextDueDate]]=""),"",tblTraining[[#This Row],[NextDueDate]]-TODAY())</f>
        <v/>
      </c>
      <c r="I1436" s="15" t="str" cm="1">
        <f t="array" aca="1" ref="I14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7" spans="1:9" x14ac:dyDescent="0.25">
      <c r="A1437" s="15">
        <f t="shared" si="22"/>
        <v>1436</v>
      </c>
      <c r="B1437" s="15" t="s">
        <v>475</v>
      </c>
      <c r="C1437" s="15" t="str" cm="1">
        <f t="array" ref="C1437">IFERROR(_xlfn.XLOOKUP(B1437, tblPeople[PersonID], tblPeople[PersonName], ""), "")</f>
        <v>Erick Peter</v>
      </c>
      <c r="D1437" s="15" t="s">
        <v>202</v>
      </c>
      <c r="E1437" s="16" t="str">
        <f>IFERROR(_xlfn.XLOOKUP(D1437, tblCourses[CourseID], tblCourses[CourseName], ""), "")</f>
        <v>Maintenance Procedures &amp; Standard Maintenance Practices (Refresher)</v>
      </c>
      <c r="F1437" s="17">
        <v>45843</v>
      </c>
      <c r="G1437" s="17" cm="1">
        <f t="array" ref="G14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437" s="15">
        <f ca="1">IF(OR(tblTraining[[#This Row],[Status]]="Renewed",tblTraining[[#This Row],[NextDueDate]]=""),"",tblTraining[[#This Row],[NextDueDate]]-TODAY())</f>
        <v>287</v>
      </c>
      <c r="I1437" s="15" t="str" cm="1">
        <f t="array" aca="1" ref="I14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8" spans="1:9" x14ac:dyDescent="0.25">
      <c r="A1438" s="15">
        <f t="shared" si="22"/>
        <v>1437</v>
      </c>
      <c r="B1438" s="15" t="s">
        <v>397</v>
      </c>
      <c r="C1438" s="15" t="str" cm="1">
        <f t="array" ref="C1438">IFERROR(_xlfn.XLOOKUP(B1438, tblPeople[PersonID], tblPeople[PersonName], ""), "")</f>
        <v>Benson Gitahi</v>
      </c>
      <c r="D1438" s="15" t="s">
        <v>110</v>
      </c>
      <c r="E1438" s="16" t="str">
        <f>IFERROR(_xlfn.XLOOKUP(D1438, tblCourses[CourseID], tblCourses[CourseName], ""), "")</f>
        <v>Electrical Wiring Interconnection System Target Groups 1 &amp; 2 (Initial)</v>
      </c>
      <c r="F1438" s="17">
        <v>46204</v>
      </c>
      <c r="G1438" s="17" t="str" cm="1">
        <f t="array" ref="G14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8" s="15" t="str">
        <f ca="1">IF(OR(tblTraining[[#This Row],[Status]]="Renewed",tblTraining[[#This Row],[NextDueDate]]=""),"",tblTraining[[#This Row],[NextDueDate]]-TODAY())</f>
        <v/>
      </c>
      <c r="I1438" s="15" t="str" cm="1">
        <f t="array" aca="1" ref="I14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9" spans="1:9" x14ac:dyDescent="0.25">
      <c r="A1439" s="15">
        <f t="shared" si="22"/>
        <v>1438</v>
      </c>
      <c r="B1439" s="15" t="s">
        <v>397</v>
      </c>
      <c r="C1439" s="15" t="str" cm="1">
        <f t="array" ref="C1439">IFERROR(_xlfn.XLOOKUP(B1439, tblPeople[PersonID], tblPeople[PersonName], ""), "")</f>
        <v>Benson Gitahi</v>
      </c>
      <c r="D1439" s="15" t="s">
        <v>109</v>
      </c>
      <c r="E1439" s="16" t="str">
        <f>IFERROR(_xlfn.XLOOKUP(D1439, tblCourses[CourseID], tblCourses[CourseName], ""), "")</f>
        <v>Electrical Wiring Interconnection System Target Groups 1 &amp; 2 (Refresher)</v>
      </c>
      <c r="F1439" s="17">
        <v>46204</v>
      </c>
      <c r="G1439" s="17" cm="1">
        <f t="array" ref="G14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46935</v>
      </c>
      <c r="H1439" s="15">
        <f ca="1">IF(OR(tblTraining[[#This Row],[Status]]="Renewed",tblTraining[[#This Row],[NextDueDate]]=""),"",tblTraining[[#This Row],[NextDueDate]]-TODAY())</f>
        <v>649</v>
      </c>
      <c r="I1439" s="15" t="str" cm="1">
        <f t="array" aca="1" ref="I14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0" spans="1:9" x14ac:dyDescent="0.25">
      <c r="A1440" s="15">
        <f t="shared" si="22"/>
        <v>1439</v>
      </c>
      <c r="B1440" s="15" t="s">
        <v>473</v>
      </c>
      <c r="C1440" s="15" t="str" cm="1">
        <f t="array" ref="C1440">IFERROR(_xlfn.XLOOKUP(B1440, tblPeople[PersonID], tblPeople[PersonName], ""), "")</f>
        <v>Dickson Mzungu</v>
      </c>
      <c r="D1440" s="15" t="s">
        <v>360</v>
      </c>
      <c r="E1440" s="16" t="str">
        <f>IFERROR(_xlfn.XLOOKUP(D1440, tblCourses[CourseID], tblCourses[CourseName], ""), "")</f>
        <v>Maintenance Procedures &amp; Standard Maintenance Practices (Initial)</v>
      </c>
      <c r="F1440" s="17">
        <v>46155</v>
      </c>
      <c r="G1440" s="17" t="str" cm="1">
        <f t="array" ref="G14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0" s="15" t="str">
        <f ca="1">IF(OR(tblTraining[[#This Row],[Status]]="Renewed",tblTraining[[#This Row],[NextDueDate]]=""),"",tblTraining[[#This Row],[NextDueDate]]-TODAY())</f>
        <v/>
      </c>
      <c r="I1440" s="15" t="str" cm="1">
        <f t="array" aca="1" ref="I14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1" spans="1:9" x14ac:dyDescent="0.25">
      <c r="A1441" s="15">
        <f t="shared" si="22"/>
        <v>1440</v>
      </c>
      <c r="B1441" s="15" t="s">
        <v>473</v>
      </c>
      <c r="C1441" s="15" t="str" cm="1">
        <f t="array" ref="C1441">IFERROR(_xlfn.XLOOKUP(B1441, tblPeople[PersonID], tblPeople[PersonName], ""), "")</f>
        <v>Dickson Mzungu</v>
      </c>
      <c r="D1441" s="15" t="s">
        <v>202</v>
      </c>
      <c r="E1441" s="16" t="str">
        <f>IFERROR(_xlfn.XLOOKUP(D1441, tblCourses[CourseID], tblCourses[CourseName], ""), "")</f>
        <v>Maintenance Procedures &amp; Standard Maintenance Practices (Refresher)</v>
      </c>
      <c r="F1441" s="17">
        <v>46155</v>
      </c>
      <c r="G1441" s="17" cm="1">
        <f t="array" ref="G14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441" s="15">
        <f ca="1">IF(OR(tblTraining[[#This Row],[Status]]="Renewed",tblTraining[[#This Row],[NextDueDate]]=""),"",tblTraining[[#This Row],[NextDueDate]]-TODAY())</f>
        <v>600</v>
      </c>
      <c r="I1441" s="15" t="str" cm="1">
        <f t="array" aca="1" ref="I14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2" spans="1:9" x14ac:dyDescent="0.25">
      <c r="A1442" s="15">
        <f t="shared" si="22"/>
        <v>1441</v>
      </c>
      <c r="B1442" s="15" t="s">
        <v>121</v>
      </c>
      <c r="C1442" s="15" t="str" cm="1">
        <f t="array" ref="C1442">IFERROR(_xlfn.XLOOKUP(B1442, tblPeople[PersonID], tblPeople[PersonName], ""), "")</f>
        <v>Chrispus King'ori</v>
      </c>
      <c r="D1442" s="15" t="s">
        <v>360</v>
      </c>
      <c r="E1442" s="16" t="str">
        <f>IFERROR(_xlfn.XLOOKUP(D1442, tblCourses[CourseID], tblCourses[CourseName], ""), "")</f>
        <v>Maintenance Procedures &amp; Standard Maintenance Practices (Initial)</v>
      </c>
      <c r="F1442" s="17">
        <v>45843</v>
      </c>
      <c r="G1442" s="17" t="str" cm="1">
        <f t="array" ref="G14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2" s="15" t="str">
        <f ca="1">IF(OR(tblTraining[[#This Row],[Status]]="Renewed",tblTraining[[#This Row],[NextDueDate]]=""),"",tblTraining[[#This Row],[NextDueDate]]-TODAY())</f>
        <v/>
      </c>
      <c r="I1442" s="15" t="str" cm="1">
        <f t="array" aca="1" ref="I14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3" spans="1:9" x14ac:dyDescent="0.25">
      <c r="A1443" s="15">
        <f t="shared" si="22"/>
        <v>1442</v>
      </c>
      <c r="B1443" s="15" t="s">
        <v>121</v>
      </c>
      <c r="C1443" s="15" t="str" cm="1">
        <f t="array" ref="C1443">IFERROR(_xlfn.XLOOKUP(B1443, tblPeople[PersonID], tblPeople[PersonName], ""), "")</f>
        <v>Chrispus King'ori</v>
      </c>
      <c r="D1443" s="15" t="s">
        <v>202</v>
      </c>
      <c r="E1443" s="16" t="str">
        <f>IFERROR(_xlfn.XLOOKUP(D1443, tblCourses[CourseID], tblCourses[CourseName], ""), "")</f>
        <v>Maintenance Procedures &amp; Standard Maintenance Practices (Refresher)</v>
      </c>
      <c r="F1443" s="17">
        <v>45843</v>
      </c>
      <c r="G1443" s="17" cm="1">
        <f t="array" ref="G14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443" s="15">
        <f ca="1">IF(OR(tblTraining[[#This Row],[Status]]="Renewed",tblTraining[[#This Row],[NextDueDate]]=""),"",tblTraining[[#This Row],[NextDueDate]]-TODAY())</f>
        <v>287</v>
      </c>
      <c r="I1443" s="15" t="str" cm="1">
        <f t="array" aca="1" ref="I14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4" spans="1:9" x14ac:dyDescent="0.25">
      <c r="A1444" s="15">
        <f t="shared" si="22"/>
        <v>1443</v>
      </c>
      <c r="B1444" s="15" t="s">
        <v>120</v>
      </c>
      <c r="C1444" s="15" t="str" cm="1">
        <f t="array" ref="C1444">IFERROR(_xlfn.XLOOKUP(B1444, tblPeople[PersonID], tblPeople[PersonName], ""), "")</f>
        <v>Churchill Bil</v>
      </c>
      <c r="D1444" s="15" t="s">
        <v>360</v>
      </c>
      <c r="E1444" s="16" t="str">
        <f>IFERROR(_xlfn.XLOOKUP(D1444, tblCourses[CourseID], tblCourses[CourseName], ""), "")</f>
        <v>Maintenance Procedures &amp; Standard Maintenance Practices (Initial)</v>
      </c>
      <c r="F1444" s="17">
        <v>45843</v>
      </c>
      <c r="G1444" s="17" t="str" cm="1">
        <f t="array" ref="G14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4" s="15" t="str">
        <f ca="1">IF(OR(tblTraining[[#This Row],[Status]]="Renewed",tblTraining[[#This Row],[NextDueDate]]=""),"",tblTraining[[#This Row],[NextDueDate]]-TODAY())</f>
        <v/>
      </c>
      <c r="I1444" s="15" t="str" cm="1">
        <f t="array" aca="1" ref="I14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5" spans="1:9" x14ac:dyDescent="0.25">
      <c r="A1445" s="15">
        <f t="shared" si="22"/>
        <v>1444</v>
      </c>
      <c r="B1445" s="15" t="s">
        <v>120</v>
      </c>
      <c r="C1445" s="15" t="str" cm="1">
        <f t="array" ref="C1445">IFERROR(_xlfn.XLOOKUP(B1445, tblPeople[PersonID], tblPeople[PersonName], ""), "")</f>
        <v>Churchill Bil</v>
      </c>
      <c r="D1445" s="15" t="s">
        <v>202</v>
      </c>
      <c r="E1445" s="16" t="str">
        <f>IFERROR(_xlfn.XLOOKUP(D1445, tblCourses[CourseID], tblCourses[CourseName], ""), "")</f>
        <v>Maintenance Procedures &amp; Standard Maintenance Practices (Refresher)</v>
      </c>
      <c r="F1445" s="17">
        <v>45843</v>
      </c>
      <c r="G1445" s="17" cm="1">
        <f t="array" ref="G14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445" s="15">
        <f ca="1">IF(OR(tblTraining[[#This Row],[Status]]="Renewed",tblTraining[[#This Row],[NextDueDate]]=""),"",tblTraining[[#This Row],[NextDueDate]]-TODAY())</f>
        <v>287</v>
      </c>
      <c r="I1445" s="15" t="str" cm="1">
        <f t="array" aca="1" ref="I14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6" spans="1:9" x14ac:dyDescent="0.25">
      <c r="A1446" s="15">
        <f t="shared" si="22"/>
        <v>1445</v>
      </c>
      <c r="B1446" s="15" t="s">
        <v>474</v>
      </c>
      <c r="C1446" s="15" t="str" cm="1">
        <f t="array" ref="C1446">IFERROR(_xlfn.XLOOKUP(B1446, tblPeople[PersonID], tblPeople[PersonName], ""), "")</f>
        <v>Benard Kimiti</v>
      </c>
      <c r="D1446" s="15" t="s">
        <v>360</v>
      </c>
      <c r="E1446" s="16" t="str">
        <f>IFERROR(_xlfn.XLOOKUP(D1446, tblCourses[CourseID], tblCourses[CourseName], ""), "")</f>
        <v>Maintenance Procedures &amp; Standard Maintenance Practices (Initial)</v>
      </c>
      <c r="F1446" s="17">
        <v>46155</v>
      </c>
      <c r="G1446" s="17" t="str" cm="1">
        <f t="array" ref="G14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6" s="15" t="str">
        <f ca="1">IF(OR(tblTraining[[#This Row],[Status]]="Renewed",tblTraining[[#This Row],[NextDueDate]]=""),"",tblTraining[[#This Row],[NextDueDate]]-TODAY())</f>
        <v/>
      </c>
      <c r="I1446" s="15" t="str" cm="1">
        <f t="array" aca="1" ref="I14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7" spans="1:9" x14ac:dyDescent="0.25">
      <c r="A1447" s="15">
        <f t="shared" si="22"/>
        <v>1446</v>
      </c>
      <c r="B1447" s="15" t="s">
        <v>474</v>
      </c>
      <c r="C1447" s="15" t="str" cm="1">
        <f t="array" ref="C1447">IFERROR(_xlfn.XLOOKUP(B1447, tblPeople[PersonID], tblPeople[PersonName], ""), "")</f>
        <v>Benard Kimiti</v>
      </c>
      <c r="D1447" s="15" t="s">
        <v>202</v>
      </c>
      <c r="E1447" s="16" t="str">
        <f>IFERROR(_xlfn.XLOOKUP(D1447, tblCourses[CourseID], tblCourses[CourseName], ""), "")</f>
        <v>Maintenance Procedures &amp; Standard Maintenance Practices (Refresher)</v>
      </c>
      <c r="F1447" s="17">
        <v>46155</v>
      </c>
      <c r="G1447" s="17" cm="1">
        <f t="array" ref="G14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447" s="15">
        <f ca="1">IF(OR(tblTraining[[#This Row],[Status]]="Renewed",tblTraining[[#This Row],[NextDueDate]]=""),"",tblTraining[[#This Row],[NextDueDate]]-TODAY())</f>
        <v>600</v>
      </c>
      <c r="I1447" s="15" t="str" cm="1">
        <f t="array" aca="1" ref="I14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8" spans="1:9" x14ac:dyDescent="0.25">
      <c r="A1448" s="15">
        <f t="shared" si="22"/>
        <v>1447</v>
      </c>
      <c r="B1448" s="15" t="s">
        <v>474</v>
      </c>
      <c r="C1448" s="15" t="str" cm="1">
        <f t="array" ref="C1448">IFERROR(_xlfn.XLOOKUP(B1448, tblPeople[PersonID], tblPeople[PersonName], ""), "")</f>
        <v>Benard Kimiti</v>
      </c>
      <c r="D1448" s="15" t="s">
        <v>24</v>
      </c>
      <c r="E1448" s="16" t="str">
        <f>IFERROR(_xlfn.XLOOKUP(D1448, tblCourses[CourseID], tblCourses[CourseName], ""), "")</f>
        <v>Human Factors in Aviation (Initial)</v>
      </c>
      <c r="F1448" s="17">
        <v>46213</v>
      </c>
      <c r="G1448" s="17" t="str" cm="1">
        <f t="array" ref="G14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8" s="15" t="str">
        <f ca="1">IF(OR(tblTraining[[#This Row],[Status]]="Renewed",tblTraining[[#This Row],[NextDueDate]]=""),"",tblTraining[[#This Row],[NextDueDate]]-TODAY())</f>
        <v/>
      </c>
      <c r="I1448" s="15" t="str" cm="1">
        <f t="array" aca="1" ref="I14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9" spans="1:9" x14ac:dyDescent="0.25">
      <c r="A1449" s="15">
        <f t="shared" si="22"/>
        <v>1448</v>
      </c>
      <c r="B1449" s="15" t="s">
        <v>474</v>
      </c>
      <c r="C1449" s="15" t="str" cm="1">
        <f t="array" ref="C1449">IFERROR(_xlfn.XLOOKUP(B1449, tblPeople[PersonID], tblPeople[PersonName], ""), "")</f>
        <v>Benard Kimiti</v>
      </c>
      <c r="D1449" s="15" t="s">
        <v>22</v>
      </c>
      <c r="E1449" s="16" t="str">
        <f>IFERROR(_xlfn.XLOOKUP(D1449, tblCourses[CourseID], tblCourses[CourseName], ""), "")</f>
        <v>Human Factors in Aviation (Refresher)</v>
      </c>
      <c r="F1449" s="17">
        <v>46213</v>
      </c>
      <c r="G1449" s="17" cm="1">
        <f t="array" ref="G14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46944</v>
      </c>
      <c r="H1449" s="15">
        <f ca="1">IF(OR(tblTraining[[#This Row],[Status]]="Renewed",tblTraining[[#This Row],[NextDueDate]]=""),"",tblTraining[[#This Row],[NextDueDate]]-TODAY())</f>
        <v>658</v>
      </c>
      <c r="I1449" s="15" t="str" cm="1">
        <f t="array" aca="1" ref="I14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0" spans="1:9" x14ac:dyDescent="0.25">
      <c r="A1450" s="15">
        <f t="shared" si="22"/>
        <v>1449</v>
      </c>
      <c r="B1450" s="15" t="s">
        <v>397</v>
      </c>
      <c r="C1450" s="15" t="str" cm="1">
        <f t="array" ref="C1450">IFERROR(_xlfn.XLOOKUP(B1450, tblPeople[PersonID], tblPeople[PersonName], ""), "")</f>
        <v>Benson Gitahi</v>
      </c>
      <c r="D1450" s="15" t="s">
        <v>24</v>
      </c>
      <c r="E1450" s="16" t="str">
        <f>IFERROR(_xlfn.XLOOKUP(D1450, tblCourses[CourseID], tblCourses[CourseName], ""), "")</f>
        <v>Human Factors in Aviation (Initial)</v>
      </c>
      <c r="F1450" s="17">
        <v>45943</v>
      </c>
      <c r="G1450" s="17" t="str" cm="1">
        <f t="array" ref="G14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0" s="15" t="str">
        <f ca="1">IF(OR(tblTraining[[#This Row],[Status]]="Renewed",tblTraining[[#This Row],[NextDueDate]]=""),"",tblTraining[[#This Row],[NextDueDate]]-TODAY())</f>
        <v/>
      </c>
      <c r="I1450" s="15" t="str" cm="1">
        <f t="array" aca="1" ref="I14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1" spans="1:9" x14ac:dyDescent="0.25">
      <c r="A1451" s="15">
        <f t="shared" si="22"/>
        <v>1450</v>
      </c>
      <c r="B1451" s="15" t="s">
        <v>397</v>
      </c>
      <c r="C1451" s="15" t="str" cm="1">
        <f t="array" ref="C1451">IFERROR(_xlfn.XLOOKUP(B1451, tblPeople[PersonID], tblPeople[PersonName], ""), "")</f>
        <v>Benson Gitahi</v>
      </c>
      <c r="D1451" s="15" t="s">
        <v>22</v>
      </c>
      <c r="E1451" s="16" t="str">
        <f>IFERROR(_xlfn.XLOOKUP(D1451, tblCourses[CourseID], tblCourses[CourseName], ""), "")</f>
        <v>Human Factors in Aviation (Refresher)</v>
      </c>
      <c r="F1451" s="17">
        <v>45943</v>
      </c>
      <c r="G1451" s="17" cm="1">
        <f t="array" ref="G14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46673</v>
      </c>
      <c r="H1451" s="15">
        <f ca="1">IF(OR(tblTraining[[#This Row],[Status]]="Renewed",tblTraining[[#This Row],[NextDueDate]]=""),"",tblTraining[[#This Row],[NextDueDate]]-TODAY())</f>
        <v>387</v>
      </c>
      <c r="I1451" s="15" t="str" cm="1">
        <f t="array" aca="1" ref="I14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2" spans="1:9" x14ac:dyDescent="0.25">
      <c r="A1452" s="15">
        <f t="shared" si="22"/>
        <v>1451</v>
      </c>
      <c r="B1452" s="15" t="s">
        <v>447</v>
      </c>
      <c r="C1452" s="15" t="str" cm="1">
        <f t="array" ref="C1452">IFERROR(_xlfn.XLOOKUP(B1452, tblPeople[PersonID], tblPeople[PersonName], ""), "")</f>
        <v>Francis Mutonga</v>
      </c>
      <c r="D1452" s="15" t="s">
        <v>76</v>
      </c>
      <c r="E1452" s="16" t="str">
        <f>IFERROR(_xlfn.XLOOKUP(D1452, tblCourses[CourseID], tblCourses[CourseName], ""), "")</f>
        <v>Fuel Tank Safety Phase 1 &amp; 2 Course (Initial)</v>
      </c>
      <c r="F1452" s="17">
        <v>46215</v>
      </c>
      <c r="G1452" s="17" t="str" cm="1">
        <f t="array" ref="G14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2" s="15" t="str">
        <f ca="1">IF(OR(tblTraining[[#This Row],[Status]]="Renewed",tblTraining[[#This Row],[NextDueDate]]=""),"",tblTraining[[#This Row],[NextDueDate]]-TODAY())</f>
        <v/>
      </c>
      <c r="I1452" s="15" t="str" cm="1">
        <f t="array" aca="1" ref="I14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3" spans="1:9" x14ac:dyDescent="0.25">
      <c r="A1453" s="15">
        <f t="shared" si="22"/>
        <v>1452</v>
      </c>
      <c r="B1453" s="15" t="s">
        <v>447</v>
      </c>
      <c r="C1453" s="15" t="str" cm="1">
        <f t="array" ref="C1453">IFERROR(_xlfn.XLOOKUP(B1453, tblPeople[PersonID], tblPeople[PersonName], ""), "")</f>
        <v>Francis Mutonga</v>
      </c>
      <c r="D1453" s="15" t="s">
        <v>75</v>
      </c>
      <c r="E1453" s="16" t="str">
        <f>IFERROR(_xlfn.XLOOKUP(D1453, tblCourses[CourseID], tblCourses[CourseName], ""), "")</f>
        <v>Fuel Tank Safety Phase 1 &amp; 2 Course (Refresher)</v>
      </c>
      <c r="F1453" s="17">
        <v>46215</v>
      </c>
      <c r="G1453" s="17" cm="1">
        <f t="array" ref="G14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46946</v>
      </c>
      <c r="H1453" s="15">
        <f ca="1">IF(OR(tblTraining[[#This Row],[Status]]="Renewed",tblTraining[[#This Row],[NextDueDate]]=""),"",tblTraining[[#This Row],[NextDueDate]]-TODAY())</f>
        <v>660</v>
      </c>
      <c r="I1453" s="15" t="str" cm="1">
        <f t="array" aca="1" ref="I14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4" spans="1:9" x14ac:dyDescent="0.25">
      <c r="A1454" s="15">
        <f t="shared" si="22"/>
        <v>1453</v>
      </c>
      <c r="B1454" s="15" t="s">
        <v>475</v>
      </c>
      <c r="C1454" s="15" t="str" cm="1">
        <f t="array" ref="C1454">IFERROR(_xlfn.XLOOKUP(B1454, tblPeople[PersonID], tblPeople[PersonName], ""), "")</f>
        <v>Erick Peter</v>
      </c>
      <c r="D1454" s="15" t="s">
        <v>24</v>
      </c>
      <c r="E1454" s="16" t="str">
        <f>IFERROR(_xlfn.XLOOKUP(D1454, tblCourses[CourseID], tblCourses[CourseName], ""), "")</f>
        <v>Human Factors in Aviation (Initial)</v>
      </c>
      <c r="F1454" s="17">
        <v>45951</v>
      </c>
      <c r="G1454" s="17" t="str" cm="1">
        <f t="array" ref="G14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4" s="15" t="str">
        <f ca="1">IF(OR(tblTraining[[#This Row],[Status]]="Renewed",tblTraining[[#This Row],[NextDueDate]]=""),"",tblTraining[[#This Row],[NextDueDate]]-TODAY())</f>
        <v/>
      </c>
      <c r="I1454" s="15" t="str" cm="1">
        <f t="array" aca="1" ref="I14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5" spans="1:9" x14ac:dyDescent="0.25">
      <c r="A1455" s="15">
        <f t="shared" si="22"/>
        <v>1454</v>
      </c>
      <c r="B1455" s="15" t="s">
        <v>475</v>
      </c>
      <c r="C1455" s="15" t="str" cm="1">
        <f t="array" ref="C1455">IFERROR(_xlfn.XLOOKUP(B1455, tblPeople[PersonID], tblPeople[PersonName], ""), "")</f>
        <v>Erick Peter</v>
      </c>
      <c r="D1455" s="15" t="s">
        <v>22</v>
      </c>
      <c r="E1455" s="16" t="str">
        <f>IFERROR(_xlfn.XLOOKUP(D1455, tblCourses[CourseID], tblCourses[CourseName], ""), "")</f>
        <v>Human Factors in Aviation (Refresher)</v>
      </c>
      <c r="F1455" s="17">
        <v>45951</v>
      </c>
      <c r="G1455" s="17" cm="1">
        <f t="array" ref="G14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46681</v>
      </c>
      <c r="H1455" s="15">
        <f ca="1">IF(OR(tblTraining[[#This Row],[Status]]="Renewed",tblTraining[[#This Row],[NextDueDate]]=""),"",tblTraining[[#This Row],[NextDueDate]]-TODAY())</f>
        <v>395</v>
      </c>
      <c r="I1455" s="15" t="str" cm="1">
        <f t="array" aca="1" ref="I14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6" spans="1:9" x14ac:dyDescent="0.25">
      <c r="A1456" s="15">
        <f t="shared" si="22"/>
        <v>1455</v>
      </c>
      <c r="B1456" s="15" t="s">
        <v>510</v>
      </c>
      <c r="C1456" s="15" t="str" cm="1">
        <f t="array" ref="C1456">IFERROR(_xlfn.XLOOKUP(B1456, tblPeople[PersonID], tblPeople[PersonName], ""), "")</f>
        <v>Bruce Mukabi</v>
      </c>
      <c r="D1456" s="15" t="s">
        <v>124</v>
      </c>
      <c r="E1456" s="16" t="str">
        <f>IFERROR(_xlfn.XLOOKUP(D1456, tblCourses[CourseID], tblCourses[CourseName], ""), "")</f>
        <v>Aviation Security (Initial)</v>
      </c>
      <c r="F1456" s="17">
        <v>46002</v>
      </c>
      <c r="G1456" s="17" t="str" cm="1">
        <f t="array" ref="G14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6" s="15" t="str">
        <f ca="1">IF(OR(tblTraining[[#This Row],[Status]]="Renewed",tblTraining[[#This Row],[NextDueDate]]=""),"",tblTraining[[#This Row],[NextDueDate]]-TODAY())</f>
        <v/>
      </c>
      <c r="I1456" s="15" t="str" cm="1">
        <f t="array" aca="1" ref="I14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7" spans="1:9" x14ac:dyDescent="0.25">
      <c r="A1457" s="15">
        <f t="shared" si="22"/>
        <v>1456</v>
      </c>
      <c r="B1457" s="15" t="s">
        <v>510</v>
      </c>
      <c r="C1457" s="15" t="str" cm="1">
        <f t="array" ref="C1457">IFERROR(_xlfn.XLOOKUP(B1457, tblPeople[PersonID], tblPeople[PersonName], ""), "")</f>
        <v>Bruce Mukabi</v>
      </c>
      <c r="D1457" s="15" t="s">
        <v>125</v>
      </c>
      <c r="E1457" s="16" t="str">
        <f>IFERROR(_xlfn.XLOOKUP(D1457, tblCourses[CourseID], tblCourses[CourseName], ""), "")</f>
        <v>Aviation Security (Refresher)</v>
      </c>
      <c r="F1457" s="17">
        <v>46002</v>
      </c>
      <c r="G1457" s="17" cm="1">
        <f t="array" ref="G14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46732</v>
      </c>
      <c r="H1457" s="15">
        <f ca="1">IF(OR(tblTraining[[#This Row],[Status]]="Renewed",tblTraining[[#This Row],[NextDueDate]]=""),"",tblTraining[[#This Row],[NextDueDate]]-TODAY())</f>
        <v>446</v>
      </c>
      <c r="I1457" s="15" t="str" cm="1">
        <f t="array" aca="1" ref="I14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8" spans="1:9" x14ac:dyDescent="0.25">
      <c r="A1458" s="15">
        <f t="shared" si="22"/>
        <v>1457</v>
      </c>
      <c r="B1458" s="15" t="s">
        <v>510</v>
      </c>
      <c r="C1458" s="15" t="str" cm="1">
        <f t="array" ref="C1458">IFERROR(_xlfn.XLOOKUP(B1458, tblPeople[PersonID], tblPeople[PersonName], ""), "")</f>
        <v>Bruce Mukabi</v>
      </c>
      <c r="D1458" s="15" t="s">
        <v>32</v>
      </c>
      <c r="E1458" s="16" t="str">
        <f>IFERROR(_xlfn.XLOOKUP(D1458, tblCourses[CourseID], tblCourses[CourseName], ""), "")</f>
        <v>Dangerous Goods Regulations (CBTA 7.3) (Initial)</v>
      </c>
      <c r="F1458" s="17">
        <v>46038</v>
      </c>
      <c r="G1458" s="17" t="str" cm="1">
        <f t="array" ref="G14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8" s="15" t="str">
        <f ca="1">IF(OR(tblTraining[[#This Row],[Status]]="Renewed",tblTraining[[#This Row],[NextDueDate]]=""),"",tblTraining[[#This Row],[NextDueDate]]-TODAY())</f>
        <v/>
      </c>
      <c r="I1458" s="15" t="str" cm="1">
        <f t="array" aca="1" ref="I14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9" spans="1:9" x14ac:dyDescent="0.25">
      <c r="A1459" s="15">
        <f t="shared" si="22"/>
        <v>1458</v>
      </c>
      <c r="B1459" s="15" t="s">
        <v>510</v>
      </c>
      <c r="C1459" s="15" t="str" cm="1">
        <f t="array" ref="C1459">IFERROR(_xlfn.XLOOKUP(B1459, tblPeople[PersonID], tblPeople[PersonName], ""), "")</f>
        <v>Bruce Mukabi</v>
      </c>
      <c r="D1459" s="15" t="s">
        <v>30</v>
      </c>
      <c r="E1459" s="16" t="str">
        <f>IFERROR(_xlfn.XLOOKUP(D1459, tblCourses[CourseID], tblCourses[CourseName], ""), "")</f>
        <v>Dangerous Goods Regulations (CBTA 7.3) (Refresher)</v>
      </c>
      <c r="F1459" s="17">
        <v>46038</v>
      </c>
      <c r="G1459" s="17" cm="1">
        <f t="array" ref="G14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1459" s="15">
        <f ca="1">IF(OR(tblTraining[[#This Row],[Status]]="Renewed",tblTraining[[#This Row],[NextDueDate]]=""),"",tblTraining[[#This Row],[NextDueDate]]-TODAY())</f>
        <v>482</v>
      </c>
      <c r="I1459" s="15" t="str" cm="1">
        <f t="array" aca="1" ref="I14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0" spans="1:9" x14ac:dyDescent="0.25">
      <c r="A1460" s="15">
        <f t="shared" si="22"/>
        <v>1459</v>
      </c>
      <c r="B1460" s="15" t="s">
        <v>510</v>
      </c>
      <c r="C1460" s="15" t="str" cm="1">
        <f t="array" ref="C1460">IFERROR(_xlfn.XLOOKUP(B1460, tblPeople[PersonID], tblPeople[PersonName], ""), "")</f>
        <v>Bruce Mukabi</v>
      </c>
      <c r="D1460" s="15" t="s">
        <v>172</v>
      </c>
      <c r="E1460" s="16" t="str">
        <f>IFERROR(_xlfn.XLOOKUP(D1460, tblCourses[CourseID], tblCourses[CourseName], ""), "")</f>
        <v>PR328: QMS ISO 9001:2015 (Lead Auditor Training)</v>
      </c>
      <c r="F1460" s="17">
        <v>45779</v>
      </c>
      <c r="G1460" s="17" cm="1">
        <f t="array" ref="G14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47605</v>
      </c>
      <c r="H1460" s="15">
        <f ca="1">IF(OR(tblTraining[[#This Row],[Status]]="Renewed",tblTraining[[#This Row],[NextDueDate]]=""),"",tblTraining[[#This Row],[NextDueDate]]-TODAY())</f>
        <v>1319</v>
      </c>
      <c r="I1460" s="15" t="str" cm="1">
        <f t="array" aca="1" ref="I14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1" spans="1:9" x14ac:dyDescent="0.25">
      <c r="A1461" s="15">
        <f t="shared" si="22"/>
        <v>1460</v>
      </c>
      <c r="B1461" s="15" t="s">
        <v>510</v>
      </c>
      <c r="C1461" s="15" t="str" cm="1">
        <f t="array" ref="C1461">IFERROR(_xlfn.XLOOKUP(B1461, tblPeople[PersonID], tblPeople[PersonName], ""), "")</f>
        <v>Bruce Mukabi</v>
      </c>
      <c r="D1461" s="15" t="s">
        <v>171</v>
      </c>
      <c r="E1461" s="16" t="str">
        <f>IFERROR(_xlfn.XLOOKUP(D1461, tblCourses[CourseID], tblCourses[CourseName], ""), "")</f>
        <v>Safety Management Systems (For Managers)</v>
      </c>
      <c r="F1461" s="17">
        <v>45632</v>
      </c>
      <c r="G1461" s="17" t="str" cm="1">
        <f t="array" ref="G14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1" s="15" t="str">
        <f ca="1">IF(OR(tblTraining[[#This Row],[Status]]="Renewed",tblTraining[[#This Row],[NextDueDate]]=""),"",tblTraining[[#This Row],[NextDueDate]]-TODAY())</f>
        <v/>
      </c>
      <c r="I1461" s="15" t="str" cm="1">
        <f t="array" aca="1" ref="I14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2" spans="1:9" x14ac:dyDescent="0.25">
      <c r="A1462" s="15">
        <f t="shared" si="22"/>
        <v>1461</v>
      </c>
      <c r="B1462" s="15" t="s">
        <v>510</v>
      </c>
      <c r="C1462" s="15" t="str" cm="1">
        <f t="array" ref="C1462">IFERROR(_xlfn.XLOOKUP(B1462, tblPeople[PersonID], tblPeople[PersonName], ""), "")</f>
        <v>Bruce Mukabi</v>
      </c>
      <c r="D1462" s="15" t="s">
        <v>33</v>
      </c>
      <c r="E1462" s="16" t="str">
        <f>IFERROR(_xlfn.XLOOKUP(D1462, tblCourses[CourseID], tblCourses[CourseName], ""), "")</f>
        <v>Audit Techniques</v>
      </c>
      <c r="F1462" s="17">
        <v>45924</v>
      </c>
      <c r="G1462" s="17" t="str" cm="1">
        <f t="array" ref="G14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2" s="15" t="str">
        <f ca="1">IF(OR(tblTraining[[#This Row],[Status]]="Renewed",tblTraining[[#This Row],[NextDueDate]]=""),"",tblTraining[[#This Row],[NextDueDate]]-TODAY())</f>
        <v/>
      </c>
      <c r="I1462" s="15" t="str" cm="1">
        <f t="array" aca="1" ref="I14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3" spans="1:9" x14ac:dyDescent="0.25">
      <c r="A1463" s="15">
        <f t="shared" si="22"/>
        <v>1462</v>
      </c>
      <c r="B1463" s="15" t="s">
        <v>371</v>
      </c>
      <c r="C1463" s="15" t="str" cm="1">
        <f t="array" ref="C1463">IFERROR(_xlfn.XLOOKUP(B1463, tblPeople[PersonID], tblPeople[PersonName], ""), "")</f>
        <v>Alex Avedi</v>
      </c>
      <c r="D1463" s="15" t="s">
        <v>592</v>
      </c>
      <c r="E1463" s="16" t="str">
        <f>IFERROR(_xlfn.XLOOKUP(D1463, tblCourses[CourseID], tblCourses[CourseName], ""), "")</f>
        <v>Emergency Planning and Response for Airlines</v>
      </c>
      <c r="F1463" s="17">
        <v>45688</v>
      </c>
      <c r="G1463" s="17" t="str" cm="1">
        <f t="array" ref="G14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3" s="15" t="str">
        <f ca="1">IF(OR(tblTraining[[#This Row],[Status]]="Renewed",tblTraining[[#This Row],[NextDueDate]]=""),"",tblTraining[[#This Row],[NextDueDate]]-TODAY())</f>
        <v/>
      </c>
      <c r="I1463" s="15" t="str" cm="1">
        <f t="array" aca="1" ref="I14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4" spans="1:9" x14ac:dyDescent="0.25">
      <c r="A1464" s="15">
        <f t="shared" si="22"/>
        <v>1463</v>
      </c>
      <c r="B1464" s="15" t="s">
        <v>371</v>
      </c>
      <c r="C1464" s="15" t="str" cm="1">
        <f t="array" ref="C1464">IFERROR(_xlfn.XLOOKUP(B1464, tblPeople[PersonID], tblPeople[PersonName], ""), "")</f>
        <v>Alex Avedi</v>
      </c>
      <c r="D1464" s="15" t="s">
        <v>452</v>
      </c>
      <c r="E1464" s="16" t="str">
        <f>IFERROR(_xlfn.XLOOKUP(D1464, tblCourses[CourseID], tblCourses[CourseName], ""), "")</f>
        <v>Emergency Response Plan Awareness</v>
      </c>
      <c r="F1464" s="17">
        <v>46106</v>
      </c>
      <c r="G1464" s="17" cm="1">
        <f t="array" ref="G14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464" s="15">
        <f ca="1">IF(OR(tblTraining[[#This Row],[Status]]="Renewed",tblTraining[[#This Row],[NextDueDate]]=""),"",tblTraining[[#This Row],[NextDueDate]]-TODAY())</f>
        <v>551</v>
      </c>
      <c r="I1464" s="15" t="str" cm="1">
        <f t="array" aca="1" ref="I14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5" spans="1:9" x14ac:dyDescent="0.25">
      <c r="A1465" s="15">
        <f t="shared" si="22"/>
        <v>1464</v>
      </c>
      <c r="B1465" s="15" t="s">
        <v>166</v>
      </c>
      <c r="C1465" s="15" t="str" cm="1">
        <f t="array" ref="C1465">IFERROR(_xlfn.XLOOKUP(B1465, tblPeople[PersonID], tblPeople[PersonName], ""), "")</f>
        <v>Hannah Wambui</v>
      </c>
      <c r="D1465" s="15" t="s">
        <v>231</v>
      </c>
      <c r="E1465" s="16" t="str">
        <f>IFERROR(_xlfn.XLOOKUP(D1465, tblCourses[CourseID], tblCourses[CourseName], ""), "")</f>
        <v>First Aid Training (Initial)</v>
      </c>
      <c r="F1465" s="17">
        <v>45877</v>
      </c>
      <c r="G1465" s="17" t="str" cm="1">
        <f t="array" ref="G14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5" s="15" t="str">
        <f ca="1">IF(OR(tblTraining[[#This Row],[Status]]="Renewed",tblTraining[[#This Row],[NextDueDate]]=""),"",tblTraining[[#This Row],[NextDueDate]]-TODAY())</f>
        <v/>
      </c>
      <c r="I1465" s="15" t="str" cm="1">
        <f t="array" aca="1" ref="I14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6" spans="1:9" x14ac:dyDescent="0.25">
      <c r="A1466" s="15">
        <f t="shared" si="22"/>
        <v>1465</v>
      </c>
      <c r="B1466" s="15" t="s">
        <v>166</v>
      </c>
      <c r="C1466" s="15" t="str" cm="1">
        <f t="array" ref="C1466">IFERROR(_xlfn.XLOOKUP(B1466, tblPeople[PersonID], tblPeople[PersonName], ""), "")</f>
        <v>Hannah Wambui</v>
      </c>
      <c r="D1466" s="15" t="s">
        <v>232</v>
      </c>
      <c r="E1466" s="16" t="str">
        <f>IFERROR(_xlfn.XLOOKUP(D1466, tblCourses[CourseID], tblCourses[CourseName], ""), "")</f>
        <v>First Aid Training (Refresher)</v>
      </c>
      <c r="F1466" s="17">
        <v>45877</v>
      </c>
      <c r="G1466" s="17" cm="1">
        <f t="array" ref="G14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46973</v>
      </c>
      <c r="H1466" s="15">
        <f ca="1">IF(OR(tblTraining[[#This Row],[Status]]="Renewed",tblTraining[[#This Row],[NextDueDate]]=""),"",tblTraining[[#This Row],[NextDueDate]]-TODAY())</f>
        <v>687</v>
      </c>
      <c r="I1466" s="15" t="str" cm="1">
        <f t="array" aca="1" ref="I14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7" spans="1:9" x14ac:dyDescent="0.25">
      <c r="A1467" s="15">
        <f t="shared" si="22"/>
        <v>1466</v>
      </c>
      <c r="B1467" s="15" t="s">
        <v>442</v>
      </c>
      <c r="C1467" s="15" t="str" cm="1">
        <f t="array" ref="C1467">IFERROR(_xlfn.XLOOKUP(B1467, tblPeople[PersonID], tblPeople[PersonName], ""), "")</f>
        <v>Mary Chelagat</v>
      </c>
      <c r="D1467" s="15" t="s">
        <v>25</v>
      </c>
      <c r="E1467" s="16" t="str">
        <f>IFERROR(_xlfn.XLOOKUP(D1467, tblCourses[CourseID], tblCourses[CourseName], ""), "")</f>
        <v>Pratt &amp; Whitney Canada PT6A Engine With P&amp;WC PT6A
20/ 27/ 41/ 42/ 60A/ 67D/ 112/ 114A/ 140 (Refresher)</v>
      </c>
      <c r="F1467" s="17">
        <v>46189</v>
      </c>
      <c r="G1467" s="17" cm="1">
        <f t="array" ref="G14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46920</v>
      </c>
      <c r="H1467" s="15">
        <f ca="1">IF(OR(tblTraining[[#This Row],[Status]]="Renewed",tblTraining[[#This Row],[NextDueDate]]=""),"",tblTraining[[#This Row],[NextDueDate]]-TODAY())</f>
        <v>634</v>
      </c>
      <c r="I1467" s="15" t="str" cm="1">
        <f t="array" aca="1" ref="I14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8" spans="1:9" x14ac:dyDescent="0.25">
      <c r="A1468" s="15">
        <f t="shared" si="22"/>
        <v>1467</v>
      </c>
      <c r="B1468" s="15" t="s">
        <v>473</v>
      </c>
      <c r="C1468" s="15" t="str" cm="1">
        <f t="array" ref="C1468">IFERROR(_xlfn.XLOOKUP(B1468, tblPeople[PersonID], tblPeople[PersonName], ""), "")</f>
        <v>Dickson Mzungu</v>
      </c>
      <c r="D1468" s="15" t="s">
        <v>76</v>
      </c>
      <c r="E1468" s="16" t="str">
        <f>IFERROR(_xlfn.XLOOKUP(D1468, tblCourses[CourseID], tblCourses[CourseName], ""), "")</f>
        <v>Fuel Tank Safety Phase 1 &amp; 2 Course (Initial)</v>
      </c>
      <c r="F1468" s="17">
        <v>46215</v>
      </c>
      <c r="G1468" s="17" t="str" cm="1">
        <f t="array" ref="G14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8" s="15" t="str">
        <f ca="1">IF(OR(tblTraining[[#This Row],[Status]]="Renewed",tblTraining[[#This Row],[NextDueDate]]=""),"",tblTraining[[#This Row],[NextDueDate]]-TODAY())</f>
        <v/>
      </c>
      <c r="I1468" s="15" t="str" cm="1">
        <f t="array" aca="1" ref="I14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9" spans="1:9" x14ac:dyDescent="0.25">
      <c r="A1469" s="15">
        <f t="shared" si="22"/>
        <v>1468</v>
      </c>
      <c r="B1469" s="15" t="s">
        <v>473</v>
      </c>
      <c r="C1469" s="15" t="str" cm="1">
        <f t="array" ref="C1469">IFERROR(_xlfn.XLOOKUP(B1469, tblPeople[PersonID], tblPeople[PersonName], ""), "")</f>
        <v>Dickson Mzungu</v>
      </c>
      <c r="D1469" s="15" t="s">
        <v>75</v>
      </c>
      <c r="E1469" s="16" t="str">
        <f>IFERROR(_xlfn.XLOOKUP(D1469, tblCourses[CourseID], tblCourses[CourseName], ""), "")</f>
        <v>Fuel Tank Safety Phase 1 &amp; 2 Course (Refresher)</v>
      </c>
      <c r="F1469" s="17">
        <v>46215</v>
      </c>
      <c r="G1469" s="17" cm="1">
        <f t="array" ref="G14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46946</v>
      </c>
      <c r="H1469" s="15">
        <f ca="1">IF(OR(tblTraining[[#This Row],[Status]]="Renewed",tblTraining[[#This Row],[NextDueDate]]=""),"",tblTraining[[#This Row],[NextDueDate]]-TODAY())</f>
        <v>660</v>
      </c>
      <c r="I1469" s="15" t="str" cm="1">
        <f t="array" aca="1" ref="I14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0" spans="1:9" x14ac:dyDescent="0.25">
      <c r="A1470" s="15">
        <f t="shared" si="22"/>
        <v>1469</v>
      </c>
      <c r="B1470" s="15" t="s">
        <v>474</v>
      </c>
      <c r="C1470" s="15" t="str" cm="1">
        <f t="array" ref="C1470">IFERROR(_xlfn.XLOOKUP(B1470, tblPeople[PersonID], tblPeople[PersonName], ""), "")</f>
        <v>Benard Kimiti</v>
      </c>
      <c r="D1470" s="15" t="s">
        <v>76</v>
      </c>
      <c r="E1470" s="16" t="str">
        <f>IFERROR(_xlfn.XLOOKUP(D1470, tblCourses[CourseID], tblCourses[CourseName], ""), "")</f>
        <v>Fuel Tank Safety Phase 1 &amp; 2 Course (Initial)</v>
      </c>
      <c r="F1470" s="17">
        <v>46228</v>
      </c>
      <c r="G1470" s="17" t="str" cm="1">
        <f t="array" ref="G14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0" s="15" t="str">
        <f ca="1">IF(OR(tblTraining[[#This Row],[Status]]="Renewed",tblTraining[[#This Row],[NextDueDate]]=""),"",tblTraining[[#This Row],[NextDueDate]]-TODAY())</f>
        <v/>
      </c>
      <c r="I1470" s="15" t="str" cm="1">
        <f t="array" aca="1" ref="I14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1" spans="1:9" x14ac:dyDescent="0.25">
      <c r="A1471" s="15">
        <f t="shared" si="22"/>
        <v>1470</v>
      </c>
      <c r="B1471" s="15" t="s">
        <v>474</v>
      </c>
      <c r="C1471" s="15" t="str" cm="1">
        <f t="array" ref="C1471">IFERROR(_xlfn.XLOOKUP(B1471, tblPeople[PersonID], tblPeople[PersonName], ""), "")</f>
        <v>Benard Kimiti</v>
      </c>
      <c r="D1471" s="15" t="s">
        <v>75</v>
      </c>
      <c r="E1471" s="16" t="str">
        <f>IFERROR(_xlfn.XLOOKUP(D1471, tblCourses[CourseID], tblCourses[CourseName], ""), "")</f>
        <v>Fuel Tank Safety Phase 1 &amp; 2 Course (Refresher)</v>
      </c>
      <c r="F1471" s="17">
        <v>46228</v>
      </c>
      <c r="G1471" s="17" cm="1">
        <f t="array" ref="G14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46959</v>
      </c>
      <c r="H1471" s="15">
        <f ca="1">IF(OR(tblTraining[[#This Row],[Status]]="Renewed",tblTraining[[#This Row],[NextDueDate]]=""),"",tblTraining[[#This Row],[NextDueDate]]-TODAY())</f>
        <v>673</v>
      </c>
      <c r="I1471" s="15" t="str" cm="1">
        <f t="array" aca="1" ref="I14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2" spans="1:9" x14ac:dyDescent="0.25">
      <c r="A1472" s="15">
        <f t="shared" si="22"/>
        <v>1471</v>
      </c>
      <c r="B1472" s="15" t="s">
        <v>445</v>
      </c>
      <c r="C1472" s="15" t="str" cm="1">
        <f t="array" ref="C1472">IFERROR(_xlfn.XLOOKUP(B1472, tblPeople[PersonID], tblPeople[PersonName], ""), "")</f>
        <v>Brian Muga</v>
      </c>
      <c r="D1472" s="15" t="s">
        <v>76</v>
      </c>
      <c r="E1472" s="16" t="str">
        <f>IFERROR(_xlfn.XLOOKUP(D1472, tblCourses[CourseID], tblCourses[CourseName], ""), "")</f>
        <v>Fuel Tank Safety Phase 1 &amp; 2 Course (Initial)</v>
      </c>
      <c r="F1472" s="17">
        <v>46226</v>
      </c>
      <c r="G1472" s="17" t="str" cm="1">
        <f t="array" ref="G14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2" s="15" t="str">
        <f ca="1">IF(OR(tblTraining[[#This Row],[Status]]="Renewed",tblTraining[[#This Row],[NextDueDate]]=""),"",tblTraining[[#This Row],[NextDueDate]]-TODAY())</f>
        <v/>
      </c>
      <c r="I1472" s="15" t="str" cm="1">
        <f t="array" aca="1" ref="I14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3" spans="1:9" x14ac:dyDescent="0.25">
      <c r="A1473" s="15">
        <f t="shared" si="22"/>
        <v>1472</v>
      </c>
      <c r="B1473" s="15" t="s">
        <v>445</v>
      </c>
      <c r="C1473" s="15" t="str" cm="1">
        <f t="array" ref="C1473">IFERROR(_xlfn.XLOOKUP(B1473, tblPeople[PersonID], tblPeople[PersonName], ""), "")</f>
        <v>Brian Muga</v>
      </c>
      <c r="D1473" s="15" t="s">
        <v>75</v>
      </c>
      <c r="E1473" s="16" t="str">
        <f>IFERROR(_xlfn.XLOOKUP(D1473, tblCourses[CourseID], tblCourses[CourseName], ""), "")</f>
        <v>Fuel Tank Safety Phase 1 &amp; 2 Course (Refresher)</v>
      </c>
      <c r="F1473" s="17">
        <v>46226</v>
      </c>
      <c r="G1473" s="17" cm="1">
        <f t="array" ref="G14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46957</v>
      </c>
      <c r="H1473" s="15">
        <f ca="1">IF(OR(tblTraining[[#This Row],[Status]]="Renewed",tblTraining[[#This Row],[NextDueDate]]=""),"",tblTraining[[#This Row],[NextDueDate]]-TODAY())</f>
        <v>671</v>
      </c>
      <c r="I1473" s="15" t="str" cm="1">
        <f t="array" aca="1" ref="I14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4" spans="1:9" x14ac:dyDescent="0.25">
      <c r="A1474" s="15">
        <f t="shared" si="22"/>
        <v>1473</v>
      </c>
      <c r="B1474" s="15" t="s">
        <v>442</v>
      </c>
      <c r="C1474" s="15" t="str" cm="1">
        <f t="array" ref="C1474">IFERROR(_xlfn.XLOOKUP(B1474, tblPeople[PersonID], tblPeople[PersonName], ""), "")</f>
        <v>Mary Chelagat</v>
      </c>
      <c r="D1474" s="15" t="s">
        <v>75</v>
      </c>
      <c r="E1474" s="16" t="str">
        <f>IFERROR(_xlfn.XLOOKUP(D1474, tblCourses[CourseID], tblCourses[CourseName], ""), "")</f>
        <v>Fuel Tank Safety Phase 1 &amp; 2 Course (Refresher)</v>
      </c>
      <c r="F1474" s="17">
        <v>46221</v>
      </c>
      <c r="G1474" s="17" cm="1">
        <f t="array" ref="G14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46952</v>
      </c>
      <c r="H1474" s="15">
        <f ca="1">IF(OR(tblTraining[[#This Row],[Status]]="Renewed",tblTraining[[#This Row],[NextDueDate]]=""),"",tblTraining[[#This Row],[NextDueDate]]-TODAY())</f>
        <v>666</v>
      </c>
      <c r="I1474" s="15" t="str" cm="1">
        <f t="array" aca="1" ref="I14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5" spans="1:9" x14ac:dyDescent="0.25">
      <c r="A1475" s="15">
        <f t="shared" si="22"/>
        <v>1474</v>
      </c>
      <c r="B1475" s="15" t="s">
        <v>442</v>
      </c>
      <c r="C1475" s="15" t="str" cm="1">
        <f t="array" ref="C1475">IFERROR(_xlfn.XLOOKUP(B1475, tblPeople[PersonID], tblPeople[PersonName], ""), "")</f>
        <v>Mary Chelagat</v>
      </c>
      <c r="D1475" s="15" t="s">
        <v>76</v>
      </c>
      <c r="E1475" s="16" t="str">
        <f>IFERROR(_xlfn.XLOOKUP(D1475, tblCourses[CourseID], tblCourses[CourseName], ""), "")</f>
        <v>Fuel Tank Safety Phase 1 &amp; 2 Course (Initial)</v>
      </c>
      <c r="F1475" s="17">
        <v>46221</v>
      </c>
      <c r="G1475" s="17" t="str" cm="1">
        <f t="array" ref="G14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5" s="15" t="str">
        <f ca="1">IF(OR(tblTraining[[#This Row],[Status]]="Renewed",tblTraining[[#This Row],[NextDueDate]]=""),"",tblTraining[[#This Row],[NextDueDate]]-TODAY())</f>
        <v/>
      </c>
      <c r="I1475" s="15" t="str" cm="1">
        <f t="array" aca="1" ref="I14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6" spans="1:9" x14ac:dyDescent="0.25">
      <c r="A1476" s="15">
        <f t="shared" ref="A1476:A1537" si="23">A1475+1</f>
        <v>1475</v>
      </c>
      <c r="B1476" s="15" t="s">
        <v>371</v>
      </c>
      <c r="C1476" s="15" t="str" cm="1">
        <f t="array" ref="C1476">IFERROR(_xlfn.XLOOKUP(B1476, tblPeople[PersonID], tblPeople[PersonName], ""), "")</f>
        <v>Alex Avedi</v>
      </c>
      <c r="D1476" s="15" t="s">
        <v>202</v>
      </c>
      <c r="E1476" s="16" t="str">
        <f>IFERROR(_xlfn.XLOOKUP(D1476, tblCourses[CourseID], tblCourses[CourseName], ""), "")</f>
        <v>Maintenance Procedures &amp; Standard Maintenance Practices (Refresher)</v>
      </c>
      <c r="F1476" s="17">
        <v>46234</v>
      </c>
      <c r="G1476" s="17" cm="1">
        <f t="array" ref="G14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46965</v>
      </c>
      <c r="H1476" s="15">
        <f ca="1">IF(OR(tblTraining[[#This Row],[Status]]="Renewed",tblTraining[[#This Row],[NextDueDate]]=""),"",tblTraining[[#This Row],[NextDueDate]]-TODAY())</f>
        <v>679</v>
      </c>
      <c r="I1476" s="15" t="str" cm="1">
        <f t="array" aca="1" ref="I14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7" spans="1:9" x14ac:dyDescent="0.25">
      <c r="A1477" s="15">
        <f t="shared" si="23"/>
        <v>1476</v>
      </c>
      <c r="B1477" s="15" t="s">
        <v>117</v>
      </c>
      <c r="C1477" s="15" t="str" cm="1">
        <f t="array" ref="C1477">IFERROR(_xlfn.XLOOKUP(B1477, tblPeople[PersonID], tblPeople[PersonName], ""), "")</f>
        <v>Mercy Etende</v>
      </c>
      <c r="D1477" s="15" t="s">
        <v>124</v>
      </c>
      <c r="E1477" s="16" t="str">
        <f>IFERROR(_xlfn.XLOOKUP(D1477, tblCourses[CourseID], tblCourses[CourseName], ""), "")</f>
        <v>Aviation Security (Initial)</v>
      </c>
      <c r="F1477" s="17">
        <v>46238</v>
      </c>
      <c r="G1477" s="17" t="str" cm="1">
        <f t="array" ref="G14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7" s="15" t="str">
        <f ca="1">IF(OR(tblTraining[[#This Row],[Status]]="Renewed",tblTraining[[#This Row],[NextDueDate]]=""),"",tblTraining[[#This Row],[NextDueDate]]-TODAY())</f>
        <v/>
      </c>
      <c r="I1477" s="15" t="str" cm="1">
        <f t="array" aca="1" ref="I14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8" spans="1:9" x14ac:dyDescent="0.25">
      <c r="A1478" s="15">
        <f t="shared" si="23"/>
        <v>1477</v>
      </c>
      <c r="B1478" s="15" t="s">
        <v>117</v>
      </c>
      <c r="C1478" s="15" t="str" cm="1">
        <f t="array" ref="C1478">IFERROR(_xlfn.XLOOKUP(B1478, tblPeople[PersonID], tblPeople[PersonName], ""), "")</f>
        <v>Mercy Etende</v>
      </c>
      <c r="D1478" s="15" t="s">
        <v>125</v>
      </c>
      <c r="E1478" s="16" t="str">
        <f>IFERROR(_xlfn.XLOOKUP(D1478, tblCourses[CourseID], tblCourses[CourseName], ""), "")</f>
        <v>Aviation Security (Refresher)</v>
      </c>
      <c r="F1478" s="17">
        <v>46238</v>
      </c>
      <c r="G1478" s="17" cm="1">
        <f t="array" ref="G14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78" s="15">
        <f ca="1">IF(OR(tblTraining[[#This Row],[Status]]="Renewed",tblTraining[[#This Row],[NextDueDate]]=""),"",tblTraining[[#This Row],[NextDueDate]]-TODAY())</f>
        <v>683</v>
      </c>
      <c r="I1478" s="15" t="str" cm="1">
        <f t="array" aca="1" ref="I14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9" spans="1:9" x14ac:dyDescent="0.25">
      <c r="A1479" s="15">
        <f t="shared" si="23"/>
        <v>1478</v>
      </c>
      <c r="B1479" s="15" t="s">
        <v>89</v>
      </c>
      <c r="C1479" s="15" t="str" cm="1">
        <f t="array" ref="C1479">IFERROR(_xlfn.XLOOKUP(B1479, tblPeople[PersonID], tblPeople[PersonName], ""), "")</f>
        <v>Elina Guda</v>
      </c>
      <c r="D1479" s="15" t="s">
        <v>124</v>
      </c>
      <c r="E1479" s="16" t="str">
        <f>IFERROR(_xlfn.XLOOKUP(D1479, tblCourses[CourseID], tblCourses[CourseName], ""), "")</f>
        <v>Aviation Security (Initial)</v>
      </c>
      <c r="F1479" s="17">
        <v>46238</v>
      </c>
      <c r="G1479" s="17" t="str" cm="1">
        <f t="array" ref="G14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9" s="15" t="str">
        <f ca="1">IF(OR(tblTraining[[#This Row],[Status]]="Renewed",tblTraining[[#This Row],[NextDueDate]]=""),"",tblTraining[[#This Row],[NextDueDate]]-TODAY())</f>
        <v/>
      </c>
      <c r="I1479" s="15" t="str" cm="1">
        <f t="array" aca="1" ref="I14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0" spans="1:9" x14ac:dyDescent="0.25">
      <c r="A1480" s="15">
        <f t="shared" si="23"/>
        <v>1479</v>
      </c>
      <c r="B1480" s="15" t="s">
        <v>89</v>
      </c>
      <c r="C1480" s="15" t="str" cm="1">
        <f t="array" ref="C1480">IFERROR(_xlfn.XLOOKUP(B1480, tblPeople[PersonID], tblPeople[PersonName], ""), "")</f>
        <v>Elina Guda</v>
      </c>
      <c r="D1480" s="15" t="s">
        <v>125</v>
      </c>
      <c r="E1480" s="16" t="str">
        <f>IFERROR(_xlfn.XLOOKUP(D1480, tblCourses[CourseID], tblCourses[CourseName], ""), "")</f>
        <v>Aviation Security (Refresher)</v>
      </c>
      <c r="F1480" s="17">
        <v>46238</v>
      </c>
      <c r="G1480" s="17" cm="1">
        <f t="array" ref="G14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80" s="15">
        <f ca="1">IF(OR(tblTraining[[#This Row],[Status]]="Renewed",tblTraining[[#This Row],[NextDueDate]]=""),"",tblTraining[[#This Row],[NextDueDate]]-TODAY())</f>
        <v>683</v>
      </c>
      <c r="I1480" s="15" t="str" cm="1">
        <f t="array" aca="1" ref="I14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1" spans="1:9" x14ac:dyDescent="0.25">
      <c r="A1481" s="15">
        <f t="shared" si="23"/>
        <v>1480</v>
      </c>
      <c r="B1481" s="15" t="s">
        <v>103</v>
      </c>
      <c r="C1481" s="15" t="str" cm="1">
        <f t="array" ref="C1481">IFERROR(_xlfn.XLOOKUP(B1481, tblPeople[PersonID], tblPeople[PersonName], ""), "")</f>
        <v>Smith Harun</v>
      </c>
      <c r="D1481" s="15" t="s">
        <v>124</v>
      </c>
      <c r="E1481" s="16" t="str">
        <f>IFERROR(_xlfn.XLOOKUP(D1481, tblCourses[CourseID], tblCourses[CourseName], ""), "")</f>
        <v>Aviation Security (Initial)</v>
      </c>
      <c r="F1481" s="17">
        <v>46238</v>
      </c>
      <c r="G1481" s="17" t="str" cm="1">
        <f t="array" ref="G14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1" s="15" t="str">
        <f ca="1">IF(OR(tblTraining[[#This Row],[Status]]="Renewed",tblTraining[[#This Row],[NextDueDate]]=""),"",tblTraining[[#This Row],[NextDueDate]]-TODAY())</f>
        <v/>
      </c>
      <c r="I1481" s="15" t="str" cm="1">
        <f t="array" aca="1" ref="I14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2" spans="1:9" x14ac:dyDescent="0.25">
      <c r="A1482" s="15">
        <f t="shared" si="23"/>
        <v>1481</v>
      </c>
      <c r="B1482" s="15" t="s">
        <v>103</v>
      </c>
      <c r="C1482" s="15" t="str" cm="1">
        <f t="array" ref="C1482">IFERROR(_xlfn.XLOOKUP(B1482, tblPeople[PersonID], tblPeople[PersonName], ""), "")</f>
        <v>Smith Harun</v>
      </c>
      <c r="D1482" s="15" t="s">
        <v>125</v>
      </c>
      <c r="E1482" s="16" t="str">
        <f>IFERROR(_xlfn.XLOOKUP(D1482, tblCourses[CourseID], tblCourses[CourseName], ""), "")</f>
        <v>Aviation Security (Refresher)</v>
      </c>
      <c r="F1482" s="17">
        <v>46238</v>
      </c>
      <c r="G1482" s="17" cm="1">
        <f t="array" ref="G14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82" s="15">
        <f ca="1">IF(OR(tblTraining[[#This Row],[Status]]="Renewed",tblTraining[[#This Row],[NextDueDate]]=""),"",tblTraining[[#This Row],[NextDueDate]]-TODAY())</f>
        <v>683</v>
      </c>
      <c r="I1482" s="15" t="str" cm="1">
        <f t="array" aca="1" ref="I14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3" spans="1:9" x14ac:dyDescent="0.25">
      <c r="A1483" s="15">
        <f t="shared" si="23"/>
        <v>1482</v>
      </c>
      <c r="B1483" s="15" t="s">
        <v>150</v>
      </c>
      <c r="C1483" s="15" t="str" cm="1">
        <f t="array" ref="C1483">IFERROR(_xlfn.XLOOKUP(B1483, tblPeople[PersonID], tblPeople[PersonName], ""), "")</f>
        <v>Kea Kazungu</v>
      </c>
      <c r="D1483" s="15" t="s">
        <v>124</v>
      </c>
      <c r="E1483" s="16" t="str">
        <f>IFERROR(_xlfn.XLOOKUP(D1483, tblCourses[CourseID], tblCourses[CourseName], ""), "")</f>
        <v>Aviation Security (Initial)</v>
      </c>
      <c r="F1483" s="17">
        <v>46238</v>
      </c>
      <c r="G1483" s="17" t="str" cm="1">
        <f t="array" ref="G14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3" s="15" t="str">
        <f ca="1">IF(OR(tblTraining[[#This Row],[Status]]="Renewed",tblTraining[[#This Row],[NextDueDate]]=""),"",tblTraining[[#This Row],[NextDueDate]]-TODAY())</f>
        <v/>
      </c>
      <c r="I1483" s="15" t="str" cm="1">
        <f t="array" aca="1" ref="I14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4" spans="1:9" x14ac:dyDescent="0.25">
      <c r="A1484" s="15">
        <f t="shared" si="23"/>
        <v>1483</v>
      </c>
      <c r="B1484" s="15" t="s">
        <v>150</v>
      </c>
      <c r="C1484" s="15" t="str" cm="1">
        <f t="array" ref="C1484">IFERROR(_xlfn.XLOOKUP(B1484, tblPeople[PersonID], tblPeople[PersonName], ""), "")</f>
        <v>Kea Kazungu</v>
      </c>
      <c r="D1484" s="15" t="s">
        <v>125</v>
      </c>
      <c r="E1484" s="16" t="str">
        <f>IFERROR(_xlfn.XLOOKUP(D1484, tblCourses[CourseID], tblCourses[CourseName], ""), "")</f>
        <v>Aviation Security (Refresher)</v>
      </c>
      <c r="F1484" s="17">
        <v>46238</v>
      </c>
      <c r="G1484" s="17" cm="1">
        <f t="array" ref="G14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84" s="15">
        <f ca="1">IF(OR(tblTraining[[#This Row],[Status]]="Renewed",tblTraining[[#This Row],[NextDueDate]]=""),"",tblTraining[[#This Row],[NextDueDate]]-TODAY())</f>
        <v>683</v>
      </c>
      <c r="I1484" s="15" t="str" cm="1">
        <f t="array" aca="1" ref="I14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5" spans="1:9" x14ac:dyDescent="0.25">
      <c r="A1485" s="15">
        <f t="shared" si="23"/>
        <v>1484</v>
      </c>
      <c r="B1485" s="15" t="s">
        <v>95</v>
      </c>
      <c r="C1485" s="15" t="str" cm="1">
        <f t="array" ref="C1485">IFERROR(_xlfn.XLOOKUP(B1485, tblPeople[PersonID], tblPeople[PersonName], ""), "")</f>
        <v>Walter Kibet</v>
      </c>
      <c r="D1485" s="15" t="s">
        <v>124</v>
      </c>
      <c r="E1485" s="16" t="str">
        <f>IFERROR(_xlfn.XLOOKUP(D1485, tblCourses[CourseID], tblCourses[CourseName], ""), "")</f>
        <v>Aviation Security (Initial)</v>
      </c>
      <c r="F1485" s="17">
        <v>46238</v>
      </c>
      <c r="G1485" s="17" t="str" cm="1">
        <f t="array" ref="G14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5" s="15" t="str">
        <f ca="1">IF(OR(tblTraining[[#This Row],[Status]]="Renewed",tblTraining[[#This Row],[NextDueDate]]=""),"",tblTraining[[#This Row],[NextDueDate]]-TODAY())</f>
        <v/>
      </c>
      <c r="I1485" s="15" t="str" cm="1">
        <f t="array" aca="1" ref="I14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6" spans="1:9" x14ac:dyDescent="0.25">
      <c r="A1486" s="15">
        <f t="shared" si="23"/>
        <v>1485</v>
      </c>
      <c r="B1486" s="15" t="s">
        <v>95</v>
      </c>
      <c r="C1486" s="15" t="str" cm="1">
        <f t="array" ref="C1486">IFERROR(_xlfn.XLOOKUP(B1486, tblPeople[PersonID], tblPeople[PersonName], ""), "")</f>
        <v>Walter Kibet</v>
      </c>
      <c r="D1486" s="15" t="s">
        <v>125</v>
      </c>
      <c r="E1486" s="16" t="str">
        <f>IFERROR(_xlfn.XLOOKUP(D1486, tblCourses[CourseID], tblCourses[CourseName], ""), "")</f>
        <v>Aviation Security (Refresher)</v>
      </c>
      <c r="F1486" s="17">
        <v>46238</v>
      </c>
      <c r="G1486" s="17" cm="1">
        <f t="array" ref="G14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86" s="15">
        <f ca="1">IF(OR(tblTraining[[#This Row],[Status]]="Renewed",tblTraining[[#This Row],[NextDueDate]]=""),"",tblTraining[[#This Row],[NextDueDate]]-TODAY())</f>
        <v>683</v>
      </c>
      <c r="I1486" s="15" t="str" cm="1">
        <f t="array" aca="1" ref="I14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7" spans="1:9" x14ac:dyDescent="0.25">
      <c r="A1487" s="15">
        <f t="shared" si="23"/>
        <v>1486</v>
      </c>
      <c r="B1487" s="15" t="s">
        <v>105</v>
      </c>
      <c r="C1487" s="15" t="str" cm="1">
        <f t="array" ref="C1487">IFERROR(_xlfn.XLOOKUP(B1487, tblPeople[PersonID], tblPeople[PersonName], ""), "")</f>
        <v>Fred Magotsi</v>
      </c>
      <c r="D1487" s="15" t="s">
        <v>124</v>
      </c>
      <c r="E1487" s="16" t="str">
        <f>IFERROR(_xlfn.XLOOKUP(D1487, tblCourses[CourseID], tblCourses[CourseName], ""), "")</f>
        <v>Aviation Security (Initial)</v>
      </c>
      <c r="F1487" s="17">
        <v>46238</v>
      </c>
      <c r="G1487" s="17" t="str" cm="1">
        <f t="array" ref="G14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7" s="15" t="str">
        <f ca="1">IF(OR(tblTraining[[#This Row],[Status]]="Renewed",tblTraining[[#This Row],[NextDueDate]]=""),"",tblTraining[[#This Row],[NextDueDate]]-TODAY())</f>
        <v/>
      </c>
      <c r="I1487" s="15" t="str" cm="1">
        <f t="array" aca="1" ref="I14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8" spans="1:9" x14ac:dyDescent="0.25">
      <c r="A1488" s="15">
        <f t="shared" si="23"/>
        <v>1487</v>
      </c>
      <c r="B1488" s="15" t="s">
        <v>105</v>
      </c>
      <c r="C1488" s="15" t="str" cm="1">
        <f t="array" ref="C1488">IFERROR(_xlfn.XLOOKUP(B1488, tblPeople[PersonID], tblPeople[PersonName], ""), "")</f>
        <v>Fred Magotsi</v>
      </c>
      <c r="D1488" s="15" t="s">
        <v>125</v>
      </c>
      <c r="E1488" s="16" t="str">
        <f>IFERROR(_xlfn.XLOOKUP(D1488, tblCourses[CourseID], tblCourses[CourseName], ""), "")</f>
        <v>Aviation Security (Refresher)</v>
      </c>
      <c r="F1488" s="17">
        <v>46238</v>
      </c>
      <c r="G1488" s="17" cm="1">
        <f t="array" ref="G14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88" s="15">
        <f ca="1">IF(OR(tblTraining[[#This Row],[Status]]="Renewed",tblTraining[[#This Row],[NextDueDate]]=""),"",tblTraining[[#This Row],[NextDueDate]]-TODAY())</f>
        <v>683</v>
      </c>
      <c r="I1488" s="15" t="str" cm="1">
        <f t="array" aca="1" ref="I14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9" spans="1:9" x14ac:dyDescent="0.25">
      <c r="A1489" s="15">
        <f t="shared" si="23"/>
        <v>1488</v>
      </c>
      <c r="B1489" s="15" t="s">
        <v>84</v>
      </c>
      <c r="C1489" s="15" t="str" cm="1">
        <f t="array" ref="C1489">IFERROR(_xlfn.XLOOKUP(B1489, tblPeople[PersonID], tblPeople[PersonName], ""), "")</f>
        <v>Patrick Musau</v>
      </c>
      <c r="D1489" s="15" t="s">
        <v>124</v>
      </c>
      <c r="E1489" s="16" t="str">
        <f>IFERROR(_xlfn.XLOOKUP(D1489, tblCourses[CourseID], tblCourses[CourseName], ""), "")</f>
        <v>Aviation Security (Initial)</v>
      </c>
      <c r="F1489" s="17">
        <v>46238</v>
      </c>
      <c r="G1489" s="17" t="str" cm="1">
        <f t="array" ref="G14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9" s="15" t="str">
        <f ca="1">IF(OR(tblTraining[[#This Row],[Status]]="Renewed",tblTraining[[#This Row],[NextDueDate]]=""),"",tblTraining[[#This Row],[NextDueDate]]-TODAY())</f>
        <v/>
      </c>
      <c r="I1489" s="15" t="str" cm="1">
        <f t="array" aca="1" ref="I14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0" spans="1:9" x14ac:dyDescent="0.25">
      <c r="A1490" s="15">
        <f t="shared" si="23"/>
        <v>1489</v>
      </c>
      <c r="B1490" s="15" t="s">
        <v>84</v>
      </c>
      <c r="C1490" s="15" t="str" cm="1">
        <f t="array" ref="C1490">IFERROR(_xlfn.XLOOKUP(B1490, tblPeople[PersonID], tblPeople[PersonName], ""), "")</f>
        <v>Patrick Musau</v>
      </c>
      <c r="D1490" s="15" t="s">
        <v>125</v>
      </c>
      <c r="E1490" s="16" t="str">
        <f>IFERROR(_xlfn.XLOOKUP(D1490, tblCourses[CourseID], tblCourses[CourseName], ""), "")</f>
        <v>Aviation Security (Refresher)</v>
      </c>
      <c r="F1490" s="17">
        <v>46238</v>
      </c>
      <c r="G1490" s="17" cm="1">
        <f t="array" ref="G14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90" s="15">
        <f ca="1">IF(OR(tblTraining[[#This Row],[Status]]="Renewed",tblTraining[[#This Row],[NextDueDate]]=""),"",tblTraining[[#This Row],[NextDueDate]]-TODAY())</f>
        <v>683</v>
      </c>
      <c r="I1490" s="15" t="str" cm="1">
        <f t="array" aca="1" ref="I14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1" spans="1:9" x14ac:dyDescent="0.25">
      <c r="A1491" s="15">
        <f t="shared" si="23"/>
        <v>1490</v>
      </c>
      <c r="B1491" s="15" t="s">
        <v>157</v>
      </c>
      <c r="C1491" s="15" t="str" cm="1">
        <f t="array" ref="C1491">IFERROR(_xlfn.XLOOKUP(B1491, tblPeople[PersonID], tblPeople[PersonName], ""), "")</f>
        <v>Stephen Mutambu</v>
      </c>
      <c r="D1491" s="15" t="s">
        <v>124</v>
      </c>
      <c r="E1491" s="16" t="str">
        <f>IFERROR(_xlfn.XLOOKUP(D1491, tblCourses[CourseID], tblCourses[CourseName], ""), "")</f>
        <v>Aviation Security (Initial)</v>
      </c>
      <c r="F1491" s="17">
        <v>46238</v>
      </c>
      <c r="G1491" s="17" t="str" cm="1">
        <f t="array" ref="G14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1" s="15" t="str">
        <f ca="1">IF(OR(tblTraining[[#This Row],[Status]]="Renewed",tblTraining[[#This Row],[NextDueDate]]=""),"",tblTraining[[#This Row],[NextDueDate]]-TODAY())</f>
        <v/>
      </c>
      <c r="I1491" s="15" t="str" cm="1">
        <f t="array" aca="1" ref="I14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2" spans="1:9" x14ac:dyDescent="0.25">
      <c r="A1492" s="15">
        <f t="shared" si="23"/>
        <v>1491</v>
      </c>
      <c r="B1492" s="15" t="s">
        <v>82</v>
      </c>
      <c r="C1492" s="15" t="str" cm="1">
        <f t="array" ref="C1492">IFERROR(_xlfn.XLOOKUP(B1492, tblPeople[PersonID], tblPeople[PersonName], ""), "")</f>
        <v>Philip Mwania</v>
      </c>
      <c r="D1492" s="15" t="s">
        <v>124</v>
      </c>
      <c r="E1492" s="16" t="str">
        <f>IFERROR(_xlfn.XLOOKUP(D1492, tblCourses[CourseID], tblCourses[CourseName], ""), "")</f>
        <v>Aviation Security (Initial)</v>
      </c>
      <c r="F1492" s="17">
        <v>46238</v>
      </c>
      <c r="G1492" s="17" t="str" cm="1">
        <f t="array" ref="G14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2" s="15" t="str">
        <f ca="1">IF(OR(tblTraining[[#This Row],[Status]]="Renewed",tblTraining[[#This Row],[NextDueDate]]=""),"",tblTraining[[#This Row],[NextDueDate]]-TODAY())</f>
        <v/>
      </c>
      <c r="I1492" s="15" t="str" cm="1">
        <f t="array" aca="1" ref="I14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3" spans="1:9" x14ac:dyDescent="0.25">
      <c r="A1493" s="15">
        <f t="shared" si="23"/>
        <v>1492</v>
      </c>
      <c r="B1493" s="15" t="s">
        <v>82</v>
      </c>
      <c r="C1493" s="15" t="str" cm="1">
        <f t="array" ref="C1493">IFERROR(_xlfn.XLOOKUP(B1493, tblPeople[PersonID], tblPeople[PersonName], ""), "")</f>
        <v>Philip Mwania</v>
      </c>
      <c r="D1493" s="15" t="s">
        <v>125</v>
      </c>
      <c r="E1493" s="16" t="str">
        <f>IFERROR(_xlfn.XLOOKUP(D1493, tblCourses[CourseID], tblCourses[CourseName], ""), "")</f>
        <v>Aviation Security (Refresher)</v>
      </c>
      <c r="F1493" s="17">
        <v>46238</v>
      </c>
      <c r="G1493" s="17" cm="1">
        <f t="array" ref="G14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93" s="15">
        <f ca="1">IF(OR(tblTraining[[#This Row],[Status]]="Renewed",tblTraining[[#This Row],[NextDueDate]]=""),"",tblTraining[[#This Row],[NextDueDate]]-TODAY())</f>
        <v>683</v>
      </c>
      <c r="I1493" s="15" t="str" cm="1">
        <f t="array" aca="1" ref="I14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4" spans="1:9" x14ac:dyDescent="0.25">
      <c r="A1494" s="15">
        <f t="shared" si="23"/>
        <v>1493</v>
      </c>
      <c r="B1494" s="15" t="s">
        <v>97</v>
      </c>
      <c r="C1494" s="15" t="str" cm="1">
        <f t="array" ref="C1494">IFERROR(_xlfn.XLOOKUP(B1494, tblPeople[PersonID], tblPeople[PersonName], ""), "")</f>
        <v>Thomas Wambunya</v>
      </c>
      <c r="D1494" s="15" t="s">
        <v>124</v>
      </c>
      <c r="E1494" s="16" t="str">
        <f>IFERROR(_xlfn.XLOOKUP(D1494, tblCourses[CourseID], tblCourses[CourseName], ""), "")</f>
        <v>Aviation Security (Initial)</v>
      </c>
      <c r="F1494" s="17">
        <v>46238</v>
      </c>
      <c r="G1494" s="17" t="str" cm="1">
        <f t="array" ref="G14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4" s="15" t="str">
        <f ca="1">IF(OR(tblTraining[[#This Row],[Status]]="Renewed",tblTraining[[#This Row],[NextDueDate]]=""),"",tblTraining[[#This Row],[NextDueDate]]-TODAY())</f>
        <v/>
      </c>
      <c r="I1494" s="15" t="str" cm="1">
        <f t="array" aca="1" ref="I14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5" spans="1:9" x14ac:dyDescent="0.25">
      <c r="A1495" s="15">
        <f t="shared" si="23"/>
        <v>1494</v>
      </c>
      <c r="B1495" s="15" t="s">
        <v>563</v>
      </c>
      <c r="C1495" s="15" t="str" cm="1">
        <f t="array" ref="C1495">IFERROR(_xlfn.XLOOKUP(B1495, tblPeople[PersonID], tblPeople[PersonName], ""), "")</f>
        <v>Brian Kinama</v>
      </c>
      <c r="D1495" s="15" t="s">
        <v>124</v>
      </c>
      <c r="E1495" s="16" t="str">
        <f>IFERROR(_xlfn.XLOOKUP(D1495, tblCourses[CourseID], tblCourses[CourseName], ""), "")</f>
        <v>Aviation Security (Initial)</v>
      </c>
      <c r="F1495" s="17">
        <v>46238</v>
      </c>
      <c r="G1495" s="17" t="str" cm="1">
        <f t="array" ref="G14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5" s="15" t="str">
        <f ca="1">IF(OR(tblTraining[[#This Row],[Status]]="Renewed",tblTraining[[#This Row],[NextDueDate]]=""),"",tblTraining[[#This Row],[NextDueDate]]-TODAY())</f>
        <v/>
      </c>
      <c r="I1495" s="15" t="str" cm="1">
        <f t="array" aca="1" ref="I14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6" spans="1:9" x14ac:dyDescent="0.25">
      <c r="A1496" s="15">
        <f t="shared" si="23"/>
        <v>1495</v>
      </c>
      <c r="B1496" s="15" t="s">
        <v>563</v>
      </c>
      <c r="C1496" s="15" t="str" cm="1">
        <f t="array" ref="C1496">IFERROR(_xlfn.XLOOKUP(B1496, tblPeople[PersonID], tblPeople[PersonName], ""), "")</f>
        <v>Brian Kinama</v>
      </c>
      <c r="D1496" s="15" t="s">
        <v>125</v>
      </c>
      <c r="E1496" s="16" t="str">
        <f>IFERROR(_xlfn.XLOOKUP(D1496, tblCourses[CourseID], tblCourses[CourseName], ""), "")</f>
        <v>Aviation Security (Refresher)</v>
      </c>
      <c r="F1496" s="17">
        <v>46238</v>
      </c>
      <c r="G1496" s="17" cm="1">
        <f t="array" ref="G14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96" s="15">
        <f ca="1">IF(OR(tblTraining[[#This Row],[Status]]="Renewed",tblTraining[[#This Row],[NextDueDate]]=""),"",tblTraining[[#This Row],[NextDueDate]]-TODAY())</f>
        <v>683</v>
      </c>
      <c r="I1496" s="15" t="str" cm="1">
        <f t="array" aca="1" ref="I14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7" spans="1:9" x14ac:dyDescent="0.25">
      <c r="A1497" s="15">
        <f t="shared" si="23"/>
        <v>1496</v>
      </c>
      <c r="B1497" s="15" t="s">
        <v>161</v>
      </c>
      <c r="C1497" s="15" t="str" cm="1">
        <f t="array" ref="C1497">IFERROR(_xlfn.XLOOKUP(B1497, tblPeople[PersonID], tblPeople[PersonName], ""), "")</f>
        <v>Francis Omondi</v>
      </c>
      <c r="D1497" s="15" t="s">
        <v>76</v>
      </c>
      <c r="E1497" s="16" t="str">
        <f>IFERROR(_xlfn.XLOOKUP(D1497, tblCourses[CourseID], tblCourses[CourseName], ""), "")</f>
        <v>Fuel Tank Safety Phase 1 &amp; 2 Course (Initial)</v>
      </c>
      <c r="F1497" s="17">
        <v>46241</v>
      </c>
      <c r="G1497" s="17" t="str" cm="1">
        <f t="array" ref="G14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7" s="15" t="str">
        <f ca="1">IF(OR(tblTraining[[#This Row],[Status]]="Renewed",tblTraining[[#This Row],[NextDueDate]]=""),"",tblTraining[[#This Row],[NextDueDate]]-TODAY())</f>
        <v/>
      </c>
      <c r="I1497" s="15" t="str" cm="1">
        <f t="array" aca="1" ref="I14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8" spans="1:9" x14ac:dyDescent="0.25">
      <c r="A1498" s="15">
        <f t="shared" si="23"/>
        <v>1497</v>
      </c>
      <c r="B1498" s="15" t="s">
        <v>161</v>
      </c>
      <c r="C1498" s="15" t="str" cm="1">
        <f t="array" ref="C1498">IFERROR(_xlfn.XLOOKUP(B1498, tblPeople[PersonID], tblPeople[PersonName], ""), "")</f>
        <v>Francis Omondi</v>
      </c>
      <c r="D1498" s="15" t="s">
        <v>75</v>
      </c>
      <c r="E1498" s="16" t="str">
        <f>IFERROR(_xlfn.XLOOKUP(D1498, tblCourses[CourseID], tblCourses[CourseName], ""), "")</f>
        <v>Fuel Tank Safety Phase 1 &amp; 2 Course (Refresher)</v>
      </c>
      <c r="F1498" s="17">
        <v>46241</v>
      </c>
      <c r="G1498" s="17" cm="1">
        <f t="array" ref="G14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46972</v>
      </c>
      <c r="H1498" s="15">
        <f ca="1">IF(OR(tblTraining[[#This Row],[Status]]="Renewed",tblTraining[[#This Row],[NextDueDate]]=""),"",tblTraining[[#This Row],[NextDueDate]]-TODAY())</f>
        <v>686</v>
      </c>
      <c r="I1498" s="15" t="str" cm="1">
        <f t="array" aca="1" ref="I14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9" spans="1:9" x14ac:dyDescent="0.25">
      <c r="A1499" s="15">
        <f t="shared" si="23"/>
        <v>1498</v>
      </c>
      <c r="B1499" s="15" t="s">
        <v>443</v>
      </c>
      <c r="C1499" s="15" t="str" cm="1">
        <f t="array" ref="C1499">IFERROR(_xlfn.XLOOKUP(B1499, tblPeople[PersonID], tblPeople[PersonName], ""), "")</f>
        <v>Alfred Okudo</v>
      </c>
      <c r="D1499" s="15" t="s">
        <v>76</v>
      </c>
      <c r="E1499" s="16" t="str">
        <f>IFERROR(_xlfn.XLOOKUP(D1499, tblCourses[CourseID], tblCourses[CourseName], ""), "")</f>
        <v>Fuel Tank Safety Phase 1 &amp; 2 Course (Initial)</v>
      </c>
      <c r="F1499" s="17">
        <v>46249</v>
      </c>
      <c r="G1499" s="17" t="str" cm="1">
        <f t="array" ref="G14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9" s="15" t="str">
        <f ca="1">IF(OR(tblTraining[[#This Row],[Status]]="Renewed",tblTraining[[#This Row],[NextDueDate]]=""),"",tblTraining[[#This Row],[NextDueDate]]-TODAY())</f>
        <v/>
      </c>
      <c r="I1499" s="15" t="str" cm="1">
        <f t="array" aca="1" ref="I14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0" spans="1:9" x14ac:dyDescent="0.25">
      <c r="A1500" s="15">
        <f t="shared" si="23"/>
        <v>1499</v>
      </c>
      <c r="B1500" s="15" t="s">
        <v>443</v>
      </c>
      <c r="C1500" s="15" t="str" cm="1">
        <f t="array" ref="C1500">IFERROR(_xlfn.XLOOKUP(B1500, tblPeople[PersonID], tblPeople[PersonName], ""), "")</f>
        <v>Alfred Okudo</v>
      </c>
      <c r="D1500" s="15" t="s">
        <v>75</v>
      </c>
      <c r="E1500" s="16" t="str">
        <f>IFERROR(_xlfn.XLOOKUP(D1500, tblCourses[CourseID], tblCourses[CourseName], ""), "")</f>
        <v>Fuel Tank Safety Phase 1 &amp; 2 Course (Refresher)</v>
      </c>
      <c r="F1500" s="17">
        <v>46249</v>
      </c>
      <c r="G1500" s="17" cm="1">
        <f t="array" ref="G15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46980</v>
      </c>
      <c r="H1500" s="15">
        <f ca="1">IF(OR(tblTraining[[#This Row],[Status]]="Renewed",tblTraining[[#This Row],[NextDueDate]]=""),"",tblTraining[[#This Row],[NextDueDate]]-TODAY())</f>
        <v>694</v>
      </c>
      <c r="I1500" s="15" t="str" cm="1">
        <f t="array" aca="1" ref="I15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1" spans="1:9" x14ac:dyDescent="0.25">
      <c r="A1501" s="15">
        <f t="shared" si="23"/>
        <v>1500</v>
      </c>
      <c r="B1501" s="15" t="s">
        <v>563</v>
      </c>
      <c r="C1501" s="15" t="str" cm="1">
        <f t="array" ref="C1501">IFERROR(_xlfn.XLOOKUP(B1501, tblPeople[PersonID], tblPeople[PersonName], ""), "")</f>
        <v>Brian Kinama</v>
      </c>
      <c r="D1501" s="15" t="s">
        <v>76</v>
      </c>
      <c r="E1501" s="16" t="str">
        <f>IFERROR(_xlfn.XLOOKUP(D1501, tblCourses[CourseID], tblCourses[CourseName], ""), "")</f>
        <v>Fuel Tank Safety Phase 1 &amp; 2 Course (Initial)</v>
      </c>
      <c r="F1501" s="17">
        <v>46252</v>
      </c>
      <c r="G1501" s="17" t="str" cm="1">
        <f t="array" ref="G15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1" s="15" t="str">
        <f ca="1">IF(OR(tblTraining[[#This Row],[Status]]="Renewed",tblTraining[[#This Row],[NextDueDate]]=""),"",tblTraining[[#This Row],[NextDueDate]]-TODAY())</f>
        <v/>
      </c>
      <c r="I1501" s="15" t="str" cm="1">
        <f t="array" aca="1" ref="I15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2" spans="1:9" x14ac:dyDescent="0.25">
      <c r="A1502" s="15">
        <f t="shared" si="23"/>
        <v>1501</v>
      </c>
      <c r="B1502" s="15" t="s">
        <v>563</v>
      </c>
      <c r="C1502" s="15" t="str" cm="1">
        <f t="array" ref="C1502">IFERROR(_xlfn.XLOOKUP(B1502, tblPeople[PersonID], tblPeople[PersonName], ""), "")</f>
        <v>Brian Kinama</v>
      </c>
      <c r="D1502" s="15" t="s">
        <v>75</v>
      </c>
      <c r="E1502" s="16" t="str">
        <f>IFERROR(_xlfn.XLOOKUP(D1502, tblCourses[CourseID], tblCourses[CourseName], ""), "")</f>
        <v>Fuel Tank Safety Phase 1 &amp; 2 Course (Refresher)</v>
      </c>
      <c r="F1502" s="17">
        <v>46252</v>
      </c>
      <c r="G1502" s="17" cm="1">
        <f t="array" ref="G15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46983</v>
      </c>
      <c r="H1502" s="15">
        <f ca="1">IF(OR(tblTraining[[#This Row],[Status]]="Renewed",tblTraining[[#This Row],[NextDueDate]]=""),"",tblTraining[[#This Row],[NextDueDate]]-TODAY())</f>
        <v>697</v>
      </c>
      <c r="I1502" s="15" t="str" cm="1">
        <f t="array" aca="1" ref="I15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3" spans="1:9" x14ac:dyDescent="0.25">
      <c r="A1503" s="15">
        <f t="shared" si="23"/>
        <v>1502</v>
      </c>
      <c r="B1503" s="15" t="s">
        <v>563</v>
      </c>
      <c r="C1503" s="15" t="str" cm="1">
        <f t="array" ref="C1503">IFERROR(_xlfn.XLOOKUP(B1503, tblPeople[PersonID], tblPeople[PersonName], ""), "")</f>
        <v>Brian Kinama</v>
      </c>
      <c r="D1503" s="15" t="s">
        <v>24</v>
      </c>
      <c r="E1503" s="16" t="str">
        <f>IFERROR(_xlfn.XLOOKUP(D1503, tblCourses[CourseID], tblCourses[CourseName], ""), "")</f>
        <v>Human Factors in Aviation (Initial)</v>
      </c>
      <c r="F1503" s="17">
        <v>46249</v>
      </c>
      <c r="G1503" s="17" t="str" cm="1">
        <f t="array" ref="G15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3" s="15" t="str">
        <f ca="1">IF(OR(tblTraining[[#This Row],[Status]]="Renewed",tblTraining[[#This Row],[NextDueDate]]=""),"",tblTraining[[#This Row],[NextDueDate]]-TODAY())</f>
        <v/>
      </c>
      <c r="I1503" s="15" t="str" cm="1">
        <f t="array" aca="1" ref="I15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4" spans="1:9" x14ac:dyDescent="0.25">
      <c r="A1504" s="15">
        <f t="shared" si="23"/>
        <v>1503</v>
      </c>
      <c r="B1504" s="15" t="s">
        <v>563</v>
      </c>
      <c r="C1504" s="15" t="str" cm="1">
        <f t="array" ref="C1504">IFERROR(_xlfn.XLOOKUP(B1504, tblPeople[PersonID], tblPeople[PersonName], ""), "")</f>
        <v>Brian Kinama</v>
      </c>
      <c r="D1504" s="15" t="s">
        <v>22</v>
      </c>
      <c r="E1504" s="16" t="str">
        <f>IFERROR(_xlfn.XLOOKUP(D1504, tblCourses[CourseID], tblCourses[CourseName], ""), "")</f>
        <v>Human Factors in Aviation (Refresher)</v>
      </c>
      <c r="F1504" s="17">
        <v>46249</v>
      </c>
      <c r="G1504" s="17" cm="1">
        <f t="array" ref="G15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46980</v>
      </c>
      <c r="H1504" s="15">
        <f ca="1">IF(OR(tblTraining[[#This Row],[Status]]="Renewed",tblTraining[[#This Row],[NextDueDate]]=""),"",tblTraining[[#This Row],[NextDueDate]]-TODAY())</f>
        <v>694</v>
      </c>
      <c r="I1504" s="15" t="str" cm="1">
        <f t="array" aca="1" ref="I15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5" spans="1:9" x14ac:dyDescent="0.25">
      <c r="A1505" s="15">
        <f t="shared" si="23"/>
        <v>1504</v>
      </c>
      <c r="B1505" s="15" t="s">
        <v>510</v>
      </c>
      <c r="C1505" s="15" t="str" cm="1">
        <f t="array" ref="C1505">IFERROR(_xlfn.XLOOKUP(B1505, tblPeople[PersonID], tblPeople[PersonName], ""), "")</f>
        <v>Bruce Mukabi</v>
      </c>
      <c r="D1505" s="15" t="s">
        <v>17</v>
      </c>
      <c r="E1505" s="16" t="str">
        <f>IFERROR(_xlfn.XLOOKUP(D1505, tblCourses[CourseID], tblCourses[CourseName], ""), "")</f>
        <v>Safety Management Systems (Refresher)</v>
      </c>
      <c r="F1505" s="17">
        <v>46290</v>
      </c>
      <c r="G1505" s="17" cm="1">
        <f t="array" ref="G15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47021</v>
      </c>
      <c r="H1505" s="15">
        <f ca="1">IF(OR(tblTraining[[#This Row],[Status]]="Renewed",tblTraining[[#This Row],[NextDueDate]]=""),"",tblTraining[[#This Row],[NextDueDate]]-TODAY())</f>
        <v>735</v>
      </c>
      <c r="I1505" s="15" t="str" cm="1">
        <f t="array" aca="1" ref="I15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6" spans="1:9" x14ac:dyDescent="0.25">
      <c r="A1506" s="15">
        <f t="shared" si="23"/>
        <v>1505</v>
      </c>
      <c r="B1506" s="15" t="s">
        <v>510</v>
      </c>
      <c r="C1506" s="15" t="str" cm="1">
        <f t="array" ref="C1506">IFERROR(_xlfn.XLOOKUP(B1506, tblPeople[PersonID], tblPeople[PersonName], ""), "")</f>
        <v>Bruce Mukabi</v>
      </c>
      <c r="D1506" s="15" t="s">
        <v>173</v>
      </c>
      <c r="E1506" s="16" t="str">
        <f>IFERROR(_xlfn.XLOOKUP(D1506, tblCourses[CourseID], tblCourses[CourseName], ""), "")</f>
        <v>Quality Management Systems</v>
      </c>
      <c r="F1506" s="17">
        <v>45779</v>
      </c>
      <c r="G1506" s="17" cm="1">
        <f t="array" ref="G15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46875</v>
      </c>
      <c r="H1506" s="15">
        <f ca="1">IF(OR(tblTraining[[#This Row],[Status]]="Renewed",tblTraining[[#This Row],[NextDueDate]]=""),"",tblTraining[[#This Row],[NextDueDate]]-TODAY())</f>
        <v>589</v>
      </c>
      <c r="I1506" s="15" t="str" cm="1">
        <f t="array" aca="1" ref="I15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7" spans="1:9" x14ac:dyDescent="0.25">
      <c r="A1507" s="15">
        <f t="shared" si="23"/>
        <v>1506</v>
      </c>
      <c r="B1507" s="15" t="s">
        <v>510</v>
      </c>
      <c r="C1507" s="15" t="str" cm="1">
        <f t="array" ref="C1507">IFERROR(_xlfn.XLOOKUP(B1507, tblPeople[PersonID], tblPeople[PersonName], ""), "")</f>
        <v>Bruce Mukabi</v>
      </c>
      <c r="D1507" s="15" t="s">
        <v>237</v>
      </c>
      <c r="E1507" s="16" t="str">
        <f>IFERROR(_xlfn.XLOOKUP(D1507, tblCourses[CourseID], tblCourses[CourseName], ""), "")</f>
        <v>Crew Resource Management (Refresher)</v>
      </c>
      <c r="F1507" s="17">
        <v>45915</v>
      </c>
      <c r="G1507" s="17" t="str" cm="1">
        <f t="array" ref="G15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7" s="15" t="str">
        <f ca="1">IF(OR(tblTraining[[#This Row],[Status]]="Renewed",tblTraining[[#This Row],[NextDueDate]]=""),"",tblTraining[[#This Row],[NextDueDate]]-TODAY())</f>
        <v/>
      </c>
      <c r="I1507" s="15" t="str" cm="1">
        <f t="array" aca="1" ref="I15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08" spans="1:9" x14ac:dyDescent="0.25">
      <c r="A1508" s="15">
        <f t="shared" si="23"/>
        <v>1507</v>
      </c>
      <c r="B1508" s="15" t="s">
        <v>510</v>
      </c>
      <c r="C1508" s="15" t="str" cm="1">
        <f t="array" ref="C1508">IFERROR(_xlfn.XLOOKUP(B1508, tblPeople[PersonID], tblPeople[PersonName], ""), "")</f>
        <v>Bruce Mukabi</v>
      </c>
      <c r="D1508" s="15" t="s">
        <v>237</v>
      </c>
      <c r="E1508" s="16" t="str">
        <f>IFERROR(_xlfn.XLOOKUP(D1508, tblCourses[CourseID], tblCourses[CourseName], ""), "")</f>
        <v>Crew Resource Management (Refresher)</v>
      </c>
      <c r="F1508" s="17">
        <v>46280</v>
      </c>
      <c r="G1508" s="17" cm="1">
        <f t="array" ref="G15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47011</v>
      </c>
      <c r="H1508" s="15">
        <f ca="1">IF(OR(tblTraining[[#This Row],[Status]]="Renewed",tblTraining[[#This Row],[NextDueDate]]=""),"",tblTraining[[#This Row],[NextDueDate]]-TODAY())</f>
        <v>725</v>
      </c>
      <c r="I1508" s="15" t="str" cm="1">
        <f t="array" aca="1" ref="I15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9" spans="1:9" x14ac:dyDescent="0.25">
      <c r="A1509" s="15">
        <f t="shared" si="23"/>
        <v>1508</v>
      </c>
      <c r="B1509" s="15" t="s">
        <v>371</v>
      </c>
      <c r="C1509" s="15" t="str" cm="1">
        <f t="array" ref="C1509">IFERROR(_xlfn.XLOOKUP(B1509, tblPeople[PersonID], tblPeople[PersonName], ""), "")</f>
        <v>Alex Avedi</v>
      </c>
      <c r="D1509" s="15" t="s">
        <v>238</v>
      </c>
      <c r="E1509" s="16" t="str">
        <f>IFERROR(_xlfn.XLOOKUP(D1509, tblCourses[CourseID], tblCourses[CourseName], ""), "")</f>
        <v>Crew Resource Management (Initial)</v>
      </c>
      <c r="F1509" s="17">
        <v>44088</v>
      </c>
      <c r="G1509" s="17" t="str" cm="1">
        <f t="array" ref="G15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9" s="15" t="str">
        <f ca="1">IF(OR(tblTraining[[#This Row],[Status]]="Renewed",tblTraining[[#This Row],[NextDueDate]]=""),"",tblTraining[[#This Row],[NextDueDate]]-TODAY())</f>
        <v/>
      </c>
      <c r="I1509" s="15" t="str" cm="1">
        <f t="array" aca="1" ref="I15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0" spans="1:9" x14ac:dyDescent="0.25">
      <c r="A1510" s="15">
        <f t="shared" si="23"/>
        <v>1509</v>
      </c>
      <c r="B1510" s="15" t="s">
        <v>371</v>
      </c>
      <c r="C1510" s="15" t="str" cm="1">
        <f t="array" ref="C1510">IFERROR(_xlfn.XLOOKUP(B1510, tblPeople[PersonID], tblPeople[PersonName], ""), "")</f>
        <v>Alex Avedi</v>
      </c>
      <c r="D1510" s="15" t="s">
        <v>237</v>
      </c>
      <c r="E1510" s="16" t="str">
        <f>IFERROR(_xlfn.XLOOKUP(D1510, tblCourses[CourseID], tblCourses[CourseName], ""), "")</f>
        <v>Crew Resource Management (Refresher)</v>
      </c>
      <c r="F1510" s="17">
        <v>44088</v>
      </c>
      <c r="G1510" s="17" t="str" cm="1">
        <f t="array" ref="G15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0" s="15" t="str">
        <f ca="1">IF(OR(tblTraining[[#This Row],[Status]]="Renewed",tblTraining[[#This Row],[NextDueDate]]=""),"",tblTraining[[#This Row],[NextDueDate]]-TODAY())</f>
        <v/>
      </c>
      <c r="I1510" s="15" t="str" cm="1">
        <f t="array" aca="1" ref="I15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11" spans="1:9" x14ac:dyDescent="0.25">
      <c r="A1511" s="15">
        <f t="shared" si="23"/>
        <v>1510</v>
      </c>
      <c r="B1511" s="15" t="s">
        <v>371</v>
      </c>
      <c r="C1511" s="15" t="str" cm="1">
        <f t="array" ref="C1511">IFERROR(_xlfn.XLOOKUP(B1511, tblPeople[PersonID], tblPeople[PersonName], ""), "")</f>
        <v>Alex Avedi</v>
      </c>
      <c r="D1511" s="15" t="s">
        <v>237</v>
      </c>
      <c r="E1511" s="16" t="str">
        <f>IFERROR(_xlfn.XLOOKUP(D1511, tblCourses[CourseID], tblCourses[CourseName], ""), "")</f>
        <v>Crew Resource Management (Refresher)</v>
      </c>
      <c r="F1511" s="17">
        <v>45976</v>
      </c>
      <c r="G1511" s="17" cm="1">
        <f t="array" ref="G15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46706</v>
      </c>
      <c r="H1511" s="15">
        <f ca="1">IF(OR(tblTraining[[#This Row],[Status]]="Renewed",tblTraining[[#This Row],[NextDueDate]]=""),"",tblTraining[[#This Row],[NextDueDate]]-TODAY())</f>
        <v>420</v>
      </c>
      <c r="I1511" s="15" t="str" cm="1">
        <f t="array" aca="1" ref="I15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2" spans="1:9" x14ac:dyDescent="0.25">
      <c r="A1512" s="15">
        <f t="shared" si="23"/>
        <v>1511</v>
      </c>
      <c r="B1512" s="15" t="s">
        <v>371</v>
      </c>
      <c r="C1512" s="15" t="str" cm="1">
        <f t="array" ref="C1512">IFERROR(_xlfn.XLOOKUP(B1512, tblPeople[PersonID], tblPeople[PersonName], ""), "")</f>
        <v>Alex Avedi</v>
      </c>
      <c r="D1512" s="15" t="s">
        <v>20</v>
      </c>
      <c r="E1512" s="16" t="str">
        <f>IFERROR(_xlfn.XLOOKUP(D1512, tblCourses[CourseID], tblCourses[CourseName], ""), "")</f>
        <v>Safety Management Systems (Initial)</v>
      </c>
      <c r="F1512" s="17">
        <v>43510</v>
      </c>
      <c r="G1512" s="17" t="str" cm="1">
        <f t="array" ref="G15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2" s="15" t="str">
        <f ca="1">IF(OR(tblTraining[[#This Row],[Status]]="Renewed",tblTraining[[#This Row],[NextDueDate]]=""),"",tblTraining[[#This Row],[NextDueDate]]-TODAY())</f>
        <v/>
      </c>
      <c r="I1512" s="15" t="str" cm="1">
        <f t="array" aca="1" ref="I15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3" spans="1:9" x14ac:dyDescent="0.25">
      <c r="A1513" s="15">
        <f t="shared" si="23"/>
        <v>1512</v>
      </c>
      <c r="B1513" s="15" t="s">
        <v>371</v>
      </c>
      <c r="C1513" s="15" t="str" cm="1">
        <f t="array" ref="C1513">IFERROR(_xlfn.XLOOKUP(B1513, tblPeople[PersonID], tblPeople[PersonName], ""), "")</f>
        <v>Alex Avedi</v>
      </c>
      <c r="D1513" s="15" t="s">
        <v>17</v>
      </c>
      <c r="E1513" s="16" t="str">
        <f>IFERROR(_xlfn.XLOOKUP(D1513, tblCourses[CourseID], tblCourses[CourseName], ""), "")</f>
        <v>Safety Management Systems (Refresher)</v>
      </c>
      <c r="F1513" s="17">
        <v>43510</v>
      </c>
      <c r="G1513" s="17" t="str" cm="1">
        <f t="array" ref="G15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3" s="15" t="str">
        <f ca="1">IF(OR(tblTraining[[#This Row],[Status]]="Renewed",tblTraining[[#This Row],[NextDueDate]]=""),"",tblTraining[[#This Row],[NextDueDate]]-TODAY())</f>
        <v/>
      </c>
      <c r="I1513" s="15" t="str" cm="1">
        <f t="array" aca="1" ref="I15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14" spans="1:9" x14ac:dyDescent="0.25">
      <c r="A1514" s="15">
        <f t="shared" si="23"/>
        <v>1513</v>
      </c>
      <c r="B1514" s="15" t="s">
        <v>371</v>
      </c>
      <c r="C1514" s="15" t="str" cm="1">
        <f t="array" ref="C1514">IFERROR(_xlfn.XLOOKUP(B1514, tblPeople[PersonID], tblPeople[PersonName], ""), "")</f>
        <v>Alex Avedi</v>
      </c>
      <c r="D1514" s="15" t="s">
        <v>17</v>
      </c>
      <c r="E1514" s="16" t="str">
        <f>IFERROR(_xlfn.XLOOKUP(D1514, tblCourses[CourseID], tblCourses[CourseName], ""), "")</f>
        <v>Safety Management Systems (Refresher)</v>
      </c>
      <c r="F1514" s="17">
        <v>45910</v>
      </c>
      <c r="G1514" s="17" cm="1">
        <f t="array" ref="G15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1514" s="15">
        <f ca="1">IF(OR(tblTraining[[#This Row],[Status]]="Renewed",tblTraining[[#This Row],[NextDueDate]]=""),"",tblTraining[[#This Row],[NextDueDate]]-TODAY())</f>
        <v>354</v>
      </c>
      <c r="I1514" s="15" t="str" cm="1">
        <f t="array" aca="1" ref="I15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5" spans="1:9" x14ac:dyDescent="0.25">
      <c r="A1515" s="15">
        <f t="shared" si="23"/>
        <v>1514</v>
      </c>
      <c r="B1515" s="15" t="s">
        <v>85</v>
      </c>
      <c r="C1515" s="15" t="str" cm="1">
        <f t="array" ref="C1515">IFERROR(_xlfn.XLOOKUP(B1515, tblPeople[PersonID], tblPeople[PersonName], ""), "")</f>
        <v>Titus Shunza</v>
      </c>
      <c r="D1515" s="15" t="s">
        <v>17</v>
      </c>
      <c r="E1515" s="16" t="str">
        <f>IFERROR(_xlfn.XLOOKUP(D1515, tblCourses[CourseID], tblCourses[CourseName], ""), "")</f>
        <v>Safety Management Systems (Refresher)</v>
      </c>
      <c r="F1515" s="17">
        <v>46242</v>
      </c>
      <c r="G1515" s="17" cm="1">
        <f t="array" ref="G15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46973</v>
      </c>
      <c r="H1515" s="15">
        <f ca="1">IF(OR(tblTraining[[#This Row],[Status]]="Renewed",tblTraining[[#This Row],[NextDueDate]]=""),"",tblTraining[[#This Row],[NextDueDate]]-TODAY())</f>
        <v>687</v>
      </c>
      <c r="I1515" s="15" t="str" cm="1">
        <f t="array" aca="1" ref="I15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6" spans="1:9" x14ac:dyDescent="0.25">
      <c r="A1516" s="15">
        <f t="shared" si="23"/>
        <v>1515</v>
      </c>
      <c r="B1516" s="15" t="s">
        <v>409</v>
      </c>
      <c r="C1516" s="15" t="str" cm="1">
        <f t="array" ref="C1516">IFERROR(_xlfn.XLOOKUP(B1516, tblPeople[PersonID], tblPeople[PersonName], ""), "")</f>
        <v>Venessa Ikileng'</v>
      </c>
      <c r="D1516" s="15" t="s">
        <v>231</v>
      </c>
      <c r="E1516" s="16" t="str">
        <f>IFERROR(_xlfn.XLOOKUP(D1516, tblCourses[CourseID], tblCourses[CourseName], ""), "")</f>
        <v>First Aid Training (Initial)</v>
      </c>
      <c r="F1516" s="17">
        <v>46255</v>
      </c>
      <c r="G1516" s="17" t="str" cm="1">
        <f t="array" ref="G15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6" s="15" t="str">
        <f ca="1">IF(OR(tblTraining[[#This Row],[Status]]="Renewed",tblTraining[[#This Row],[NextDueDate]]=""),"",tblTraining[[#This Row],[NextDueDate]]-TODAY())</f>
        <v/>
      </c>
      <c r="I1516" s="15" t="str" cm="1">
        <f t="array" aca="1" ref="I15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7" spans="1:9" x14ac:dyDescent="0.25">
      <c r="A1517" s="15">
        <f t="shared" si="23"/>
        <v>1516</v>
      </c>
      <c r="B1517" s="15" t="s">
        <v>409</v>
      </c>
      <c r="C1517" s="15" t="str" cm="1">
        <f t="array" ref="C1517">IFERROR(_xlfn.XLOOKUP(B1517, tblPeople[PersonID], tblPeople[PersonName], ""), "")</f>
        <v>Venessa Ikileng'</v>
      </c>
      <c r="D1517" s="15" t="s">
        <v>232</v>
      </c>
      <c r="E1517" s="16" t="str">
        <f>IFERROR(_xlfn.XLOOKUP(D1517, tblCourses[CourseID], tblCourses[CourseName], ""), "")</f>
        <v>First Aid Training (Refresher)</v>
      </c>
      <c r="F1517" s="17">
        <v>46255</v>
      </c>
      <c r="G1517" s="17" cm="1">
        <f t="array" ref="G15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17" s="15">
        <f ca="1">IF(OR(tblTraining[[#This Row],[Status]]="Renewed",tblTraining[[#This Row],[NextDueDate]]=""),"",tblTraining[[#This Row],[NextDueDate]]-TODAY())</f>
        <v>1065</v>
      </c>
      <c r="I1517" s="15" t="str" cm="1">
        <f t="array" aca="1" ref="I15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8" spans="1:9" x14ac:dyDescent="0.25">
      <c r="A1518" s="15">
        <f t="shared" si="23"/>
        <v>1517</v>
      </c>
      <c r="B1518" s="15" t="s">
        <v>410</v>
      </c>
      <c r="C1518" s="15" t="str" cm="1">
        <f t="array" ref="C1518">IFERROR(_xlfn.XLOOKUP(B1518, tblPeople[PersonID], tblPeople[PersonName], ""), "")</f>
        <v>Prudence Muhami</v>
      </c>
      <c r="D1518" s="15" t="s">
        <v>231</v>
      </c>
      <c r="E1518" s="16" t="str">
        <f>IFERROR(_xlfn.XLOOKUP(D1518, tblCourses[CourseID], tblCourses[CourseName], ""), "")</f>
        <v>First Aid Training (Initial)</v>
      </c>
      <c r="F1518" s="17">
        <v>46255</v>
      </c>
      <c r="G1518" s="17" t="str" cm="1">
        <f t="array" ref="G15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8" s="15" t="str">
        <f ca="1">IF(OR(tblTraining[[#This Row],[Status]]="Renewed",tblTraining[[#This Row],[NextDueDate]]=""),"",tblTraining[[#This Row],[NextDueDate]]-TODAY())</f>
        <v/>
      </c>
      <c r="I1518" s="15" t="str" cm="1">
        <f t="array" aca="1" ref="I15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9" spans="1:9" x14ac:dyDescent="0.25">
      <c r="A1519" s="15">
        <f t="shared" si="23"/>
        <v>1518</v>
      </c>
      <c r="B1519" s="15" t="s">
        <v>410</v>
      </c>
      <c r="C1519" s="15" t="str" cm="1">
        <f t="array" ref="C1519">IFERROR(_xlfn.XLOOKUP(B1519, tblPeople[PersonID], tblPeople[PersonName], ""), "")</f>
        <v>Prudence Muhami</v>
      </c>
      <c r="D1519" s="15" t="s">
        <v>232</v>
      </c>
      <c r="E1519" s="16" t="str">
        <f>IFERROR(_xlfn.XLOOKUP(D1519, tblCourses[CourseID], tblCourses[CourseName], ""), "")</f>
        <v>First Aid Training (Refresher)</v>
      </c>
      <c r="F1519" s="17">
        <v>46255</v>
      </c>
      <c r="G1519" s="17" cm="1">
        <f t="array" ref="G15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19" s="15">
        <f ca="1">IF(OR(tblTraining[[#This Row],[Status]]="Renewed",tblTraining[[#This Row],[NextDueDate]]=""),"",tblTraining[[#This Row],[NextDueDate]]-TODAY())</f>
        <v>1065</v>
      </c>
      <c r="I1519" s="15" t="str" cm="1">
        <f t="array" aca="1" ref="I15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0" spans="1:9" x14ac:dyDescent="0.25">
      <c r="A1520" s="15">
        <f t="shared" si="23"/>
        <v>1519</v>
      </c>
      <c r="B1520" s="15" t="s">
        <v>413</v>
      </c>
      <c r="C1520" s="15" t="str" cm="1">
        <f t="array" ref="C1520">IFERROR(_xlfn.XLOOKUP(B1520, tblPeople[PersonID], tblPeople[PersonName], ""), "")</f>
        <v>James Muisyo</v>
      </c>
      <c r="D1520" s="15" t="s">
        <v>231</v>
      </c>
      <c r="E1520" s="16" t="str">
        <f>IFERROR(_xlfn.XLOOKUP(D1520, tblCourses[CourseID], tblCourses[CourseName], ""), "")</f>
        <v>First Aid Training (Initial)</v>
      </c>
      <c r="F1520" s="17">
        <v>46255</v>
      </c>
      <c r="G1520" s="17" t="str" cm="1">
        <f t="array" ref="G15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0" s="15" t="str">
        <f ca="1">IF(OR(tblTraining[[#This Row],[Status]]="Renewed",tblTraining[[#This Row],[NextDueDate]]=""),"",tblTraining[[#This Row],[NextDueDate]]-TODAY())</f>
        <v/>
      </c>
      <c r="I1520" s="15" t="str" cm="1">
        <f t="array" aca="1" ref="I15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1" spans="1:9" x14ac:dyDescent="0.25">
      <c r="A1521" s="15">
        <f t="shared" si="23"/>
        <v>1520</v>
      </c>
      <c r="B1521" s="15" t="s">
        <v>413</v>
      </c>
      <c r="C1521" s="15" t="str" cm="1">
        <f t="array" ref="C1521">IFERROR(_xlfn.XLOOKUP(B1521, tblPeople[PersonID], tblPeople[PersonName], ""), "")</f>
        <v>James Muisyo</v>
      </c>
      <c r="D1521" s="15" t="s">
        <v>232</v>
      </c>
      <c r="E1521" s="16" t="str">
        <f>IFERROR(_xlfn.XLOOKUP(D1521, tblCourses[CourseID], tblCourses[CourseName], ""), "")</f>
        <v>First Aid Training (Refresher)</v>
      </c>
      <c r="F1521" s="17">
        <v>46255</v>
      </c>
      <c r="G1521" s="17" cm="1">
        <f t="array" ref="G15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21" s="15">
        <f ca="1">IF(OR(tblTraining[[#This Row],[Status]]="Renewed",tblTraining[[#This Row],[NextDueDate]]=""),"",tblTraining[[#This Row],[NextDueDate]]-TODAY())</f>
        <v>1065</v>
      </c>
      <c r="I1521" s="15" t="str" cm="1">
        <f t="array" aca="1" ref="I15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2" spans="1:9" x14ac:dyDescent="0.25">
      <c r="A1522" s="15">
        <f t="shared" si="23"/>
        <v>1521</v>
      </c>
      <c r="B1522" s="15" t="s">
        <v>444</v>
      </c>
      <c r="C1522" s="15" t="str" cm="1">
        <f t="array" ref="C1522">IFERROR(_xlfn.XLOOKUP(B1522, tblPeople[PersonID], tblPeople[PersonName], ""), "")</f>
        <v>Martin Chege</v>
      </c>
      <c r="D1522" s="15" t="s">
        <v>231</v>
      </c>
      <c r="E1522" s="16" t="str">
        <f>IFERROR(_xlfn.XLOOKUP(D1522, tblCourses[CourseID], tblCourses[CourseName], ""), "")</f>
        <v>First Aid Training (Initial)</v>
      </c>
      <c r="F1522" s="17">
        <v>46255</v>
      </c>
      <c r="G1522" s="17" t="str" cm="1">
        <f t="array" ref="G15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2" s="15" t="str">
        <f ca="1">IF(OR(tblTraining[[#This Row],[Status]]="Renewed",tblTraining[[#This Row],[NextDueDate]]=""),"",tblTraining[[#This Row],[NextDueDate]]-TODAY())</f>
        <v/>
      </c>
      <c r="I1522" s="15" t="str" cm="1">
        <f t="array" aca="1" ref="I15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3" spans="1:9" x14ac:dyDescent="0.25">
      <c r="A1523" s="15">
        <f t="shared" si="23"/>
        <v>1522</v>
      </c>
      <c r="B1523" s="15" t="s">
        <v>444</v>
      </c>
      <c r="C1523" s="15" t="str" cm="1">
        <f t="array" ref="C1523">IFERROR(_xlfn.XLOOKUP(B1523, tblPeople[PersonID], tblPeople[PersonName], ""), "")</f>
        <v>Martin Chege</v>
      </c>
      <c r="D1523" s="15" t="s">
        <v>232</v>
      </c>
      <c r="E1523" s="16" t="str">
        <f>IFERROR(_xlfn.XLOOKUP(D1523, tblCourses[CourseID], tblCourses[CourseName], ""), "")</f>
        <v>First Aid Training (Refresher)</v>
      </c>
      <c r="F1523" s="17">
        <v>46255</v>
      </c>
      <c r="G1523" s="17" cm="1">
        <f t="array" ref="G15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23" s="15">
        <f ca="1">IF(OR(tblTraining[[#This Row],[Status]]="Renewed",tblTraining[[#This Row],[NextDueDate]]=""),"",tblTraining[[#This Row],[NextDueDate]]-TODAY())</f>
        <v>1065</v>
      </c>
      <c r="I1523" s="15" t="str" cm="1">
        <f t="array" aca="1" ref="I15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4" spans="1:9" x14ac:dyDescent="0.25">
      <c r="A1524" s="15">
        <f t="shared" si="23"/>
        <v>1523</v>
      </c>
      <c r="B1524" s="15" t="s">
        <v>450</v>
      </c>
      <c r="C1524" s="15" t="str" cm="1">
        <f t="array" ref="C1524">IFERROR(_xlfn.XLOOKUP(B1524, tblPeople[PersonID], tblPeople[PersonName], ""), "")</f>
        <v>Evans Maingi</v>
      </c>
      <c r="D1524" s="15" t="s">
        <v>231</v>
      </c>
      <c r="E1524" s="16" t="str">
        <f>IFERROR(_xlfn.XLOOKUP(D1524, tblCourses[CourseID], tblCourses[CourseName], ""), "")</f>
        <v>First Aid Training (Initial)</v>
      </c>
      <c r="F1524" s="17">
        <v>46255</v>
      </c>
      <c r="G1524" s="17" t="str" cm="1">
        <f t="array" ref="G15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4" s="15" t="str">
        <f ca="1">IF(OR(tblTraining[[#This Row],[Status]]="Renewed",tblTraining[[#This Row],[NextDueDate]]=""),"",tblTraining[[#This Row],[NextDueDate]]-TODAY())</f>
        <v/>
      </c>
      <c r="I1524" s="15" t="str" cm="1">
        <f t="array" aca="1" ref="I15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5" spans="1:9" x14ac:dyDescent="0.25">
      <c r="A1525" s="15">
        <f t="shared" si="23"/>
        <v>1524</v>
      </c>
      <c r="B1525" s="15" t="s">
        <v>450</v>
      </c>
      <c r="C1525" s="15" t="str" cm="1">
        <f t="array" ref="C1525">IFERROR(_xlfn.XLOOKUP(B1525, tblPeople[PersonID], tblPeople[PersonName], ""), "")</f>
        <v>Evans Maingi</v>
      </c>
      <c r="D1525" s="15" t="s">
        <v>232</v>
      </c>
      <c r="E1525" s="16" t="str">
        <f>IFERROR(_xlfn.XLOOKUP(D1525, tblCourses[CourseID], tblCourses[CourseName], ""), "")</f>
        <v>First Aid Training (Refresher)</v>
      </c>
      <c r="F1525" s="17">
        <v>46255</v>
      </c>
      <c r="G1525" s="17" cm="1">
        <f t="array" ref="G15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25" s="15">
        <f ca="1">IF(OR(tblTraining[[#This Row],[Status]]="Renewed",tblTraining[[#This Row],[NextDueDate]]=""),"",tblTraining[[#This Row],[NextDueDate]]-TODAY())</f>
        <v>1065</v>
      </c>
      <c r="I1525" s="15" t="str" cm="1">
        <f t="array" aca="1" ref="I15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6" spans="1:9" x14ac:dyDescent="0.25">
      <c r="A1526" s="15">
        <f t="shared" si="23"/>
        <v>1525</v>
      </c>
      <c r="B1526" s="15" t="s">
        <v>472</v>
      </c>
      <c r="C1526" s="15" t="str" cm="1">
        <f t="array" ref="C1526">IFERROR(_xlfn.XLOOKUP(B1526, tblPeople[PersonID], tblPeople[PersonName], ""), "")</f>
        <v>Erick Mwanje</v>
      </c>
      <c r="D1526" s="15" t="s">
        <v>231</v>
      </c>
      <c r="E1526" s="16" t="str">
        <f>IFERROR(_xlfn.XLOOKUP(D1526, tblCourses[CourseID], tblCourses[CourseName], ""), "")</f>
        <v>First Aid Training (Initial)</v>
      </c>
      <c r="F1526" s="17">
        <v>46255</v>
      </c>
      <c r="G1526" s="17" t="str" cm="1">
        <f t="array" ref="G15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6" s="15" t="str">
        <f ca="1">IF(OR(tblTraining[[#This Row],[Status]]="Renewed",tblTraining[[#This Row],[NextDueDate]]=""),"",tblTraining[[#This Row],[NextDueDate]]-TODAY())</f>
        <v/>
      </c>
      <c r="I1526" s="15" t="str" cm="1">
        <f t="array" aca="1" ref="I15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7" spans="1:9" x14ac:dyDescent="0.25">
      <c r="A1527" s="15">
        <f t="shared" si="23"/>
        <v>1526</v>
      </c>
      <c r="B1527" s="15" t="s">
        <v>472</v>
      </c>
      <c r="C1527" s="15" t="str" cm="1">
        <f t="array" ref="C1527">IFERROR(_xlfn.XLOOKUP(B1527, tblPeople[PersonID], tblPeople[PersonName], ""), "")</f>
        <v>Erick Mwanje</v>
      </c>
      <c r="D1527" s="15" t="s">
        <v>232</v>
      </c>
      <c r="E1527" s="16" t="str">
        <f>IFERROR(_xlfn.XLOOKUP(D1527, tblCourses[CourseID], tblCourses[CourseName], ""), "")</f>
        <v>First Aid Training (Refresher)</v>
      </c>
      <c r="F1527" s="17">
        <v>46255</v>
      </c>
      <c r="G1527" s="17" cm="1">
        <f t="array" ref="G15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27" s="15">
        <f ca="1">IF(OR(tblTraining[[#This Row],[Status]]="Renewed",tblTraining[[#This Row],[NextDueDate]]=""),"",tblTraining[[#This Row],[NextDueDate]]-TODAY())</f>
        <v>1065</v>
      </c>
      <c r="I1527" s="15" t="str" cm="1">
        <f t="array" aca="1" ref="I15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8" spans="1:9" x14ac:dyDescent="0.25">
      <c r="A1528" s="15">
        <f t="shared" si="23"/>
        <v>1527</v>
      </c>
      <c r="B1528" s="15" t="s">
        <v>442</v>
      </c>
      <c r="C1528" s="15" t="str" cm="1">
        <f t="array" ref="C1528">IFERROR(_xlfn.XLOOKUP(B1528, tblPeople[PersonID], tblPeople[PersonName], ""), "")</f>
        <v>Mary Chelagat</v>
      </c>
      <c r="D1528" s="15" t="s">
        <v>77</v>
      </c>
      <c r="E1528" s="16" t="str">
        <f>IFERROR(_xlfn.XLOOKUP(D1528, tblCourses[CourseID], tblCourses[CourseName], ""), "")</f>
        <v>DHC8 -100/-200/-300 Collins Wheels &amp; Brakes Familiarization Training (Refresher)</v>
      </c>
      <c r="F1528" s="17">
        <v>45637</v>
      </c>
      <c r="G1528" s="17" cm="1">
        <f t="array" ref="G15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528" s="15">
        <f ca="1">IF(OR(tblTraining[[#This Row],[Status]]="Renewed",tblTraining[[#This Row],[NextDueDate]]=""),"",tblTraining[[#This Row],[NextDueDate]]-TODAY())</f>
        <v>81</v>
      </c>
      <c r="I1528" s="15" t="str" cm="1">
        <f t="array" aca="1" ref="I15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9" spans="1:9" x14ac:dyDescent="0.25">
      <c r="A1529" s="15">
        <f t="shared" si="23"/>
        <v>1528</v>
      </c>
      <c r="B1529" s="15" t="s">
        <v>361</v>
      </c>
      <c r="C1529" s="15" t="str" cm="1">
        <f t="array" ref="C1529">IFERROR(_xlfn.XLOOKUP(B1529, tblPeople[PersonID], tblPeople[PersonName], ""), "")</f>
        <v>Jackline Muembu</v>
      </c>
      <c r="D1529" s="15" t="s">
        <v>17</v>
      </c>
      <c r="E1529" s="16" t="str">
        <f>IFERROR(_xlfn.XLOOKUP(D1529, tblCourses[CourseID], tblCourses[CourseName], ""), "")</f>
        <v>Safety Management Systems (Refresher)</v>
      </c>
      <c r="F1529" s="17">
        <v>45923</v>
      </c>
      <c r="G1529" s="17" cm="1">
        <f t="array" ref="G15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46653</v>
      </c>
      <c r="H1529" s="15">
        <f ca="1">IF(OR(tblTraining[[#This Row],[Status]]="Renewed",tblTraining[[#This Row],[NextDueDate]]=""),"",tblTraining[[#This Row],[NextDueDate]]-TODAY())</f>
        <v>367</v>
      </c>
      <c r="I1529" s="15" t="str" cm="1">
        <f t="array" aca="1" ref="I15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0" spans="1:9" x14ac:dyDescent="0.25">
      <c r="A1530" s="15">
        <f t="shared" si="23"/>
        <v>1529</v>
      </c>
      <c r="B1530" s="15" t="s">
        <v>361</v>
      </c>
      <c r="C1530" s="15" t="str" cm="1">
        <f t="array" ref="C1530">IFERROR(_xlfn.XLOOKUP(B1530, tblPeople[PersonID], tblPeople[PersonName], ""), "")</f>
        <v>Jackline Muembu</v>
      </c>
      <c r="D1530" s="15" t="s">
        <v>20</v>
      </c>
      <c r="E1530" s="16" t="str">
        <f>IFERROR(_xlfn.XLOOKUP(D1530, tblCourses[CourseID], tblCourses[CourseName], ""), "")</f>
        <v>Safety Management Systems (Initial)</v>
      </c>
      <c r="F1530" s="17">
        <v>45923</v>
      </c>
      <c r="G1530" s="17" t="str" cm="1">
        <f t="array" ref="G15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0" s="15" t="str">
        <f ca="1">IF(OR(tblTraining[[#This Row],[Status]]="Renewed",tblTraining[[#This Row],[NextDueDate]]=""),"",tblTraining[[#This Row],[NextDueDate]]-TODAY())</f>
        <v/>
      </c>
      <c r="I1530" s="15" t="str" cm="1">
        <f t="array" aca="1" ref="I15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1" spans="1:9" x14ac:dyDescent="0.25">
      <c r="A1531" s="15">
        <f t="shared" si="23"/>
        <v>1530</v>
      </c>
      <c r="B1531" s="15" t="s">
        <v>361</v>
      </c>
      <c r="C1531" s="15" t="str" cm="1">
        <f t="array" ref="C1531">IFERROR(_xlfn.XLOOKUP(B1531, tblPeople[PersonID], tblPeople[PersonName], ""), "")</f>
        <v>Jackline Muembu</v>
      </c>
      <c r="D1531" s="15" t="s">
        <v>24</v>
      </c>
      <c r="E1531" s="16" t="str">
        <f>IFERROR(_xlfn.XLOOKUP(D1531, tblCourses[CourseID], tblCourses[CourseName], ""), "")</f>
        <v>Human Factors in Aviation (Initial)</v>
      </c>
      <c r="F1531" s="17">
        <v>46189</v>
      </c>
      <c r="G1531" s="17" t="str" cm="1">
        <f t="array" ref="G15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1" s="15" t="str">
        <f ca="1">IF(OR(tblTraining[[#This Row],[Status]]="Renewed",tblTraining[[#This Row],[NextDueDate]]=""),"",tblTraining[[#This Row],[NextDueDate]]-TODAY())</f>
        <v/>
      </c>
      <c r="I1531" s="15" t="str" cm="1">
        <f t="array" aca="1" ref="I15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2" spans="1:9" x14ac:dyDescent="0.25">
      <c r="A1532" s="15">
        <f t="shared" si="23"/>
        <v>1531</v>
      </c>
      <c r="B1532" s="15" t="s">
        <v>117</v>
      </c>
      <c r="C1532" s="15" t="str" cm="1">
        <f t="array" ref="C1532">IFERROR(_xlfn.XLOOKUP(B1532, tblPeople[PersonID], tblPeople[PersonName], ""), "")</f>
        <v>Mercy Etende</v>
      </c>
      <c r="D1532" s="15" t="s">
        <v>30</v>
      </c>
      <c r="E1532" s="16" t="str">
        <f>IFERROR(_xlfn.XLOOKUP(D1532, tblCourses[CourseID], tblCourses[CourseName], ""), "")</f>
        <v>Dangerous Goods Regulations (CBTA 7.3) (Refresher)</v>
      </c>
      <c r="F1532" s="17">
        <v>46248</v>
      </c>
      <c r="G1532" s="17" cm="1">
        <f t="array" ref="G15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46979</v>
      </c>
      <c r="H1532" s="15">
        <f ca="1">IF(OR(tblTraining[[#This Row],[Status]]="Renewed",tblTraining[[#This Row],[NextDueDate]]=""),"",tblTraining[[#This Row],[NextDueDate]]-TODAY())</f>
        <v>693</v>
      </c>
      <c r="I1532" s="15" t="str" cm="1">
        <f t="array" aca="1" ref="I15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3" spans="1:9" x14ac:dyDescent="0.25">
      <c r="A1533" s="15">
        <f t="shared" si="23"/>
        <v>1532</v>
      </c>
      <c r="B1533" s="15" t="s">
        <v>83</v>
      </c>
      <c r="C1533" s="15" t="str" cm="1">
        <f t="array" ref="C1533">IFERROR(_xlfn.XLOOKUP(B1533, tblPeople[PersonID], tblPeople[PersonName], ""), "")</f>
        <v>Wycliffe Kanana</v>
      </c>
      <c r="D1533" s="15" t="s">
        <v>232</v>
      </c>
      <c r="E1533" s="16" t="str">
        <f>IFERROR(_xlfn.XLOOKUP(D1533, tblCourses[CourseID], tblCourses[CourseName], ""), "")</f>
        <v>First Aid Training (Refresher)</v>
      </c>
      <c r="F1533" s="17">
        <v>45876</v>
      </c>
      <c r="G1533" s="17" cm="1">
        <f t="array" ref="G15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46972</v>
      </c>
      <c r="H1533" s="15">
        <f ca="1">IF(OR(tblTraining[[#This Row],[Status]]="Renewed",tblTraining[[#This Row],[NextDueDate]]=""),"",tblTraining[[#This Row],[NextDueDate]]-TODAY())</f>
        <v>686</v>
      </c>
      <c r="I1533" s="15" t="str" cm="1">
        <f t="array" aca="1" ref="I15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4" spans="1:9" x14ac:dyDescent="0.25">
      <c r="A1534" s="15">
        <f t="shared" si="23"/>
        <v>1533</v>
      </c>
      <c r="B1534" s="15" t="s">
        <v>161</v>
      </c>
      <c r="C1534" s="15" t="str" cm="1">
        <f t="array" ref="C1534">IFERROR(_xlfn.XLOOKUP(B1534, tblPeople[PersonID], tblPeople[PersonName], ""), "")</f>
        <v>Francis Omondi</v>
      </c>
      <c r="D1534" s="15" t="s">
        <v>17</v>
      </c>
      <c r="E1534" s="16" t="str">
        <f>IFERROR(_xlfn.XLOOKUP(D1534, tblCourses[CourseID], tblCourses[CourseName], ""), "")</f>
        <v>Safety Management Systems (Refresher)</v>
      </c>
      <c r="F1534" s="17">
        <v>46242</v>
      </c>
      <c r="G1534" s="17" cm="1">
        <f t="array" ref="G15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46973</v>
      </c>
      <c r="H1534" s="15">
        <f ca="1">IF(OR(tblTraining[[#This Row],[Status]]="Renewed",tblTraining[[#This Row],[NextDueDate]]=""),"",tblTraining[[#This Row],[NextDueDate]]-TODAY())</f>
        <v>687</v>
      </c>
      <c r="I1534" s="15" t="str" cm="1">
        <f t="array" aca="1" ref="I15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5" spans="1:9" x14ac:dyDescent="0.25">
      <c r="A1535" s="15">
        <f t="shared" si="23"/>
        <v>1534</v>
      </c>
      <c r="B1535" s="15" t="s">
        <v>157</v>
      </c>
      <c r="C1535" s="15" t="str" cm="1">
        <f t="array" ref="C1535">IFERROR(_xlfn.XLOOKUP(B1535, tblPeople[PersonID], tblPeople[PersonName], ""), "")</f>
        <v>Stephen Mutambu</v>
      </c>
      <c r="D1535" s="15" t="s">
        <v>17</v>
      </c>
      <c r="E1535" s="16" t="str">
        <f>IFERROR(_xlfn.XLOOKUP(D1535, tblCourses[CourseID], tblCourses[CourseName], ""), "")</f>
        <v>Safety Management Systems (Refresher)</v>
      </c>
      <c r="F1535" s="17">
        <v>46259</v>
      </c>
      <c r="G1535" s="17" cm="1">
        <f t="array" ref="G15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46990</v>
      </c>
      <c r="H1535" s="15">
        <f ca="1">IF(OR(tblTraining[[#This Row],[Status]]="Renewed",tblTraining[[#This Row],[NextDueDate]]=""),"",tblTraining[[#This Row],[NextDueDate]]-TODAY())</f>
        <v>704</v>
      </c>
      <c r="I1535" s="15" t="str" cm="1">
        <f t="array" aca="1" ref="I15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6" spans="1:9" x14ac:dyDescent="0.25">
      <c r="A1536" s="15">
        <f t="shared" si="23"/>
        <v>1535</v>
      </c>
      <c r="B1536" s="15" t="s">
        <v>217</v>
      </c>
      <c r="C1536" s="15" t="str" cm="1">
        <f t="array" ref="C1536">IFERROR(_xlfn.XLOOKUP(B1536, tblPeople[PersonID], tblPeople[PersonName], ""), "")</f>
        <v>Angeline Nthakyo</v>
      </c>
      <c r="D1536" s="15" t="s">
        <v>238</v>
      </c>
      <c r="E1536" s="16" t="str">
        <f>IFERROR(_xlfn.XLOOKUP(D1536, tblCourses[CourseID], tblCourses[CourseName], ""), "")</f>
        <v>Crew Resource Management (Initial)</v>
      </c>
      <c r="F1536" s="17">
        <v>45855</v>
      </c>
      <c r="G1536" s="17" t="str" cm="1">
        <f t="array" ref="G15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6" s="15" t="str">
        <f ca="1">IF(OR(tblTraining[[#This Row],[Status]]="Renewed",tblTraining[[#This Row],[NextDueDate]]=""),"",tblTraining[[#This Row],[NextDueDate]]-TODAY())</f>
        <v/>
      </c>
      <c r="I1536" s="15" t="str" cm="1">
        <f t="array" aca="1" ref="I15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7" spans="1:9" x14ac:dyDescent="0.25">
      <c r="A1537" s="15">
        <f t="shared" si="23"/>
        <v>1536</v>
      </c>
      <c r="B1537" s="15" t="s">
        <v>217</v>
      </c>
      <c r="C1537" s="15" t="str" cm="1">
        <f t="array" ref="C1537">IFERROR(_xlfn.XLOOKUP(B1537, tblPeople[PersonID], tblPeople[PersonName], ""), "")</f>
        <v>Angeline Nthakyo</v>
      </c>
      <c r="D1537" s="15" t="s">
        <v>237</v>
      </c>
      <c r="E1537" s="16" t="str">
        <f>IFERROR(_xlfn.XLOOKUP(D1537, tblCourses[CourseID], tblCourses[CourseName], ""), "")</f>
        <v>Crew Resource Management (Refresher)</v>
      </c>
      <c r="F1537" s="17">
        <v>45855</v>
      </c>
      <c r="G1537" s="17" cm="1">
        <f t="array" ref="G15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46585</v>
      </c>
      <c r="H1537" s="15">
        <f ca="1">IF(OR(tblTraining[[#This Row],[Status]]="Renewed",tblTraining[[#This Row],[NextDueDate]]=""),"",tblTraining[[#This Row],[NextDueDate]]-TODAY())</f>
        <v>299</v>
      </c>
      <c r="I1537" s="15" t="str" cm="1">
        <f t="array" aca="1" ref="I15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8" spans="1:9" x14ac:dyDescent="0.25">
      <c r="B1538" s="15" t="s">
        <v>107</v>
      </c>
      <c r="C1538" s="15" t="s">
        <v>45</v>
      </c>
      <c r="D1538" s="15" t="s">
        <v>237</v>
      </c>
      <c r="E1538" s="16" t="s">
        <v>235</v>
      </c>
      <c r="F1538" s="17">
        <v>44148</v>
      </c>
      <c r="G1538" s="17">
        <v>44878</v>
      </c>
      <c r="H1538" s="15">
        <v>-1405</v>
      </c>
      <c r="I1538" s="15" t="s">
        <v>604</v>
      </c>
    </row>
    <row r="1539" spans="1:9" x14ac:dyDescent="0.25">
      <c r="B1539" s="15" t="s">
        <v>157</v>
      </c>
      <c r="C1539" s="15" t="s">
        <v>51</v>
      </c>
      <c r="D1539" s="15" t="s">
        <v>225</v>
      </c>
      <c r="E1539" s="16" t="s">
        <v>226</v>
      </c>
      <c r="F1539" s="17">
        <v>45792</v>
      </c>
      <c r="G1539" s="17"/>
      <c r="I1539" s="140" t="s">
        <v>605</v>
      </c>
    </row>
    <row r="1540" spans="1:9" x14ac:dyDescent="0.25">
      <c r="B1540" s="15" t="s">
        <v>157</v>
      </c>
      <c r="C1540" s="15" t="s">
        <v>51</v>
      </c>
      <c r="D1540" s="15" t="s">
        <v>173</v>
      </c>
      <c r="E1540" s="16" t="s">
        <v>167</v>
      </c>
      <c r="F1540" s="17">
        <v>45792</v>
      </c>
      <c r="G1540" s="17">
        <v>46888</v>
      </c>
      <c r="H1540" s="15">
        <v>602</v>
      </c>
      <c r="I1540" s="140" t="s">
        <v>605</v>
      </c>
    </row>
    <row r="1541" spans="1:9" x14ac:dyDescent="0.25">
      <c r="B1541" s="15" t="s">
        <v>274</v>
      </c>
      <c r="C1541" s="15" t="s">
        <v>271</v>
      </c>
      <c r="D1541" s="15" t="s">
        <v>225</v>
      </c>
      <c r="E1541" s="16" t="s">
        <v>226</v>
      </c>
      <c r="F1541" s="17">
        <v>46234</v>
      </c>
      <c r="G1541" s="17"/>
      <c r="I1541" s="140" t="s">
        <v>605</v>
      </c>
    </row>
    <row r="1542" spans="1:9" x14ac:dyDescent="0.25">
      <c r="B1542" s="15" t="s">
        <v>274</v>
      </c>
      <c r="C1542" s="15" t="s">
        <v>271</v>
      </c>
      <c r="D1542" s="15" t="s">
        <v>173</v>
      </c>
      <c r="E1542" s="16" t="s">
        <v>167</v>
      </c>
      <c r="F1542" s="17">
        <v>46234</v>
      </c>
      <c r="G1542" s="17">
        <v>47330</v>
      </c>
      <c r="H1542" s="15">
        <v>1044</v>
      </c>
      <c r="I1542" s="140" t="s">
        <v>605</v>
      </c>
    </row>
    <row r="1543" spans="1:9" x14ac:dyDescent="0.25">
      <c r="B1543" s="15" t="s">
        <v>413</v>
      </c>
      <c r="C1543" s="15" t="s">
        <v>268</v>
      </c>
      <c r="D1543" s="15" t="s">
        <v>225</v>
      </c>
      <c r="E1543" s="16" t="s">
        <v>226</v>
      </c>
      <c r="F1543" s="17">
        <v>46234</v>
      </c>
      <c r="G1543" s="17"/>
      <c r="I1543" s="140" t="s">
        <v>605</v>
      </c>
    </row>
    <row r="1544" spans="1:9" x14ac:dyDescent="0.25">
      <c r="B1544" s="15" t="s">
        <v>413</v>
      </c>
      <c r="C1544" s="15" t="s">
        <v>268</v>
      </c>
      <c r="D1544" s="15" t="s">
        <v>173</v>
      </c>
      <c r="E1544" s="16" t="s">
        <v>167</v>
      </c>
      <c r="F1544" s="17">
        <v>46234</v>
      </c>
      <c r="G1544" s="17">
        <v>47330</v>
      </c>
      <c r="H1544" s="15">
        <v>1044</v>
      </c>
      <c r="I1544" s="140" t="s">
        <v>605</v>
      </c>
    </row>
    <row r="1545" spans="1:9" x14ac:dyDescent="0.25">
      <c r="B1545" s="15" t="s">
        <v>154</v>
      </c>
      <c r="C1545" s="15" t="s">
        <v>146</v>
      </c>
      <c r="D1545" s="15" t="s">
        <v>225</v>
      </c>
      <c r="E1545" s="16" t="s">
        <v>226</v>
      </c>
      <c r="F1545" s="17">
        <v>46234</v>
      </c>
      <c r="G1545" s="17"/>
      <c r="I1545" s="140" t="s">
        <v>605</v>
      </c>
    </row>
    <row r="1546" spans="1:9" x14ac:dyDescent="0.25">
      <c r="B1546" s="15" t="s">
        <v>154</v>
      </c>
      <c r="C1546" s="15" t="s">
        <v>146</v>
      </c>
      <c r="D1546" s="15" t="s">
        <v>173</v>
      </c>
      <c r="E1546" s="16" t="s">
        <v>167</v>
      </c>
      <c r="F1546" s="17">
        <v>46234</v>
      </c>
      <c r="G1546" s="17">
        <v>47330</v>
      </c>
      <c r="H1546" s="15">
        <v>1044</v>
      </c>
      <c r="I1546" s="140" t="s">
        <v>605</v>
      </c>
    </row>
    <row r="1547" spans="1:9" x14ac:dyDescent="0.25">
      <c r="B1547" s="15" t="s">
        <v>472</v>
      </c>
      <c r="C1547" s="15" t="s">
        <v>448</v>
      </c>
      <c r="D1547" s="15" t="s">
        <v>225</v>
      </c>
      <c r="E1547" s="16" t="s">
        <v>226</v>
      </c>
      <c r="F1547" s="17">
        <v>46234</v>
      </c>
      <c r="G1547" s="17"/>
      <c r="I1547" s="140" t="s">
        <v>605</v>
      </c>
    </row>
    <row r="1548" spans="1:9" x14ac:dyDescent="0.25">
      <c r="B1548" s="15" t="s">
        <v>472</v>
      </c>
      <c r="C1548" s="15" t="s">
        <v>448</v>
      </c>
      <c r="D1548" s="15" t="s">
        <v>173</v>
      </c>
      <c r="E1548" s="16" t="s">
        <v>167</v>
      </c>
      <c r="F1548" s="17">
        <v>46234</v>
      </c>
      <c r="G1548" s="17">
        <v>47330</v>
      </c>
      <c r="H1548" s="15">
        <v>1044</v>
      </c>
      <c r="I1548" s="140" t="s">
        <v>605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84"/>
  <sheetViews>
    <sheetView topLeftCell="A49" zoomScaleNormal="100" workbookViewId="0">
      <selection activeCell="B33" sqref="B33"/>
    </sheetView>
  </sheetViews>
  <sheetFormatPr defaultColWidth="30.7109375" defaultRowHeight="12.75" x14ac:dyDescent="0.2"/>
  <cols>
    <col min="1" max="1" width="12.42578125" style="4" bestFit="1" customWidth="1"/>
    <col min="2" max="2" width="72.28515625" style="4" customWidth="1"/>
    <col min="3" max="3" width="22" style="4" customWidth="1"/>
    <col min="4" max="4" width="19.5703125" style="4" customWidth="1"/>
    <col min="5" max="5" width="15.7109375" style="4" bestFit="1" customWidth="1"/>
    <col min="6" max="16384" width="30.7109375" style="4"/>
  </cols>
  <sheetData>
    <row r="1" spans="1:8" x14ac:dyDescent="0.2">
      <c r="A1" s="4" t="s">
        <v>13</v>
      </c>
      <c r="B1" s="4" t="s">
        <v>14</v>
      </c>
      <c r="C1" s="4" t="s">
        <v>15</v>
      </c>
      <c r="D1" s="4" t="s">
        <v>39</v>
      </c>
      <c r="E1" s="4" t="s">
        <v>16</v>
      </c>
      <c r="F1" s="4" t="s">
        <v>377</v>
      </c>
      <c r="G1" s="4" t="s">
        <v>434</v>
      </c>
      <c r="H1" s="4" t="s">
        <v>435</v>
      </c>
    </row>
    <row r="2" spans="1:8" x14ac:dyDescent="0.2">
      <c r="A2" s="5" t="s">
        <v>144</v>
      </c>
      <c r="B2" s="5" t="s">
        <v>143</v>
      </c>
      <c r="C2" s="6"/>
      <c r="D2" s="6" t="s">
        <v>384</v>
      </c>
      <c r="E2" s="5"/>
      <c r="F2" s="5"/>
      <c r="G2" s="5"/>
      <c r="H2" s="5"/>
    </row>
    <row r="3" spans="1:8" x14ac:dyDescent="0.2">
      <c r="A3" s="5" t="s">
        <v>142</v>
      </c>
      <c r="B3" s="5" t="s">
        <v>143</v>
      </c>
      <c r="C3" s="6"/>
      <c r="D3" s="6" t="s">
        <v>385</v>
      </c>
      <c r="E3" s="5"/>
      <c r="F3" s="5"/>
      <c r="G3" s="5"/>
      <c r="H3" s="5"/>
    </row>
    <row r="4" spans="1:8" x14ac:dyDescent="0.2">
      <c r="A4" s="5" t="s">
        <v>169</v>
      </c>
      <c r="B4" s="5" t="s">
        <v>168</v>
      </c>
      <c r="C4" s="6"/>
      <c r="D4" s="6" t="s">
        <v>386</v>
      </c>
      <c r="E4" s="5"/>
      <c r="F4" s="5"/>
      <c r="G4" s="5"/>
      <c r="H4" s="5"/>
    </row>
    <row r="5" spans="1:8" x14ac:dyDescent="0.2">
      <c r="A5" s="5" t="s">
        <v>179</v>
      </c>
      <c r="B5" s="5" t="s">
        <v>178</v>
      </c>
      <c r="C5" s="6">
        <v>24</v>
      </c>
      <c r="D5" s="6" t="s">
        <v>385</v>
      </c>
      <c r="E5" s="5"/>
      <c r="F5" s="5"/>
      <c r="G5" s="5"/>
      <c r="H5" s="5"/>
    </row>
    <row r="6" spans="1:8" x14ac:dyDescent="0.2">
      <c r="A6" s="5" t="s">
        <v>33</v>
      </c>
      <c r="B6" s="5" t="s">
        <v>34</v>
      </c>
      <c r="C6" s="6"/>
      <c r="D6" s="6" t="s">
        <v>386</v>
      </c>
      <c r="E6" s="5" t="s">
        <v>12</v>
      </c>
      <c r="F6" s="5"/>
      <c r="G6" s="5"/>
      <c r="H6" s="5"/>
    </row>
    <row r="7" spans="1:8" x14ac:dyDescent="0.2">
      <c r="A7" s="5" t="s">
        <v>248</v>
      </c>
      <c r="B7" s="5" t="s">
        <v>247</v>
      </c>
      <c r="C7" s="6"/>
      <c r="D7" s="6" t="s">
        <v>386</v>
      </c>
      <c r="E7" s="5"/>
      <c r="F7" s="5"/>
      <c r="G7" s="5"/>
      <c r="H7" s="5"/>
    </row>
    <row r="8" spans="1:8" x14ac:dyDescent="0.2">
      <c r="A8" s="5" t="s">
        <v>124</v>
      </c>
      <c r="B8" s="5" t="s">
        <v>122</v>
      </c>
      <c r="C8" s="6"/>
      <c r="D8" s="6" t="s">
        <v>384</v>
      </c>
      <c r="E8" s="5"/>
      <c r="F8" s="5"/>
      <c r="G8" s="5"/>
      <c r="H8" s="5"/>
    </row>
    <row r="9" spans="1:8" x14ac:dyDescent="0.2">
      <c r="A9" s="5" t="s">
        <v>125</v>
      </c>
      <c r="B9" s="5" t="s">
        <v>123</v>
      </c>
      <c r="C9" s="6">
        <v>24</v>
      </c>
      <c r="D9" s="6" t="s">
        <v>385</v>
      </c>
      <c r="E9" s="5"/>
      <c r="F9" s="5"/>
      <c r="G9" s="5"/>
      <c r="H9" s="5"/>
    </row>
    <row r="10" spans="1:8" x14ac:dyDescent="0.2">
      <c r="A10" s="5" t="s">
        <v>240</v>
      </c>
      <c r="B10" s="5" t="s">
        <v>239</v>
      </c>
      <c r="C10" s="6"/>
      <c r="D10" s="6" t="s">
        <v>386</v>
      </c>
      <c r="E10" s="5"/>
      <c r="F10" s="5"/>
      <c r="G10" s="5"/>
      <c r="H10" s="5"/>
    </row>
    <row r="11" spans="1:8" x14ac:dyDescent="0.2">
      <c r="A11" s="5" t="s">
        <v>254</v>
      </c>
      <c r="B11" s="5" t="s">
        <v>253</v>
      </c>
      <c r="C11" s="6"/>
      <c r="D11" s="6" t="s">
        <v>386</v>
      </c>
      <c r="E11" s="5"/>
      <c r="F11" s="5"/>
      <c r="G11" s="5"/>
      <c r="H11" s="5"/>
    </row>
    <row r="12" spans="1:8" x14ac:dyDescent="0.2">
      <c r="A12" s="5" t="s">
        <v>190</v>
      </c>
      <c r="B12" s="5" t="s">
        <v>192</v>
      </c>
      <c r="C12" s="6"/>
      <c r="D12" s="6" t="s">
        <v>386</v>
      </c>
      <c r="E12" s="5"/>
      <c r="F12" s="5"/>
      <c r="G12" s="5"/>
      <c r="H12" s="5"/>
    </row>
    <row r="13" spans="1:8" x14ac:dyDescent="0.2">
      <c r="A13" s="5" t="s">
        <v>191</v>
      </c>
      <c r="B13" s="5" t="s">
        <v>189</v>
      </c>
      <c r="C13" s="6"/>
      <c r="D13" s="6" t="s">
        <v>386</v>
      </c>
      <c r="E13" s="5"/>
      <c r="F13" s="5"/>
      <c r="G13" s="5"/>
      <c r="H13" s="5"/>
    </row>
    <row r="14" spans="1:8" x14ac:dyDescent="0.2">
      <c r="A14" s="5" t="s">
        <v>181</v>
      </c>
      <c r="B14" s="5" t="s">
        <v>180</v>
      </c>
      <c r="C14" s="6"/>
      <c r="D14" s="6" t="s">
        <v>384</v>
      </c>
      <c r="E14" s="5" t="s">
        <v>26</v>
      </c>
      <c r="F14" s="5"/>
      <c r="G14" s="5"/>
      <c r="H14" s="5"/>
    </row>
    <row r="15" spans="1:8" x14ac:dyDescent="0.2">
      <c r="A15" s="5" t="s">
        <v>182</v>
      </c>
      <c r="B15" s="5" t="s">
        <v>183</v>
      </c>
      <c r="C15" s="6">
        <v>24</v>
      </c>
      <c r="D15" s="6" t="s">
        <v>385</v>
      </c>
      <c r="E15" s="5" t="s">
        <v>26</v>
      </c>
      <c r="F15" s="5"/>
      <c r="G15" s="5"/>
      <c r="H15" s="5"/>
    </row>
    <row r="16" spans="1:8" x14ac:dyDescent="0.2">
      <c r="A16" s="5" t="s">
        <v>227</v>
      </c>
      <c r="B16" s="5" t="s">
        <v>228</v>
      </c>
      <c r="C16" s="6"/>
      <c r="D16" s="6" t="s">
        <v>384</v>
      </c>
      <c r="E16" s="5"/>
      <c r="F16" s="5"/>
      <c r="G16" s="5"/>
      <c r="H16" s="5"/>
    </row>
    <row r="17" spans="1:8" ht="15" x14ac:dyDescent="0.25">
      <c r="A17" t="s">
        <v>229</v>
      </c>
      <c r="B17" s="5" t="s">
        <v>230</v>
      </c>
      <c r="C17" s="6">
        <v>24</v>
      </c>
      <c r="D17" s="6" t="s">
        <v>385</v>
      </c>
      <c r="E17" s="5"/>
      <c r="F17" s="5"/>
      <c r="G17" s="5"/>
      <c r="H17" s="5"/>
    </row>
    <row r="18" spans="1:8" x14ac:dyDescent="0.2">
      <c r="A18" s="5" t="s">
        <v>266</v>
      </c>
      <c r="B18" s="5" t="s">
        <v>265</v>
      </c>
      <c r="C18" s="6">
        <v>24</v>
      </c>
      <c r="D18" s="6" t="s">
        <v>386</v>
      </c>
      <c r="E18" s="5"/>
      <c r="F18" s="5"/>
      <c r="G18" s="5"/>
      <c r="H18" s="5"/>
    </row>
    <row r="19" spans="1:8" x14ac:dyDescent="0.2">
      <c r="A19" s="5" t="s">
        <v>238</v>
      </c>
      <c r="B19" s="5" t="s">
        <v>236</v>
      </c>
      <c r="C19" s="6"/>
      <c r="D19" s="6" t="s">
        <v>384</v>
      </c>
      <c r="E19" s="5"/>
      <c r="F19" s="5"/>
      <c r="G19" s="5"/>
      <c r="H19" s="5"/>
    </row>
    <row r="20" spans="1:8" x14ac:dyDescent="0.2">
      <c r="A20" s="5" t="s">
        <v>237</v>
      </c>
      <c r="B20" s="5" t="s">
        <v>235</v>
      </c>
      <c r="C20" s="6">
        <v>24</v>
      </c>
      <c r="D20" s="6" t="s">
        <v>385</v>
      </c>
      <c r="E20" s="5"/>
      <c r="F20" s="5"/>
      <c r="G20" s="5"/>
      <c r="H20" s="5"/>
    </row>
    <row r="21" spans="1:8" x14ac:dyDescent="0.2">
      <c r="A21" s="5" t="s">
        <v>258</v>
      </c>
      <c r="B21" s="5" t="s">
        <v>257</v>
      </c>
      <c r="C21" s="6"/>
      <c r="D21" s="6" t="s">
        <v>386</v>
      </c>
      <c r="E21" s="5"/>
      <c r="F21" s="5"/>
      <c r="G21" s="5"/>
      <c r="H21" s="5"/>
    </row>
    <row r="22" spans="1:8" x14ac:dyDescent="0.2">
      <c r="A22" s="5" t="s">
        <v>32</v>
      </c>
      <c r="B22" s="5" t="s">
        <v>264</v>
      </c>
      <c r="C22" s="6"/>
      <c r="D22" s="6" t="s">
        <v>384</v>
      </c>
      <c r="E22" s="5" t="s">
        <v>31</v>
      </c>
      <c r="F22" s="5"/>
      <c r="G22" s="5"/>
      <c r="H22" s="5"/>
    </row>
    <row r="23" spans="1:8" x14ac:dyDescent="0.2">
      <c r="A23" s="5" t="s">
        <v>30</v>
      </c>
      <c r="B23" s="5" t="s">
        <v>263</v>
      </c>
      <c r="C23" s="6">
        <v>24</v>
      </c>
      <c r="D23" s="6" t="s">
        <v>385</v>
      </c>
      <c r="E23" s="5" t="s">
        <v>31</v>
      </c>
      <c r="F23" s="5"/>
      <c r="G23" s="5"/>
      <c r="H23" s="5"/>
    </row>
    <row r="24" spans="1:8" x14ac:dyDescent="0.2">
      <c r="A24" s="5" t="s">
        <v>29</v>
      </c>
      <c r="B24" s="5" t="s">
        <v>128</v>
      </c>
      <c r="C24" s="6"/>
      <c r="D24" s="6" t="s">
        <v>384</v>
      </c>
      <c r="E24" s="5" t="s">
        <v>26</v>
      </c>
      <c r="F24" s="5"/>
      <c r="G24" s="5"/>
      <c r="H24" s="5"/>
    </row>
    <row r="25" spans="1:8" x14ac:dyDescent="0.2">
      <c r="A25" s="5" t="s">
        <v>28</v>
      </c>
      <c r="B25" s="5" t="s">
        <v>127</v>
      </c>
      <c r="C25" s="6">
        <v>24</v>
      </c>
      <c r="D25" s="6" t="s">
        <v>385</v>
      </c>
      <c r="E25" s="5" t="s">
        <v>26</v>
      </c>
      <c r="F25" s="5"/>
      <c r="G25" s="5"/>
      <c r="H25" s="5"/>
    </row>
    <row r="26" spans="1:8" x14ac:dyDescent="0.2">
      <c r="A26" s="5" t="s">
        <v>389</v>
      </c>
      <c r="B26" s="5" t="s">
        <v>387</v>
      </c>
      <c r="C26" s="6"/>
      <c r="D26" s="6" t="s">
        <v>384</v>
      </c>
      <c r="E26" s="5" t="s">
        <v>26</v>
      </c>
      <c r="F26" s="5"/>
      <c r="G26" s="5"/>
      <c r="H26" s="5"/>
    </row>
    <row r="27" spans="1:8" x14ac:dyDescent="0.2">
      <c r="A27" s="5" t="s">
        <v>390</v>
      </c>
      <c r="B27" s="5" t="s">
        <v>388</v>
      </c>
      <c r="C27" s="6">
        <v>24</v>
      </c>
      <c r="D27" s="6" t="s">
        <v>385</v>
      </c>
      <c r="E27" s="5" t="s">
        <v>26</v>
      </c>
      <c r="F27" s="5"/>
      <c r="G27" s="5"/>
      <c r="H27" s="5"/>
    </row>
    <row r="28" spans="1:8" x14ac:dyDescent="0.2">
      <c r="A28" s="5" t="s">
        <v>110</v>
      </c>
      <c r="B28" s="5" t="s">
        <v>133</v>
      </c>
      <c r="C28" s="6"/>
      <c r="D28" s="6" t="s">
        <v>384</v>
      </c>
      <c r="E28" s="5"/>
      <c r="F28" s="5"/>
      <c r="G28" s="5"/>
      <c r="H28" s="5"/>
    </row>
    <row r="29" spans="1:8" x14ac:dyDescent="0.2">
      <c r="A29" s="5" t="s">
        <v>109</v>
      </c>
      <c r="B29" s="5" t="s">
        <v>134</v>
      </c>
      <c r="C29" s="6">
        <v>24</v>
      </c>
      <c r="D29" s="6" t="s">
        <v>385</v>
      </c>
      <c r="E29" s="5"/>
      <c r="F29" s="5"/>
      <c r="G29" s="5"/>
      <c r="H29" s="5"/>
    </row>
    <row r="30" spans="1:8" x14ac:dyDescent="0.2">
      <c r="A30" s="5" t="s">
        <v>231</v>
      </c>
      <c r="B30" s="5" t="s">
        <v>233</v>
      </c>
      <c r="C30" s="6"/>
      <c r="D30" s="6" t="s">
        <v>384</v>
      </c>
      <c r="E30" s="5"/>
      <c r="F30" s="5"/>
      <c r="G30" s="5"/>
      <c r="H30" s="5"/>
    </row>
    <row r="31" spans="1:8" x14ac:dyDescent="0.2">
      <c r="A31" s="5" t="s">
        <v>232</v>
      </c>
      <c r="B31" s="5" t="s">
        <v>234</v>
      </c>
      <c r="C31" s="6">
        <v>36</v>
      </c>
      <c r="D31" s="6" t="s">
        <v>385</v>
      </c>
      <c r="E31" s="5"/>
      <c r="F31" s="5"/>
      <c r="G31" s="5"/>
      <c r="H31" s="5"/>
    </row>
    <row r="32" spans="1:8" x14ac:dyDescent="0.2">
      <c r="A32" s="5" t="s">
        <v>242</v>
      </c>
      <c r="B32" s="5" t="s">
        <v>241</v>
      </c>
      <c r="C32" s="6"/>
      <c r="D32" s="6" t="s">
        <v>386</v>
      </c>
      <c r="E32" s="5"/>
      <c r="F32" s="5"/>
      <c r="G32" s="5"/>
      <c r="H32" s="5"/>
    </row>
    <row r="33" spans="1:8" x14ac:dyDescent="0.2">
      <c r="A33" s="5" t="s">
        <v>138</v>
      </c>
      <c r="B33" s="5" t="s">
        <v>141</v>
      </c>
      <c r="C33" s="6">
        <v>24</v>
      </c>
      <c r="D33" s="6" t="s">
        <v>385</v>
      </c>
      <c r="E33" s="5"/>
      <c r="F33" s="5"/>
      <c r="G33" s="5"/>
      <c r="H33" s="5"/>
    </row>
    <row r="34" spans="1:8" ht="15" x14ac:dyDescent="0.25">
      <c r="A34" t="s">
        <v>76</v>
      </c>
      <c r="B34" s="5" t="s">
        <v>140</v>
      </c>
      <c r="C34" s="6"/>
      <c r="D34" s="6" t="s">
        <v>384</v>
      </c>
      <c r="E34" s="5" t="s">
        <v>111</v>
      </c>
      <c r="F34" s="5"/>
      <c r="G34" s="5"/>
      <c r="H34" s="5"/>
    </row>
    <row r="35" spans="1:8" ht="15" x14ac:dyDescent="0.25">
      <c r="A35" t="s">
        <v>75</v>
      </c>
      <c r="B35" s="5" t="s">
        <v>139</v>
      </c>
      <c r="C35" s="6">
        <v>24</v>
      </c>
      <c r="D35" s="6" t="s">
        <v>385</v>
      </c>
      <c r="E35" s="5" t="s">
        <v>111</v>
      </c>
      <c r="F35" s="5"/>
      <c r="G35" s="5"/>
      <c r="H35" s="5"/>
    </row>
    <row r="36" spans="1:8" ht="15" x14ac:dyDescent="0.25">
      <c r="A36" t="s">
        <v>137</v>
      </c>
      <c r="B36" s="5" t="s">
        <v>136</v>
      </c>
      <c r="C36" s="6"/>
      <c r="D36" s="6" t="s">
        <v>386</v>
      </c>
      <c r="E36" s="5" t="s">
        <v>116</v>
      </c>
      <c r="F36" s="5"/>
      <c r="G36" s="5"/>
      <c r="H36" s="5"/>
    </row>
    <row r="37" spans="1:8" x14ac:dyDescent="0.2">
      <c r="A37" s="5" t="s">
        <v>24</v>
      </c>
      <c r="B37" s="5" t="s">
        <v>197</v>
      </c>
      <c r="C37" s="6"/>
      <c r="D37" s="6" t="s">
        <v>384</v>
      </c>
      <c r="E37" s="5" t="s">
        <v>23</v>
      </c>
      <c r="F37" s="5"/>
      <c r="G37" s="5"/>
      <c r="H37" s="5"/>
    </row>
    <row r="38" spans="1:8" x14ac:dyDescent="0.2">
      <c r="A38" s="5" t="s">
        <v>22</v>
      </c>
      <c r="B38" s="5" t="s">
        <v>198</v>
      </c>
      <c r="C38" s="6">
        <v>24</v>
      </c>
      <c r="D38" s="6" t="s">
        <v>385</v>
      </c>
      <c r="E38" s="5" t="s">
        <v>23</v>
      </c>
      <c r="F38" s="5" t="s">
        <v>379</v>
      </c>
      <c r="G38" s="5"/>
      <c r="H38" s="5" t="s">
        <v>381</v>
      </c>
    </row>
    <row r="39" spans="1:8" x14ac:dyDescent="0.2">
      <c r="A39" s="5" t="s">
        <v>132</v>
      </c>
      <c r="B39" s="5" t="s">
        <v>131</v>
      </c>
      <c r="C39" s="6"/>
      <c r="D39" s="6" t="s">
        <v>386</v>
      </c>
      <c r="E39" s="5"/>
      <c r="F39" s="5"/>
      <c r="G39" s="5"/>
      <c r="H39" s="5"/>
    </row>
    <row r="40" spans="1:8" x14ac:dyDescent="0.2">
      <c r="A40" s="5" t="s">
        <v>256</v>
      </c>
      <c r="B40" s="5" t="s">
        <v>255</v>
      </c>
      <c r="C40" s="6"/>
      <c r="D40" s="6" t="s">
        <v>386</v>
      </c>
      <c r="E40" s="5"/>
      <c r="F40" s="5"/>
      <c r="G40" s="5"/>
      <c r="H40" s="5"/>
    </row>
    <row r="41" spans="1:8" ht="15" x14ac:dyDescent="0.25">
      <c r="A41" t="s">
        <v>185</v>
      </c>
      <c r="B41" s="5" t="s">
        <v>184</v>
      </c>
      <c r="C41" s="6"/>
      <c r="D41" s="6" t="s">
        <v>386</v>
      </c>
      <c r="E41" s="5"/>
      <c r="F41" s="5"/>
      <c r="G41" s="5"/>
      <c r="H41" s="5"/>
    </row>
    <row r="42" spans="1:8" x14ac:dyDescent="0.2">
      <c r="A42" s="5" t="s">
        <v>360</v>
      </c>
      <c r="B42" s="5" t="s">
        <v>363</v>
      </c>
      <c r="C42" s="6"/>
      <c r="D42" s="6" t="s">
        <v>384</v>
      </c>
      <c r="E42" s="5"/>
      <c r="F42" s="5"/>
      <c r="G42" s="5"/>
      <c r="H42" s="5"/>
    </row>
    <row r="43" spans="1:8" x14ac:dyDescent="0.2">
      <c r="A43" s="5" t="s">
        <v>202</v>
      </c>
      <c r="B43" s="5" t="s">
        <v>362</v>
      </c>
      <c r="C43" s="6">
        <v>24</v>
      </c>
      <c r="D43" s="6" t="s">
        <v>385</v>
      </c>
      <c r="E43" s="5"/>
      <c r="F43" s="5"/>
      <c r="G43" s="5"/>
      <c r="H43" s="5"/>
    </row>
    <row r="44" spans="1:8" x14ac:dyDescent="0.2">
      <c r="A44" s="5" t="s">
        <v>252</v>
      </c>
      <c r="B44" s="5" t="s">
        <v>251</v>
      </c>
      <c r="C44" s="6"/>
      <c r="D44" s="6" t="s">
        <v>386</v>
      </c>
      <c r="E44" s="5"/>
      <c r="F44" s="5"/>
      <c r="G44" s="5"/>
      <c r="H44" s="5"/>
    </row>
    <row r="45" spans="1:8" x14ac:dyDescent="0.2">
      <c r="A45" s="5" t="s">
        <v>260</v>
      </c>
      <c r="B45" s="5" t="s">
        <v>259</v>
      </c>
      <c r="C45" s="6"/>
      <c r="D45" s="6" t="s">
        <v>386</v>
      </c>
      <c r="E45" s="5"/>
      <c r="F45" s="5"/>
      <c r="G45" s="5"/>
      <c r="H45" s="5"/>
    </row>
    <row r="46" spans="1:8" x14ac:dyDescent="0.2">
      <c r="A46" s="5" t="s">
        <v>261</v>
      </c>
      <c r="B46" s="5" t="s">
        <v>262</v>
      </c>
      <c r="C46" s="6"/>
      <c r="D46" s="6" t="s">
        <v>386</v>
      </c>
      <c r="E46" s="5"/>
      <c r="F46" s="5"/>
      <c r="G46" s="5"/>
      <c r="H46" s="5"/>
    </row>
    <row r="47" spans="1:8" x14ac:dyDescent="0.2">
      <c r="A47" s="5" t="s">
        <v>245</v>
      </c>
      <c r="B47" s="5" t="s">
        <v>243</v>
      </c>
      <c r="C47" s="6"/>
      <c r="D47" s="6" t="s">
        <v>386</v>
      </c>
      <c r="E47" s="5"/>
      <c r="F47" s="5"/>
      <c r="G47" s="5"/>
      <c r="H47" s="5"/>
    </row>
    <row r="48" spans="1:8" ht="24" x14ac:dyDescent="0.2">
      <c r="A48" s="5" t="s">
        <v>27</v>
      </c>
      <c r="B48" s="27" t="s">
        <v>188</v>
      </c>
      <c r="C48" s="6"/>
      <c r="D48" s="6" t="s">
        <v>384</v>
      </c>
      <c r="E48" s="5" t="s">
        <v>26</v>
      </c>
      <c r="F48" s="5"/>
      <c r="G48" s="5"/>
      <c r="H48" s="5"/>
    </row>
    <row r="49" spans="1:8" ht="24" x14ac:dyDescent="0.2">
      <c r="A49" s="5" t="s">
        <v>25</v>
      </c>
      <c r="B49" s="27" t="s">
        <v>187</v>
      </c>
      <c r="C49" s="6">
        <v>24</v>
      </c>
      <c r="D49" s="6" t="s">
        <v>385</v>
      </c>
      <c r="E49" s="5" t="s">
        <v>26</v>
      </c>
      <c r="F49" s="5"/>
      <c r="G49" s="5"/>
      <c r="H49" s="5"/>
    </row>
    <row r="50" spans="1:8" x14ac:dyDescent="0.2">
      <c r="A50" s="5" t="s">
        <v>246</v>
      </c>
      <c r="B50" s="5" t="s">
        <v>244</v>
      </c>
      <c r="C50" s="6"/>
      <c r="D50" s="6" t="s">
        <v>386</v>
      </c>
      <c r="E50" s="5"/>
      <c r="F50" s="5"/>
      <c r="G50" s="5"/>
      <c r="H50" s="5"/>
    </row>
    <row r="51" spans="1:8" x14ac:dyDescent="0.2">
      <c r="A51" s="5" t="s">
        <v>172</v>
      </c>
      <c r="B51" s="5" t="s">
        <v>174</v>
      </c>
      <c r="C51" s="6">
        <v>60</v>
      </c>
      <c r="D51" s="6" t="s">
        <v>385</v>
      </c>
      <c r="E51" s="5"/>
      <c r="F51" s="5"/>
      <c r="G51" s="5"/>
      <c r="H51" s="5"/>
    </row>
    <row r="52" spans="1:8" x14ac:dyDescent="0.2">
      <c r="A52" s="5" t="s">
        <v>225</v>
      </c>
      <c r="B52" s="5" t="s">
        <v>226</v>
      </c>
      <c r="C52" s="6"/>
      <c r="D52" s="6" t="s">
        <v>384</v>
      </c>
      <c r="E52" s="5" t="s">
        <v>12</v>
      </c>
      <c r="F52" s="5"/>
      <c r="G52" s="5"/>
      <c r="H52" s="5"/>
    </row>
    <row r="53" spans="1:8" x14ac:dyDescent="0.2">
      <c r="A53" s="5" t="s">
        <v>173</v>
      </c>
      <c r="B53" s="5" t="s">
        <v>167</v>
      </c>
      <c r="C53" s="6">
        <v>36</v>
      </c>
      <c r="D53" s="6" t="s">
        <v>385</v>
      </c>
      <c r="E53" s="5" t="s">
        <v>12</v>
      </c>
      <c r="F53" s="5"/>
      <c r="G53" s="5"/>
      <c r="H53" s="5"/>
    </row>
    <row r="54" spans="1:8" x14ac:dyDescent="0.2">
      <c r="A54" s="5" t="s">
        <v>249</v>
      </c>
      <c r="B54" s="5" t="s">
        <v>250</v>
      </c>
      <c r="C54" s="6"/>
      <c r="D54" s="6" t="s">
        <v>386</v>
      </c>
      <c r="E54" s="5"/>
      <c r="F54" s="5"/>
      <c r="G54" s="5"/>
      <c r="H54" s="5"/>
    </row>
    <row r="55" spans="1:8" x14ac:dyDescent="0.2">
      <c r="A55" s="5" t="s">
        <v>374</v>
      </c>
      <c r="B55" s="5" t="s">
        <v>373</v>
      </c>
      <c r="C55" s="6"/>
      <c r="D55" s="6" t="s">
        <v>386</v>
      </c>
      <c r="E55" s="5"/>
      <c r="F55" s="5"/>
      <c r="G55" s="5"/>
      <c r="H55" s="5"/>
    </row>
    <row r="56" spans="1:8" x14ac:dyDescent="0.2">
      <c r="A56" s="5" t="s">
        <v>126</v>
      </c>
      <c r="B56" s="5" t="s">
        <v>372</v>
      </c>
      <c r="C56" s="6"/>
      <c r="D56" s="6" t="s">
        <v>386</v>
      </c>
      <c r="E56" s="5"/>
      <c r="F56" s="5"/>
      <c r="G56" s="5"/>
      <c r="H56" s="5"/>
    </row>
    <row r="57" spans="1:8" x14ac:dyDescent="0.2">
      <c r="A57" s="5" t="s">
        <v>171</v>
      </c>
      <c r="B57" s="5" t="s">
        <v>170</v>
      </c>
      <c r="C57" s="6"/>
      <c r="D57" s="6" t="s">
        <v>386</v>
      </c>
      <c r="E57" s="5"/>
      <c r="F57" s="5"/>
      <c r="G57" s="5"/>
      <c r="H57" s="5"/>
    </row>
    <row r="58" spans="1:8" x14ac:dyDescent="0.2">
      <c r="A58" s="5" t="s">
        <v>20</v>
      </c>
      <c r="B58" s="5" t="s">
        <v>21</v>
      </c>
      <c r="C58" s="6"/>
      <c r="D58" s="6" t="s">
        <v>384</v>
      </c>
      <c r="E58" s="5" t="s">
        <v>19</v>
      </c>
      <c r="F58" s="5"/>
      <c r="G58" s="5"/>
      <c r="H58" s="5"/>
    </row>
    <row r="59" spans="1:8" x14ac:dyDescent="0.2">
      <c r="A59" s="5" t="s">
        <v>17</v>
      </c>
      <c r="B59" s="5" t="s">
        <v>18</v>
      </c>
      <c r="C59" s="6">
        <v>24</v>
      </c>
      <c r="D59" s="6" t="s">
        <v>385</v>
      </c>
      <c r="E59" s="5" t="s">
        <v>19</v>
      </c>
      <c r="F59" s="5" t="s">
        <v>379</v>
      </c>
      <c r="G59" s="5" t="s">
        <v>378</v>
      </c>
      <c r="H59" s="5" t="s">
        <v>380</v>
      </c>
    </row>
    <row r="60" spans="1:8" x14ac:dyDescent="0.2">
      <c r="A60" s="5" t="s">
        <v>194</v>
      </c>
      <c r="B60" s="5" t="s">
        <v>193</v>
      </c>
      <c r="C60" s="6"/>
      <c r="D60" s="6" t="s">
        <v>386</v>
      </c>
      <c r="E60" s="5"/>
      <c r="F60" s="5"/>
      <c r="G60" s="5"/>
      <c r="H60" s="5"/>
    </row>
    <row r="61" spans="1:8" x14ac:dyDescent="0.2">
      <c r="A61" s="5" t="s">
        <v>224</v>
      </c>
      <c r="B61" s="5" t="s">
        <v>221</v>
      </c>
      <c r="C61" s="6"/>
      <c r="D61" s="6" t="s">
        <v>384</v>
      </c>
      <c r="E61" s="5" t="s">
        <v>26</v>
      </c>
      <c r="F61" s="5"/>
      <c r="G61" s="5"/>
      <c r="H61" s="5"/>
    </row>
    <row r="62" spans="1:8" x14ac:dyDescent="0.2">
      <c r="A62" s="5" t="s">
        <v>223</v>
      </c>
      <c r="B62" s="5" t="s">
        <v>222</v>
      </c>
      <c r="C62" s="6">
        <v>24</v>
      </c>
      <c r="D62" s="6" t="s">
        <v>385</v>
      </c>
      <c r="E62" s="5"/>
      <c r="F62" s="5"/>
      <c r="G62" s="5"/>
      <c r="H62" s="5"/>
    </row>
    <row r="63" spans="1:8" x14ac:dyDescent="0.2">
      <c r="A63" s="5" t="s">
        <v>176</v>
      </c>
      <c r="B63" s="5" t="s">
        <v>175</v>
      </c>
      <c r="C63" s="6"/>
      <c r="D63" s="6" t="s">
        <v>386</v>
      </c>
      <c r="E63" s="5"/>
      <c r="F63" s="5"/>
      <c r="G63" s="5"/>
      <c r="H63" s="5"/>
    </row>
    <row r="64" spans="1:8" ht="15" x14ac:dyDescent="0.25">
      <c r="A64" t="s">
        <v>78</v>
      </c>
      <c r="B64" s="5" t="s">
        <v>130</v>
      </c>
      <c r="C64" s="6"/>
      <c r="D64" s="6" t="s">
        <v>384</v>
      </c>
      <c r="E64" s="5" t="s">
        <v>111</v>
      </c>
      <c r="F64" s="5"/>
      <c r="G64" s="5"/>
      <c r="H64" s="5"/>
    </row>
    <row r="65" spans="1:8" ht="15" x14ac:dyDescent="0.25">
      <c r="A65" t="s">
        <v>77</v>
      </c>
      <c r="B65" s="5" t="s">
        <v>129</v>
      </c>
      <c r="C65" s="6">
        <v>24</v>
      </c>
      <c r="D65" s="6" t="s">
        <v>385</v>
      </c>
      <c r="E65" s="5" t="s">
        <v>111</v>
      </c>
      <c r="F65" s="5"/>
      <c r="G65" s="5"/>
      <c r="H65" s="5"/>
    </row>
    <row r="66" spans="1:8" x14ac:dyDescent="0.2">
      <c r="A66" s="5" t="s">
        <v>376</v>
      </c>
      <c r="B66" s="5" t="s">
        <v>375</v>
      </c>
      <c r="C66" s="6"/>
      <c r="D66" s="6" t="s">
        <v>386</v>
      </c>
      <c r="E66" s="5"/>
      <c r="F66" s="5"/>
      <c r="G66" s="5"/>
      <c r="H66" s="5"/>
    </row>
    <row r="67" spans="1:8" x14ac:dyDescent="0.2">
      <c r="A67" s="5" t="s">
        <v>383</v>
      </c>
      <c r="B67" s="5" t="s">
        <v>382</v>
      </c>
      <c r="C67" s="6"/>
      <c r="D67" s="6" t="s">
        <v>386</v>
      </c>
      <c r="E67" s="5"/>
      <c r="F67" s="5"/>
      <c r="G67" s="5"/>
      <c r="H67" s="5"/>
    </row>
    <row r="68" spans="1:8" x14ac:dyDescent="0.2">
      <c r="A68" s="5" t="s">
        <v>407</v>
      </c>
      <c r="B68" s="5" t="s">
        <v>405</v>
      </c>
      <c r="C68" s="6"/>
      <c r="D68" s="6" t="s">
        <v>386</v>
      </c>
      <c r="E68" s="5"/>
      <c r="F68" s="5"/>
      <c r="G68" s="5"/>
      <c r="H68" s="5"/>
    </row>
    <row r="69" spans="1:8" x14ac:dyDescent="0.2">
      <c r="A69" s="5" t="s">
        <v>408</v>
      </c>
      <c r="B69" s="5" t="s">
        <v>406</v>
      </c>
      <c r="C69" s="6"/>
      <c r="D69" s="6" t="s">
        <v>386</v>
      </c>
      <c r="E69" s="5"/>
      <c r="F69" s="5"/>
      <c r="G69" s="5"/>
      <c r="H69" s="5"/>
    </row>
    <row r="70" spans="1:8" x14ac:dyDescent="0.2">
      <c r="A70" s="5" t="s">
        <v>412</v>
      </c>
      <c r="B70" s="5" t="s">
        <v>411</v>
      </c>
      <c r="C70" s="6"/>
      <c r="D70" s="6" t="s">
        <v>386</v>
      </c>
      <c r="E70" s="5"/>
      <c r="F70" s="5"/>
      <c r="G70" s="5"/>
      <c r="H70" s="5"/>
    </row>
    <row r="71" spans="1:8" x14ac:dyDescent="0.2">
      <c r="A71" s="5" t="s">
        <v>425</v>
      </c>
      <c r="B71" s="5" t="s">
        <v>430</v>
      </c>
      <c r="C71" s="6">
        <v>24</v>
      </c>
      <c r="D71" s="6" t="s">
        <v>385</v>
      </c>
      <c r="E71" s="5"/>
      <c r="F71" s="5"/>
      <c r="G71" s="5"/>
      <c r="H71" s="5"/>
    </row>
    <row r="72" spans="1:8" x14ac:dyDescent="0.2">
      <c r="A72" s="5" t="s">
        <v>426</v>
      </c>
      <c r="B72" s="5" t="s">
        <v>427</v>
      </c>
      <c r="C72" s="6">
        <v>24</v>
      </c>
      <c r="D72" s="6" t="s">
        <v>385</v>
      </c>
      <c r="E72" s="5"/>
      <c r="F72" s="5"/>
      <c r="G72" s="5"/>
      <c r="H72" s="5"/>
    </row>
    <row r="73" spans="1:8" x14ac:dyDescent="0.2">
      <c r="A73" s="5" t="s">
        <v>428</v>
      </c>
      <c r="B73" s="5" t="s">
        <v>429</v>
      </c>
      <c r="C73" s="6">
        <v>24</v>
      </c>
      <c r="D73" s="6" t="s">
        <v>385</v>
      </c>
      <c r="E73" s="5"/>
      <c r="F73" s="5"/>
      <c r="G73" s="5"/>
      <c r="H73" s="5"/>
    </row>
    <row r="74" spans="1:8" x14ac:dyDescent="0.2">
      <c r="A74" s="5" t="s">
        <v>452</v>
      </c>
      <c r="B74" s="5" t="s">
        <v>451</v>
      </c>
      <c r="C74" s="6">
        <v>24</v>
      </c>
      <c r="D74" s="6" t="s">
        <v>385</v>
      </c>
      <c r="E74" s="5"/>
      <c r="F74" s="5"/>
      <c r="G74" s="5"/>
      <c r="H74" s="5"/>
    </row>
    <row r="75" spans="1:8" x14ac:dyDescent="0.2">
      <c r="A75" s="5" t="s">
        <v>468</v>
      </c>
      <c r="B75" s="5" t="s">
        <v>466</v>
      </c>
      <c r="C75" s="6"/>
      <c r="D75" s="6" t="s">
        <v>384</v>
      </c>
      <c r="E75" s="5"/>
      <c r="F75" s="5"/>
      <c r="G75" s="5"/>
      <c r="H75" s="5"/>
    </row>
    <row r="76" spans="1:8" x14ac:dyDescent="0.2">
      <c r="A76" s="5" t="s">
        <v>469</v>
      </c>
      <c r="B76" s="5" t="s">
        <v>467</v>
      </c>
      <c r="C76" s="6">
        <v>24</v>
      </c>
      <c r="D76" s="6" t="s">
        <v>385</v>
      </c>
      <c r="E76" s="5"/>
      <c r="F76" s="5"/>
      <c r="G76" s="5"/>
      <c r="H76" s="5"/>
    </row>
    <row r="77" spans="1:8" x14ac:dyDescent="0.2">
      <c r="A77" s="5" t="s">
        <v>470</v>
      </c>
      <c r="B77" s="5" t="s">
        <v>471</v>
      </c>
      <c r="C77" s="6"/>
      <c r="D77" s="6" t="s">
        <v>386</v>
      </c>
      <c r="E77" s="5"/>
      <c r="F77" s="5"/>
      <c r="G77" s="5"/>
      <c r="H77" s="5"/>
    </row>
    <row r="78" spans="1:8" x14ac:dyDescent="0.2">
      <c r="A78" s="5" t="s">
        <v>486</v>
      </c>
      <c r="B78" s="5" t="s">
        <v>178</v>
      </c>
      <c r="C78" s="6">
        <v>204</v>
      </c>
      <c r="D78" s="6" t="s">
        <v>385</v>
      </c>
      <c r="E78" s="5"/>
      <c r="F78" s="5"/>
      <c r="G78" s="5"/>
      <c r="H78" s="5"/>
    </row>
    <row r="79" spans="1:8" x14ac:dyDescent="0.2">
      <c r="A79" s="5" t="s">
        <v>487</v>
      </c>
      <c r="B79" s="5" t="s">
        <v>178</v>
      </c>
      <c r="C79" s="6">
        <v>60</v>
      </c>
      <c r="D79" s="6" t="s">
        <v>385</v>
      </c>
      <c r="E79" s="5"/>
      <c r="F79" s="5"/>
      <c r="G79" s="5"/>
      <c r="H79" s="5"/>
    </row>
    <row r="80" spans="1:8" x14ac:dyDescent="0.2">
      <c r="A80" s="5" t="s">
        <v>511</v>
      </c>
      <c r="B80" s="5" t="s">
        <v>512</v>
      </c>
      <c r="C80" s="6"/>
      <c r="D80" s="6" t="s">
        <v>386</v>
      </c>
      <c r="E80" s="5"/>
      <c r="F80" s="5"/>
      <c r="G80" s="5"/>
      <c r="H80" s="5"/>
    </row>
    <row r="81" spans="1:8" x14ac:dyDescent="0.2">
      <c r="A81" s="5" t="s">
        <v>513</v>
      </c>
      <c r="B81" s="5" t="s">
        <v>514</v>
      </c>
      <c r="C81" s="6">
        <v>24</v>
      </c>
      <c r="D81" s="6" t="s">
        <v>385</v>
      </c>
      <c r="E81" s="5"/>
      <c r="F81" s="5"/>
      <c r="G81" s="5"/>
      <c r="H81" s="5"/>
    </row>
    <row r="82" spans="1:8" x14ac:dyDescent="0.2">
      <c r="A82" s="5" t="s">
        <v>516</v>
      </c>
      <c r="B82" s="5" t="s">
        <v>515</v>
      </c>
      <c r="C82" s="6"/>
      <c r="D82" s="6" t="s">
        <v>386</v>
      </c>
      <c r="E82" s="5"/>
      <c r="F82" s="5"/>
      <c r="G82" s="5"/>
      <c r="H82" s="5"/>
    </row>
    <row r="83" spans="1:8" x14ac:dyDescent="0.2">
      <c r="A83" s="5" t="s">
        <v>518</v>
      </c>
      <c r="B83" s="5" t="s">
        <v>517</v>
      </c>
      <c r="C83" s="6">
        <v>24</v>
      </c>
      <c r="D83" s="6" t="s">
        <v>385</v>
      </c>
      <c r="E83" s="5"/>
      <c r="F83" s="5"/>
      <c r="G83" s="5"/>
      <c r="H83" s="5"/>
    </row>
    <row r="84" spans="1:8" x14ac:dyDescent="0.2">
      <c r="A84" s="5" t="s">
        <v>592</v>
      </c>
      <c r="B84" s="5" t="s">
        <v>593</v>
      </c>
      <c r="C84" s="6"/>
      <c r="D84" s="6" t="s">
        <v>386</v>
      </c>
      <c r="E84" s="5"/>
      <c r="F84" s="5"/>
      <c r="G84" s="5"/>
      <c r="H84" s="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U74"/>
  <sheetViews>
    <sheetView topLeftCell="H24" zoomScale="90" zoomScaleNormal="90" workbookViewId="0">
      <selection activeCell="L64" sqref="L64"/>
    </sheetView>
  </sheetViews>
  <sheetFormatPr defaultRowHeight="15" x14ac:dyDescent="0.25"/>
  <cols>
    <col min="1" max="1" width="11.5703125" style="4" bestFit="1" customWidth="1"/>
    <col min="2" max="2" width="13.5703125" style="4" bestFit="1" customWidth="1"/>
    <col min="3" max="3" width="13.140625" style="4" bestFit="1" customWidth="1"/>
    <col min="4" max="4" width="18.7109375" style="4" bestFit="1" customWidth="1"/>
    <col min="5" max="5" width="9.85546875" style="4" customWidth="1"/>
    <col min="6" max="6" width="54" style="4" customWidth="1"/>
    <col min="7" max="7" width="50.28515625" style="4" customWidth="1"/>
    <col min="8" max="8" width="13.42578125" style="4" bestFit="1" customWidth="1"/>
    <col min="9" max="9" width="33.7109375" style="4" bestFit="1" customWidth="1"/>
    <col min="10" max="10" width="16.42578125" style="85" bestFit="1" customWidth="1"/>
    <col min="11" max="11" width="15" style="85" bestFit="1" customWidth="1"/>
    <col min="12" max="12" width="29.140625" style="4" bestFit="1" customWidth="1"/>
    <col min="13" max="13" width="16.5703125" style="4" bestFit="1" customWidth="1"/>
    <col min="14" max="14" width="15.5703125" style="4" bestFit="1" customWidth="1"/>
    <col min="15" max="15" width="22.28515625" style="4" bestFit="1" customWidth="1"/>
    <col min="16" max="16" width="19.42578125" style="4" bestFit="1" customWidth="1"/>
    <col min="17" max="17" width="11.5703125" style="4" bestFit="1" customWidth="1"/>
    <col min="18" max="18" width="12.85546875" style="4" bestFit="1" customWidth="1"/>
    <col min="19" max="21" width="9.140625" style="4"/>
  </cols>
  <sheetData>
    <row r="1" spans="1:21" x14ac:dyDescent="0.25">
      <c r="A1" s="4" t="s">
        <v>6</v>
      </c>
      <c r="B1" s="4" t="s">
        <v>79</v>
      </c>
      <c r="C1" s="4" t="s">
        <v>80</v>
      </c>
      <c r="D1" s="4" t="s">
        <v>7</v>
      </c>
      <c r="E1" s="4" t="s">
        <v>402</v>
      </c>
      <c r="F1" s="4" t="s">
        <v>495</v>
      </c>
      <c r="G1" s="4" t="s">
        <v>494</v>
      </c>
      <c r="H1" s="4" t="s">
        <v>485</v>
      </c>
      <c r="I1" s="84" t="s">
        <v>273</v>
      </c>
      <c r="J1" s="84" t="s">
        <v>417</v>
      </c>
      <c r="K1" s="85" t="s">
        <v>8</v>
      </c>
      <c r="L1" s="85" t="s">
        <v>400</v>
      </c>
      <c r="M1" s="4" t="s">
        <v>282</v>
      </c>
      <c r="N1" s="4" t="s">
        <v>283</v>
      </c>
      <c r="O1" s="4" t="s">
        <v>281</v>
      </c>
      <c r="P1" s="4" t="s">
        <v>398</v>
      </c>
      <c r="Q1" s="4" t="s">
        <v>39</v>
      </c>
      <c r="R1" s="4" t="s">
        <v>414</v>
      </c>
      <c r="S1" s="4" t="s">
        <v>415</v>
      </c>
      <c r="T1" s="4" t="s">
        <v>486</v>
      </c>
      <c r="U1" s="4" t="s">
        <v>487</v>
      </c>
    </row>
    <row r="2" spans="1:21" x14ac:dyDescent="0.25">
      <c r="A2" s="86" t="str" cm="1">
        <f t="array" ref="A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AVED01</v>
      </c>
      <c r="B2" s="86" t="str">
        <f>UPPER(_xlfn.TEXTBEFORE(TRIM(tblPeople[[#This Row],[PersonName]])," "))</f>
        <v>ALEX</v>
      </c>
      <c r="C2" s="86" t="str">
        <f>UPPER(_xlfn.TEXTAFTER(TRIM(tblPeople[[#This Row],[PersonName]])," ",-1))</f>
        <v>AVEDI</v>
      </c>
      <c r="D2" s="86" t="s">
        <v>306</v>
      </c>
      <c r="E2" s="86"/>
      <c r="F2" s="86"/>
      <c r="G2" s="86"/>
      <c r="H2" s="86"/>
      <c r="I2" s="87"/>
      <c r="J2" s="87"/>
      <c r="K2" s="88" t="s">
        <v>293</v>
      </c>
      <c r="L2" s="88" t="s">
        <v>307</v>
      </c>
      <c r="M2" s="86">
        <v>733201947</v>
      </c>
      <c r="N2" s="89" t="s">
        <v>308</v>
      </c>
      <c r="O2" s="91">
        <v>43656</v>
      </c>
      <c r="P2" s="86" t="s">
        <v>404</v>
      </c>
      <c r="Q2" s="86" t="s">
        <v>364</v>
      </c>
      <c r="R2" s="86"/>
      <c r="S2" s="86"/>
      <c r="T2" s="90"/>
      <c r="U2" s="90"/>
    </row>
    <row r="3" spans="1:21" x14ac:dyDescent="0.25">
      <c r="A3" s="86" t="str" cm="1">
        <f t="array" ref="A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BIL01</v>
      </c>
      <c r="B3" s="86" t="str">
        <f>UPPER(_xlfn.TEXTBEFORE(TRIM(tblPeople[[#This Row],[PersonName]])," "))</f>
        <v>CHURCHILL</v>
      </c>
      <c r="C3" s="86" t="str">
        <f>UPPER(_xlfn.TEXTAFTER(TRIM(tblPeople[[#This Row],[PersonName]])," ",-1))</f>
        <v>BIL</v>
      </c>
      <c r="D3" s="86" t="s">
        <v>50</v>
      </c>
      <c r="E3" s="86"/>
      <c r="F3" s="86"/>
      <c r="G3" s="86"/>
      <c r="H3" s="86"/>
      <c r="I3" s="87"/>
      <c r="J3" s="86"/>
      <c r="K3" s="88" t="s">
        <v>285</v>
      </c>
      <c r="L3" s="88" t="s">
        <v>288</v>
      </c>
      <c r="M3" s="86">
        <v>790268082</v>
      </c>
      <c r="N3" s="89" t="s">
        <v>309</v>
      </c>
      <c r="O3" s="91">
        <v>45627</v>
      </c>
      <c r="P3" s="86"/>
      <c r="Q3" s="86" t="s">
        <v>364</v>
      </c>
      <c r="R3" s="86"/>
      <c r="S3" s="86"/>
      <c r="T3" s="90"/>
      <c r="U3" s="90"/>
    </row>
    <row r="4" spans="1:21" x14ac:dyDescent="0.25">
      <c r="A4" s="86" t="str" cm="1">
        <f t="array" ref="A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EDNA01</v>
      </c>
      <c r="B4" s="86" t="str">
        <f>UPPER(_xlfn.TEXTBEFORE(TRIM(tblPeople[[#This Row],[PersonName]])," "))</f>
        <v>DORINE</v>
      </c>
      <c r="C4" s="86" t="str">
        <f>UPPER(_xlfn.TEXTAFTER(TRIM(tblPeople[[#This Row],[PersonName]])," ",-1))</f>
        <v>EDNA</v>
      </c>
      <c r="D4" s="86" t="s">
        <v>271</v>
      </c>
      <c r="E4" s="86"/>
      <c r="F4" s="86"/>
      <c r="G4" s="86"/>
      <c r="H4" s="86"/>
      <c r="I4" s="87"/>
      <c r="J4" s="87"/>
      <c r="K4" s="88" t="s">
        <v>284</v>
      </c>
      <c r="L4" s="88" t="s">
        <v>297</v>
      </c>
      <c r="M4" s="86">
        <v>719164293</v>
      </c>
      <c r="N4" s="89" t="s">
        <v>358</v>
      </c>
      <c r="O4" s="91">
        <v>45962</v>
      </c>
      <c r="P4" s="86"/>
      <c r="Q4" s="86" t="s">
        <v>364</v>
      </c>
      <c r="R4" s="86"/>
      <c r="S4" s="86"/>
      <c r="T4" s="90"/>
      <c r="U4" s="90"/>
    </row>
    <row r="5" spans="1:21" x14ac:dyDescent="0.25">
      <c r="A5" s="86" t="str" cm="1">
        <f t="array" ref="A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EDUP01</v>
      </c>
      <c r="B5" s="86" t="str">
        <f>UPPER(_xlfn.TEXTBEFORE(TRIM(tblPeople[[#This Row],[PersonName]])," "))</f>
        <v>WALTER</v>
      </c>
      <c r="C5" s="86" t="str">
        <f>UPPER(_xlfn.TEXTAFTER(TRIM(tblPeople[[#This Row],[PersonName]])," ",-1))</f>
        <v>EDUPU</v>
      </c>
      <c r="D5" s="86" t="s">
        <v>49</v>
      </c>
      <c r="E5" s="86"/>
      <c r="F5" s="86"/>
      <c r="G5" s="86"/>
      <c r="H5" s="86"/>
      <c r="I5" s="87"/>
      <c r="J5" s="86"/>
      <c r="K5" s="88" t="s">
        <v>284</v>
      </c>
      <c r="L5" s="88" t="s">
        <v>297</v>
      </c>
      <c r="M5" s="86">
        <v>711752702</v>
      </c>
      <c r="N5" s="89" t="s">
        <v>310</v>
      </c>
      <c r="O5" s="91">
        <v>45627</v>
      </c>
      <c r="P5" s="86"/>
      <c r="Q5" s="86" t="s">
        <v>364</v>
      </c>
      <c r="R5" s="86"/>
      <c r="S5" s="86"/>
      <c r="T5" s="90"/>
      <c r="U5" s="90"/>
    </row>
    <row r="6" spans="1:21" x14ac:dyDescent="0.25">
      <c r="A6" s="86" t="str" cm="1">
        <f t="array" ref="A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ETEN01</v>
      </c>
      <c r="B6" s="86" t="str">
        <f>UPPER(_xlfn.TEXTBEFORE(TRIM(tblPeople[[#This Row],[PersonName]])," "))</f>
        <v>MERCY</v>
      </c>
      <c r="C6" s="86" t="str">
        <f>UPPER(_xlfn.TEXTAFTER(TRIM(tblPeople[[#This Row],[PersonName]])," ",-1))</f>
        <v>ETENDE</v>
      </c>
      <c r="D6" s="86" t="s">
        <v>44</v>
      </c>
      <c r="E6" s="86"/>
      <c r="F6" s="86"/>
      <c r="G6" s="86"/>
      <c r="H6" s="86"/>
      <c r="I6" s="87"/>
      <c r="J6" s="86"/>
      <c r="K6" s="88" t="s">
        <v>286</v>
      </c>
      <c r="L6" s="88" t="s">
        <v>508</v>
      </c>
      <c r="M6" s="86">
        <v>722506298</v>
      </c>
      <c r="N6" s="89" t="s">
        <v>311</v>
      </c>
      <c r="O6" s="91">
        <v>43836</v>
      </c>
      <c r="P6" s="86" t="s">
        <v>404</v>
      </c>
      <c r="Q6" s="86" t="s">
        <v>364</v>
      </c>
      <c r="R6" s="86"/>
      <c r="S6" s="86"/>
      <c r="T6" s="90"/>
      <c r="U6" s="90"/>
    </row>
    <row r="7" spans="1:21" x14ac:dyDescent="0.25">
      <c r="A7" s="86" t="str" cm="1">
        <f t="array" ref="A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GITA01</v>
      </c>
      <c r="B7" s="86" t="str">
        <f>UPPER(_xlfn.TEXTBEFORE(TRIM(tblPeople[[#This Row],[PersonName]])," "))</f>
        <v>BENSON</v>
      </c>
      <c r="C7" s="86" t="str">
        <f>UPPER(_xlfn.TEXTAFTER(TRIM(tblPeople[[#This Row],[PersonName]])," ",-1))</f>
        <v>GITAHI</v>
      </c>
      <c r="D7" s="86" t="s">
        <v>147</v>
      </c>
      <c r="E7" s="86">
        <v>9789822</v>
      </c>
      <c r="F7" s="86"/>
      <c r="G7" s="86"/>
      <c r="H7" s="86"/>
      <c r="I7" s="87"/>
      <c r="J7" s="86"/>
      <c r="K7" s="88" t="s">
        <v>285</v>
      </c>
      <c r="L7" s="88" t="s">
        <v>401</v>
      </c>
      <c r="M7" s="86">
        <v>706210214</v>
      </c>
      <c r="N7" s="89" t="s">
        <v>312</v>
      </c>
      <c r="O7" s="91">
        <v>45870</v>
      </c>
      <c r="P7" s="86" t="s">
        <v>399</v>
      </c>
      <c r="Q7" s="86" t="s">
        <v>364</v>
      </c>
      <c r="R7" s="86"/>
      <c r="S7" s="86"/>
      <c r="T7" s="90"/>
      <c r="U7" s="90"/>
    </row>
    <row r="8" spans="1:21" x14ac:dyDescent="0.25">
      <c r="A8" s="86" t="str" cm="1">
        <f t="array" ref="A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GUDA01</v>
      </c>
      <c r="B8" s="86" t="str">
        <f>UPPER(_xlfn.TEXTBEFORE(TRIM(tblPeople[[#This Row],[PersonName]])," "))</f>
        <v>ELINA</v>
      </c>
      <c r="C8" s="86" t="str">
        <f>UPPER(_xlfn.TEXTAFTER(TRIM(tblPeople[[#This Row],[PersonName]])," ",-1))</f>
        <v>GUDA</v>
      </c>
      <c r="D8" s="86" t="s">
        <v>72</v>
      </c>
      <c r="E8" s="86"/>
      <c r="F8" s="86"/>
      <c r="G8" s="86"/>
      <c r="H8" s="86"/>
      <c r="I8" s="87"/>
      <c r="J8" s="86"/>
      <c r="K8" s="88" t="s">
        <v>284</v>
      </c>
      <c r="L8" s="88" t="s">
        <v>431</v>
      </c>
      <c r="M8" s="86">
        <v>713452009</v>
      </c>
      <c r="N8" s="89" t="s">
        <v>313</v>
      </c>
      <c r="O8" s="91">
        <v>44682</v>
      </c>
      <c r="P8" s="86"/>
      <c r="Q8" s="86" t="s">
        <v>364</v>
      </c>
      <c r="R8" s="86"/>
      <c r="S8" s="86"/>
      <c r="T8" s="90"/>
      <c r="U8" s="90"/>
    </row>
    <row r="9" spans="1:21" x14ac:dyDescent="0.25">
      <c r="A9" s="86" t="str" cm="1">
        <f t="array" ref="A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HARU01</v>
      </c>
      <c r="B9" s="86" t="str">
        <f>UPPER(_xlfn.TEXTBEFORE(TRIM(tblPeople[[#This Row],[PersonName]])," "))</f>
        <v>SMITH</v>
      </c>
      <c r="C9" s="86" t="str">
        <f>UPPER(_xlfn.TEXTAFTER(TRIM(tblPeople[[#This Row],[PersonName]])," ",-1))</f>
        <v>HARUN</v>
      </c>
      <c r="D9" s="86" t="s">
        <v>58</v>
      </c>
      <c r="E9" s="86">
        <v>25340384</v>
      </c>
      <c r="F9" s="86" t="s">
        <v>506</v>
      </c>
      <c r="G9" s="86"/>
      <c r="H9" s="86" t="s">
        <v>195</v>
      </c>
      <c r="I9" s="87">
        <v>2</v>
      </c>
      <c r="J9" s="92">
        <v>43423</v>
      </c>
      <c r="K9" s="88" t="s">
        <v>293</v>
      </c>
      <c r="L9" s="88" t="s">
        <v>598</v>
      </c>
      <c r="M9" s="86">
        <v>728390778</v>
      </c>
      <c r="N9" s="89" t="s">
        <v>314</v>
      </c>
      <c r="O9" s="91">
        <v>43070</v>
      </c>
      <c r="P9" s="86" t="s">
        <v>404</v>
      </c>
      <c r="Q9" s="86" t="s">
        <v>364</v>
      </c>
      <c r="R9" s="91">
        <v>32222</v>
      </c>
      <c r="S9" s="86" t="s">
        <v>418</v>
      </c>
      <c r="T9" s="90"/>
      <c r="U9" s="90"/>
    </row>
    <row r="10" spans="1:21" ht="27" x14ac:dyDescent="0.25">
      <c r="A10" s="86" t="str" cm="1">
        <f t="array" ref="A1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HURG01</v>
      </c>
      <c r="B10" s="86" t="str">
        <f>UPPER(_xlfn.TEXTBEFORE(TRIM(tblPeople[[#This Row],[PersonName]])," "))</f>
        <v>DOUGLAS</v>
      </c>
      <c r="C10" s="86" t="str">
        <f>UPPER(_xlfn.TEXTAFTER(TRIM(tblPeople[[#This Row],[PersonName]])," ",-1))</f>
        <v>HURGINS</v>
      </c>
      <c r="D10" s="86" t="s">
        <v>57</v>
      </c>
      <c r="E10" s="86">
        <v>31679645</v>
      </c>
      <c r="F10" s="93" t="s">
        <v>500</v>
      </c>
      <c r="G10" s="86"/>
      <c r="H10" s="86" t="s">
        <v>211</v>
      </c>
      <c r="I10" s="87">
        <v>6</v>
      </c>
      <c r="J10" s="91">
        <v>46070</v>
      </c>
      <c r="K10" s="88" t="s">
        <v>285</v>
      </c>
      <c r="L10" s="88" t="s">
        <v>432</v>
      </c>
      <c r="M10" s="86">
        <v>701918068</v>
      </c>
      <c r="N10" s="89" t="s">
        <v>315</v>
      </c>
      <c r="O10" s="91">
        <v>43585</v>
      </c>
      <c r="P10" s="86" t="s">
        <v>404</v>
      </c>
      <c r="Q10" s="86" t="s">
        <v>364</v>
      </c>
      <c r="R10" s="91">
        <v>34765</v>
      </c>
      <c r="S10" s="86" t="s">
        <v>418</v>
      </c>
      <c r="T10" s="90"/>
      <c r="U10" s="90"/>
    </row>
    <row r="11" spans="1:21" x14ac:dyDescent="0.25">
      <c r="A11" s="86" t="str" cm="1">
        <f t="array" ref="A1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IKIL01</v>
      </c>
      <c r="B11" s="86" t="str">
        <f>UPPER(_xlfn.TEXTBEFORE(TRIM(tblPeople[[#This Row],[PersonName]])," "))</f>
        <v>VENESSA</v>
      </c>
      <c r="C11" s="86" t="str">
        <f>UPPER(_xlfn.TEXTAFTER(TRIM(tblPeople[[#This Row],[PersonName]])," ",-1))</f>
        <v>IKILENG'</v>
      </c>
      <c r="D11" s="86" t="s">
        <v>270</v>
      </c>
      <c r="E11" s="86"/>
      <c r="F11" s="86"/>
      <c r="G11" s="86"/>
      <c r="H11" s="86"/>
      <c r="I11" s="87"/>
      <c r="J11" s="87"/>
      <c r="K11" s="88" t="s">
        <v>284</v>
      </c>
      <c r="L11" s="88" t="s">
        <v>297</v>
      </c>
      <c r="M11" s="86">
        <v>745400320</v>
      </c>
      <c r="N11" s="89" t="s">
        <v>394</v>
      </c>
      <c r="O11" s="91">
        <v>46023</v>
      </c>
      <c r="P11" s="86" t="s">
        <v>399</v>
      </c>
      <c r="Q11" s="86" t="s">
        <v>364</v>
      </c>
      <c r="R11" s="86"/>
      <c r="S11" s="86"/>
      <c r="T11" s="90"/>
      <c r="U11" s="90"/>
    </row>
    <row r="12" spans="1:21" x14ac:dyDescent="0.25">
      <c r="A12" s="86" t="str" cm="1">
        <f t="array" ref="A1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KANA01</v>
      </c>
      <c r="B12" s="86" t="str">
        <f>UPPER(_xlfn.TEXTBEFORE(TRIM(tblPeople[[#This Row],[PersonName]])," "))</f>
        <v>WYCLIFFE</v>
      </c>
      <c r="C12" s="86" t="str">
        <f>UPPER(_xlfn.TEXTAFTER(TRIM(tblPeople[[#This Row],[PersonName]])," ",-1))</f>
        <v>KANANA</v>
      </c>
      <c r="D12" s="86" t="s">
        <v>55</v>
      </c>
      <c r="E12" s="86"/>
      <c r="F12" s="86"/>
      <c r="G12" s="86"/>
      <c r="H12" s="86"/>
      <c r="I12" s="87"/>
      <c r="J12" s="86"/>
      <c r="K12" s="88" t="s">
        <v>286</v>
      </c>
      <c r="L12" s="88" t="s">
        <v>509</v>
      </c>
      <c r="M12" s="86">
        <v>710953297</v>
      </c>
      <c r="N12" s="89" t="s">
        <v>316</v>
      </c>
      <c r="O12" s="91">
        <v>43498</v>
      </c>
      <c r="P12" s="86" t="s">
        <v>404</v>
      </c>
      <c r="Q12" s="86" t="s">
        <v>364</v>
      </c>
      <c r="R12" s="91">
        <v>34566</v>
      </c>
      <c r="S12" s="86"/>
      <c r="T12" s="90"/>
      <c r="U12" s="90"/>
    </row>
    <row r="13" spans="1:21" hidden="1" x14ac:dyDescent="0.25">
      <c r="A13" t="str" cm="1">
        <f t="array" ref="A1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KARI01</v>
      </c>
      <c r="B13" t="str">
        <f>UPPER(_xlfn.TEXTBEFORE(TRIM(tblPeople[[#This Row],[PersonName]])," "))</f>
        <v>STEPHEN</v>
      </c>
      <c r="C13" t="str">
        <f>UPPER(_xlfn.TEXTAFTER(TRIM(tblPeople[[#This Row],[PersonName]])," ",-1))</f>
        <v>KARIUKI</v>
      </c>
      <c r="D13" t="s">
        <v>148</v>
      </c>
      <c r="E13"/>
      <c r="F13"/>
      <c r="G13"/>
      <c r="H13" t="s">
        <v>207</v>
      </c>
      <c r="I13"/>
      <c r="J13"/>
      <c r="K13" s="75" t="s">
        <v>285</v>
      </c>
      <c r="L13" s="75" t="s">
        <v>289</v>
      </c>
      <c r="M13">
        <v>724200744</v>
      </c>
      <c r="N13" s="49" t="s">
        <v>318</v>
      </c>
      <c r="O13"/>
      <c r="P13"/>
      <c r="Q13" t="s">
        <v>365</v>
      </c>
      <c r="R13"/>
      <c r="S13"/>
      <c r="T13"/>
      <c r="U13"/>
    </row>
    <row r="14" spans="1:21" x14ac:dyDescent="0.25">
      <c r="A14" s="86" t="str" cm="1">
        <f t="array" ref="A1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KAZU01</v>
      </c>
      <c r="B14" s="86" t="str">
        <f>UPPER(_xlfn.TEXTBEFORE(TRIM(tblPeople[[#This Row],[PersonName]])," "))</f>
        <v>KEA</v>
      </c>
      <c r="C14" s="86" t="str">
        <f>UPPER(_xlfn.TEXTAFTER(TRIM(tblPeople[[#This Row],[PersonName]])," ",-1))</f>
        <v>KAZUNGU</v>
      </c>
      <c r="D14" s="86" t="s">
        <v>145</v>
      </c>
      <c r="E14" s="86"/>
      <c r="F14" s="86" t="s">
        <v>502</v>
      </c>
      <c r="G14" s="86"/>
      <c r="H14" s="86" t="s">
        <v>213</v>
      </c>
      <c r="I14" s="87"/>
      <c r="J14" s="87"/>
      <c r="K14" s="88" t="s">
        <v>293</v>
      </c>
      <c r="L14" s="88" t="s">
        <v>597</v>
      </c>
      <c r="M14" s="86">
        <v>728308978</v>
      </c>
      <c r="N14" s="89" t="s">
        <v>319</v>
      </c>
      <c r="O14" s="91">
        <v>43017</v>
      </c>
      <c r="P14" s="86" t="s">
        <v>404</v>
      </c>
      <c r="Q14" s="86" t="s">
        <v>364</v>
      </c>
      <c r="R14" s="86"/>
      <c r="S14" s="86"/>
      <c r="T14" s="90"/>
      <c r="U14" s="90"/>
    </row>
    <row r="15" spans="1:21" x14ac:dyDescent="0.25">
      <c r="A15" s="86" t="str" cm="1">
        <f t="array" ref="A1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KEME01</v>
      </c>
      <c r="B15" s="86" t="str">
        <f>UPPER(_xlfn.TEXTBEFORE(TRIM(tblPeople[[#This Row],[PersonName]])," "))</f>
        <v>EDWIN</v>
      </c>
      <c r="C15" s="86" t="str">
        <f>UPPER(_xlfn.TEXTAFTER(TRIM(tblPeople[[#This Row],[PersonName]])," ",-1))</f>
        <v>KEMEI</v>
      </c>
      <c r="D15" s="86" t="s">
        <v>149</v>
      </c>
      <c r="E15" s="86"/>
      <c r="F15" s="86"/>
      <c r="G15" s="86"/>
      <c r="H15" s="86"/>
      <c r="I15" s="87"/>
      <c r="J15" s="86"/>
      <c r="K15" s="88" t="s">
        <v>588</v>
      </c>
      <c r="L15" s="88" t="s">
        <v>291</v>
      </c>
      <c r="M15" s="86">
        <v>720778010</v>
      </c>
      <c r="N15" s="89" t="s">
        <v>320</v>
      </c>
      <c r="O15" s="91">
        <v>43480</v>
      </c>
      <c r="P15" s="86" t="s">
        <v>404</v>
      </c>
      <c r="Q15" s="86" t="s">
        <v>364</v>
      </c>
      <c r="R15" s="91">
        <v>30627</v>
      </c>
      <c r="S15" s="86" t="s">
        <v>507</v>
      </c>
      <c r="T15" s="90"/>
      <c r="U15" s="90"/>
    </row>
    <row r="16" spans="1:21" ht="54" x14ac:dyDescent="0.25">
      <c r="A16" s="86" t="str" cm="1">
        <f t="array" ref="A1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KIBE01</v>
      </c>
      <c r="B16" s="86" t="str">
        <f>UPPER(_xlfn.TEXTBEFORE(TRIM(tblPeople[[#This Row],[PersonName]])," "))</f>
        <v>WALTER</v>
      </c>
      <c r="C16" s="86" t="str">
        <f>UPPER(_xlfn.TEXTAFTER(TRIM(tblPeople[[#This Row],[PersonName]])," ",-1))</f>
        <v>KIBET</v>
      </c>
      <c r="D16" s="86" t="s">
        <v>10</v>
      </c>
      <c r="E16" s="86">
        <v>35075081</v>
      </c>
      <c r="F16" s="93" t="s">
        <v>497</v>
      </c>
      <c r="G16" s="93"/>
      <c r="H16" s="86" t="s">
        <v>196</v>
      </c>
      <c r="I16" s="87">
        <v>12</v>
      </c>
      <c r="J16" s="87"/>
      <c r="K16" s="88" t="s">
        <v>585</v>
      </c>
      <c r="L16" s="88" t="s">
        <v>432</v>
      </c>
      <c r="M16" s="86">
        <v>790900754</v>
      </c>
      <c r="N16" s="89" t="s">
        <v>321</v>
      </c>
      <c r="O16" s="91">
        <v>45721</v>
      </c>
      <c r="P16" s="86" t="s">
        <v>404</v>
      </c>
      <c r="Q16" s="86" t="s">
        <v>364</v>
      </c>
      <c r="R16" s="91">
        <v>36002</v>
      </c>
      <c r="S16" s="86" t="s">
        <v>504</v>
      </c>
      <c r="T16" s="90"/>
      <c r="U16" s="90"/>
    </row>
    <row r="17" spans="1:21" x14ac:dyDescent="0.25">
      <c r="A17" s="86" t="str" cm="1">
        <f t="array" ref="A1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KIBI01</v>
      </c>
      <c r="B17" s="86" t="str">
        <f>UPPER(_xlfn.TEXTBEFORE(TRIM(tblPeople[[#This Row],[PersonName]])," "))</f>
        <v>BERNARD</v>
      </c>
      <c r="C17" s="86" t="str">
        <f>UPPER(_xlfn.TEXTAFTER(TRIM(tblPeople[[#This Row],[PersonName]])," ",-1))</f>
        <v>KIBIWOTT</v>
      </c>
      <c r="D17" s="86" t="s">
        <v>70</v>
      </c>
      <c r="E17" s="86"/>
      <c r="F17" s="86"/>
      <c r="G17" s="86"/>
      <c r="H17" s="86"/>
      <c r="I17" s="87"/>
      <c r="J17" s="86"/>
      <c r="K17" s="88" t="s">
        <v>588</v>
      </c>
      <c r="L17" s="88" t="s">
        <v>291</v>
      </c>
      <c r="M17" s="86">
        <v>770404073</v>
      </c>
      <c r="N17" s="89" t="s">
        <v>322</v>
      </c>
      <c r="O17" s="86"/>
      <c r="P17" s="86"/>
      <c r="Q17" s="86" t="s">
        <v>364</v>
      </c>
      <c r="R17" s="86"/>
      <c r="S17" s="86"/>
      <c r="T17" s="90"/>
      <c r="U17" s="90"/>
    </row>
    <row r="18" spans="1:21" x14ac:dyDescent="0.25">
      <c r="A18" s="86" t="str" cm="1">
        <f t="array" ref="A1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KIHA01</v>
      </c>
      <c r="B18" s="86" t="str">
        <f>UPPER(_xlfn.TEXTBEFORE(TRIM(tblPeople[[#This Row],[PersonName]])," "))</f>
        <v>JOHN</v>
      </c>
      <c r="C18" s="86" t="str">
        <f>UPPER(_xlfn.TEXTAFTER(TRIM(tblPeople[[#This Row],[PersonName]])," ",-1))</f>
        <v>KIHARA</v>
      </c>
      <c r="D18" s="86" t="s">
        <v>151</v>
      </c>
      <c r="E18" s="86"/>
      <c r="F18" s="86"/>
      <c r="G18" s="86"/>
      <c r="H18" s="86"/>
      <c r="I18" s="87"/>
      <c r="J18" s="86"/>
      <c r="K18" s="88" t="s">
        <v>585</v>
      </c>
      <c r="L18" s="88" t="s">
        <v>288</v>
      </c>
      <c r="M18" s="86">
        <v>704705630</v>
      </c>
      <c r="N18" s="89" t="s">
        <v>323</v>
      </c>
      <c r="O18" s="86"/>
      <c r="P18" s="86"/>
      <c r="Q18" s="86" t="s">
        <v>364</v>
      </c>
      <c r="R18" s="86"/>
      <c r="S18" s="86"/>
      <c r="T18" s="90"/>
      <c r="U18" s="90"/>
    </row>
    <row r="19" spans="1:21" x14ac:dyDescent="0.25">
      <c r="A19" s="86" t="str" cm="1">
        <f t="array" ref="A1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KING01</v>
      </c>
      <c r="B19" s="86" t="str">
        <f>UPPER(_xlfn.TEXTBEFORE(TRIM(tblPeople[[#This Row],[PersonName]])," "))</f>
        <v>CHRISPUS</v>
      </c>
      <c r="C19" s="86" t="str">
        <f>UPPER(_xlfn.TEXTAFTER(TRIM(tblPeople[[#This Row],[PersonName]])," ",-1))</f>
        <v>KING'ORI</v>
      </c>
      <c r="D19" s="86" t="s">
        <v>66</v>
      </c>
      <c r="E19" s="86"/>
      <c r="F19" s="86"/>
      <c r="G19" s="86"/>
      <c r="H19" s="86"/>
      <c r="I19" s="87"/>
      <c r="J19" s="86"/>
      <c r="K19" s="88" t="s">
        <v>285</v>
      </c>
      <c r="L19" s="88" t="s">
        <v>288</v>
      </c>
      <c r="M19" s="86">
        <v>745217755</v>
      </c>
      <c r="N19" s="89" t="s">
        <v>324</v>
      </c>
      <c r="O19" s="86"/>
      <c r="P19" s="86"/>
      <c r="Q19" s="86" t="s">
        <v>364</v>
      </c>
      <c r="R19" s="86"/>
      <c r="S19" s="86"/>
      <c r="T19" s="90"/>
      <c r="U19" s="90"/>
    </row>
    <row r="20" spans="1:21" x14ac:dyDescent="0.25">
      <c r="A20" s="86" t="str" cm="1">
        <f t="array" ref="A2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KWAL01</v>
      </c>
      <c r="B20" s="86" t="str">
        <f>UPPER(_xlfn.TEXTBEFORE(TRIM(tblPeople[[#This Row],[PersonName]])," "))</f>
        <v>DUNSTAN</v>
      </c>
      <c r="C20" s="86" t="str">
        <f>UPPER(_xlfn.TEXTAFTER(TRIM(tblPeople[[#This Row],[PersonName]])," ",-1))</f>
        <v>KWALANDA</v>
      </c>
      <c r="D20" s="86" t="s">
        <v>61</v>
      </c>
      <c r="E20" s="86"/>
      <c r="F20" s="86"/>
      <c r="G20" s="86"/>
      <c r="H20" s="86"/>
      <c r="I20" s="87"/>
      <c r="J20" s="87"/>
      <c r="K20" s="88" t="s">
        <v>285</v>
      </c>
      <c r="L20" s="88" t="s">
        <v>288</v>
      </c>
      <c r="M20" s="86">
        <v>746340792</v>
      </c>
      <c r="N20" s="89" t="s">
        <v>325</v>
      </c>
      <c r="O20" s="86"/>
      <c r="P20" s="86"/>
      <c r="Q20" s="86" t="s">
        <v>364</v>
      </c>
      <c r="R20" s="86"/>
      <c r="S20" s="86"/>
      <c r="T20" s="90"/>
      <c r="U20" s="90"/>
    </row>
    <row r="21" spans="1:21" x14ac:dyDescent="0.25">
      <c r="A21" s="86" t="str" cm="1">
        <f t="array" ref="A2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MAGO01</v>
      </c>
      <c r="B21" s="86" t="str">
        <f>UPPER(_xlfn.TEXTBEFORE(TRIM(tblPeople[[#This Row],[PersonName]])," "))</f>
        <v>FRED</v>
      </c>
      <c r="C21" s="86" t="str">
        <f>UPPER(_xlfn.TEXTAFTER(TRIM(tblPeople[[#This Row],[PersonName]])," ",-1))</f>
        <v>MAGOTSI</v>
      </c>
      <c r="D21" s="86" t="s">
        <v>53</v>
      </c>
      <c r="E21" s="86">
        <v>20512380</v>
      </c>
      <c r="F21" s="86"/>
      <c r="G21" s="86"/>
      <c r="H21" s="86"/>
      <c r="I21" s="87" t="s">
        <v>201</v>
      </c>
      <c r="J21" s="87"/>
      <c r="K21" s="88" t="s">
        <v>285</v>
      </c>
      <c r="L21" s="88" t="s">
        <v>433</v>
      </c>
      <c r="M21" s="86">
        <v>737064864</v>
      </c>
      <c r="N21" s="89" t="s">
        <v>326</v>
      </c>
      <c r="O21" s="91">
        <v>43497</v>
      </c>
      <c r="P21" s="86" t="s">
        <v>404</v>
      </c>
      <c r="Q21" s="86" t="s">
        <v>364</v>
      </c>
      <c r="R21" s="91">
        <v>28635</v>
      </c>
      <c r="S21" s="86"/>
      <c r="T21" s="90"/>
      <c r="U21" s="90"/>
    </row>
    <row r="22" spans="1:21" ht="94.5" x14ac:dyDescent="0.25">
      <c r="A22" s="86" t="str" cm="1">
        <f t="array" ref="A2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MLAT01</v>
      </c>
      <c r="B22" s="86" t="str">
        <f>UPPER(_xlfn.TEXTBEFORE(TRIM(tblPeople[[#This Row],[PersonName]])," "))</f>
        <v>WILLIAM</v>
      </c>
      <c r="C22" s="86" t="str">
        <f>UPPER(_xlfn.TEXTAFTER(TRIM(tblPeople[[#This Row],[PersonName]])," ",-1))</f>
        <v>MLATI</v>
      </c>
      <c r="D22" s="86" t="s">
        <v>46</v>
      </c>
      <c r="E22" s="86">
        <v>23318157</v>
      </c>
      <c r="F22" s="93" t="s">
        <v>505</v>
      </c>
      <c r="G22" s="86"/>
      <c r="H22" s="86" t="s">
        <v>186</v>
      </c>
      <c r="I22" s="87">
        <v>1</v>
      </c>
      <c r="J22" s="92">
        <v>43423</v>
      </c>
      <c r="K22" s="88" t="s">
        <v>285</v>
      </c>
      <c r="L22" s="88" t="s">
        <v>594</v>
      </c>
      <c r="M22" s="86">
        <v>715338209</v>
      </c>
      <c r="N22" s="89" t="s">
        <v>328</v>
      </c>
      <c r="O22" s="91">
        <v>43017</v>
      </c>
      <c r="P22" s="86" t="s">
        <v>404</v>
      </c>
      <c r="Q22" s="86" t="s">
        <v>364</v>
      </c>
      <c r="R22" s="91">
        <v>30141</v>
      </c>
      <c r="S22" s="86" t="s">
        <v>424</v>
      </c>
      <c r="T22" s="90"/>
      <c r="U22" s="90"/>
    </row>
    <row r="23" spans="1:21" ht="81" x14ac:dyDescent="0.25">
      <c r="A23" s="86" t="str" cm="1">
        <f t="array" ref="A2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MOHA01</v>
      </c>
      <c r="B23" s="86" t="str">
        <f>UPPER(_xlfn.TEXTBEFORE(TRIM(tblPeople[[#This Row],[PersonName]])," "))</f>
        <v>MAJID</v>
      </c>
      <c r="C23" s="86" t="str">
        <f>UPPER(_xlfn.TEXTAFTER(TRIM(tblPeople[[#This Row],[PersonName]])," ",-1))</f>
        <v>MOHAMED</v>
      </c>
      <c r="D23" s="86" t="s">
        <v>152</v>
      </c>
      <c r="E23" s="86">
        <v>21640493</v>
      </c>
      <c r="F23" s="93" t="s">
        <v>498</v>
      </c>
      <c r="G23" s="93"/>
      <c r="H23" s="86" t="s">
        <v>203</v>
      </c>
      <c r="I23" s="87">
        <v>20</v>
      </c>
      <c r="J23" s="92">
        <v>45646</v>
      </c>
      <c r="K23" s="88" t="s">
        <v>285</v>
      </c>
      <c r="L23" s="88" t="s">
        <v>432</v>
      </c>
      <c r="M23" s="86">
        <v>727899666</v>
      </c>
      <c r="N23" s="89" t="s">
        <v>330</v>
      </c>
      <c r="O23" s="91">
        <v>45292</v>
      </c>
      <c r="P23" s="86" t="s">
        <v>399</v>
      </c>
      <c r="Q23" s="86" t="s">
        <v>364</v>
      </c>
      <c r="R23" s="91">
        <v>28461</v>
      </c>
      <c r="S23" s="86" t="s">
        <v>418</v>
      </c>
      <c r="T23" s="90" t="s">
        <v>492</v>
      </c>
      <c r="U23" s="90"/>
    </row>
    <row r="24" spans="1:21" ht="54" x14ac:dyDescent="0.25">
      <c r="A24" s="86" t="str" cm="1">
        <f t="array" ref="A2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MONG01</v>
      </c>
      <c r="B24" s="86" t="str">
        <f>UPPER(_xlfn.TEXTBEFORE(TRIM(tblPeople[[#This Row],[PersonName]])," "))</f>
        <v>THADEUS</v>
      </c>
      <c r="C24" s="86" t="str">
        <f>UPPER(_xlfn.TEXTAFTER(TRIM(tblPeople[[#This Row],[PersonName]])," ",-1))</f>
        <v>MONG’ARE</v>
      </c>
      <c r="D24" s="86" t="s">
        <v>96</v>
      </c>
      <c r="E24" s="86">
        <v>30340338</v>
      </c>
      <c r="F24" s="86" t="s">
        <v>499</v>
      </c>
      <c r="G24" s="93" t="s">
        <v>496</v>
      </c>
      <c r="H24" s="86" t="s">
        <v>303</v>
      </c>
      <c r="I24" s="87">
        <v>16</v>
      </c>
      <c r="J24" s="92">
        <v>46161</v>
      </c>
      <c r="K24" s="88" t="s">
        <v>585</v>
      </c>
      <c r="L24" s="88" t="s">
        <v>432</v>
      </c>
      <c r="M24" s="86">
        <v>713079830</v>
      </c>
      <c r="N24" s="89" t="s">
        <v>331</v>
      </c>
      <c r="O24" s="91">
        <v>44515</v>
      </c>
      <c r="P24" s="86" t="s">
        <v>399</v>
      </c>
      <c r="Q24" s="86" t="s">
        <v>364</v>
      </c>
      <c r="R24" s="91">
        <v>33873</v>
      </c>
      <c r="S24" s="86" t="s">
        <v>420</v>
      </c>
      <c r="T24" s="90"/>
      <c r="U24" s="90"/>
    </row>
    <row r="25" spans="1:21" x14ac:dyDescent="0.25">
      <c r="A25" s="86" t="s">
        <v>361</v>
      </c>
      <c r="B25" s="86" t="str">
        <f>UPPER(_xlfn.TEXTBEFORE(TRIM(tblPeople[[#This Row],[PersonName]])," "))</f>
        <v>JACKLINE</v>
      </c>
      <c r="C25" s="86" t="str">
        <f>UPPER(_xlfn.TEXTAFTER(TRIM(tblPeople[[#This Row],[PersonName]])," ",-1))</f>
        <v>MUEMBU</v>
      </c>
      <c r="D25" s="86" t="s">
        <v>155</v>
      </c>
      <c r="E25" s="86"/>
      <c r="F25" s="86"/>
      <c r="G25" s="86"/>
      <c r="H25" s="86"/>
      <c r="I25" s="87"/>
      <c r="J25" s="86"/>
      <c r="K25" s="88" t="s">
        <v>286</v>
      </c>
      <c r="L25" s="88" t="s">
        <v>294</v>
      </c>
      <c r="M25" s="86">
        <v>726909849</v>
      </c>
      <c r="N25" s="89" t="s">
        <v>332</v>
      </c>
      <c r="O25" s="86"/>
      <c r="P25" s="86"/>
      <c r="Q25" s="86" t="s">
        <v>364</v>
      </c>
      <c r="R25" s="86"/>
      <c r="S25" s="86"/>
      <c r="T25" s="90"/>
      <c r="U25" s="90"/>
    </row>
    <row r="26" spans="1:21" x14ac:dyDescent="0.25">
      <c r="A26" s="86" t="s">
        <v>156</v>
      </c>
      <c r="B26" s="86" t="str">
        <f>UPPER(_xlfn.TEXTBEFORE(TRIM(tblPeople[[#This Row],[PersonName]])," "))</f>
        <v>URBANUS</v>
      </c>
      <c r="C26" s="86" t="str">
        <f>UPPER(_xlfn.TEXTAFTER(TRIM(tblPeople[[#This Row],[PersonName]])," ",-1))</f>
        <v>MUEMA</v>
      </c>
      <c r="D26" s="86" t="s">
        <v>68</v>
      </c>
      <c r="E26" s="86"/>
      <c r="F26" s="86"/>
      <c r="G26" s="86"/>
      <c r="H26" s="86"/>
      <c r="I26" s="87"/>
      <c r="J26" s="86"/>
      <c r="K26" s="88" t="s">
        <v>285</v>
      </c>
      <c r="L26" s="88" t="s">
        <v>288</v>
      </c>
      <c r="M26" s="86">
        <v>721623780</v>
      </c>
      <c r="N26" s="89" t="s">
        <v>333</v>
      </c>
      <c r="O26" s="91">
        <v>44682</v>
      </c>
      <c r="P26" s="86" t="s">
        <v>399</v>
      </c>
      <c r="Q26" s="86" t="s">
        <v>364</v>
      </c>
      <c r="R26" s="86"/>
      <c r="S26" s="86"/>
      <c r="T26" s="90"/>
      <c r="U26" s="90"/>
    </row>
    <row r="27" spans="1:21" x14ac:dyDescent="0.25">
      <c r="A27" s="86" t="str" cm="1">
        <f t="array" ref="A2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MUGO01</v>
      </c>
      <c r="B27" s="86" t="str">
        <f>UPPER(_xlfn.TEXTBEFORE(TRIM(tblPeople[[#This Row],[PersonName]])," "))</f>
        <v>JAMES</v>
      </c>
      <c r="C27" s="86" t="str">
        <f>UPPER(_xlfn.TEXTAFTER(TRIM(tblPeople[[#This Row],[PersonName]])," ",-1))</f>
        <v>MUGO</v>
      </c>
      <c r="D27" s="86" t="s">
        <v>9</v>
      </c>
      <c r="E27" s="86"/>
      <c r="F27" s="86"/>
      <c r="G27" s="86"/>
      <c r="H27" s="86"/>
      <c r="I27" s="87"/>
      <c r="J27" s="86"/>
      <c r="K27" s="88" t="s">
        <v>285</v>
      </c>
      <c r="L27" s="88" t="s">
        <v>288</v>
      </c>
      <c r="M27" s="86">
        <v>724655657</v>
      </c>
      <c r="N27" s="89" t="s">
        <v>329</v>
      </c>
      <c r="O27" s="91">
        <v>43017</v>
      </c>
      <c r="P27" s="86" t="s">
        <v>404</v>
      </c>
      <c r="Q27" s="86" t="s">
        <v>364</v>
      </c>
      <c r="R27" s="91">
        <v>26374</v>
      </c>
      <c r="S27" s="86"/>
      <c r="T27" s="90"/>
      <c r="U27" s="90"/>
    </row>
    <row r="28" spans="1:21" x14ac:dyDescent="0.25">
      <c r="A28" s="86" t="str" cm="1">
        <f t="array" ref="A2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MUHA01</v>
      </c>
      <c r="B28" s="86" t="str">
        <f>UPPER(_xlfn.TEXTBEFORE(TRIM(tblPeople[[#This Row],[PersonName]])," "))</f>
        <v>PRUDENCE</v>
      </c>
      <c r="C28" s="86" t="str">
        <f>UPPER(_xlfn.TEXTAFTER(TRIM(tblPeople[[#This Row],[PersonName]])," ",-1))</f>
        <v>MUHAMI</v>
      </c>
      <c r="D28" s="86" t="s">
        <v>269</v>
      </c>
      <c r="E28" s="86"/>
      <c r="F28" s="86"/>
      <c r="G28" s="86"/>
      <c r="H28" s="86"/>
      <c r="I28" s="87"/>
      <c r="J28" s="87"/>
      <c r="K28" s="88" t="s">
        <v>284</v>
      </c>
      <c r="L28" s="88" t="s">
        <v>297</v>
      </c>
      <c r="M28" s="86">
        <v>759887944</v>
      </c>
      <c r="N28" s="89" t="s">
        <v>395</v>
      </c>
      <c r="O28" s="91">
        <v>46023</v>
      </c>
      <c r="P28" s="86" t="s">
        <v>399</v>
      </c>
      <c r="Q28" s="86" t="s">
        <v>364</v>
      </c>
      <c r="R28" s="91">
        <v>38731</v>
      </c>
      <c r="S28" s="86"/>
      <c r="T28" s="90"/>
      <c r="U28" s="90"/>
    </row>
    <row r="29" spans="1:21" x14ac:dyDescent="0.25">
      <c r="A29" s="86" t="str" cm="1">
        <f t="array" ref="A2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MUIS01</v>
      </c>
      <c r="B29" s="86" t="str">
        <f>UPPER(_xlfn.TEXTBEFORE(TRIM(tblPeople[[#This Row],[PersonName]])," "))</f>
        <v>JAMES</v>
      </c>
      <c r="C29" s="86" t="str">
        <f>UPPER(_xlfn.TEXTAFTER(TRIM(tblPeople[[#This Row],[PersonName]])," ",-1))</f>
        <v>MUISYO</v>
      </c>
      <c r="D29" s="86" t="s">
        <v>268</v>
      </c>
      <c r="E29" s="86">
        <v>37150714</v>
      </c>
      <c r="F29" s="86"/>
      <c r="G29" s="86"/>
      <c r="H29" s="86"/>
      <c r="I29" s="87"/>
      <c r="J29" s="87"/>
      <c r="K29" s="88" t="s">
        <v>301</v>
      </c>
      <c r="L29" s="88" t="s">
        <v>302</v>
      </c>
      <c r="M29" s="86">
        <v>719199733</v>
      </c>
      <c r="N29" s="89" t="s">
        <v>359</v>
      </c>
      <c r="O29" s="91">
        <v>46023</v>
      </c>
      <c r="P29" s="86" t="s">
        <v>399</v>
      </c>
      <c r="Q29" s="86" t="s">
        <v>364</v>
      </c>
      <c r="R29" s="91">
        <v>36508</v>
      </c>
      <c r="S29" s="86" t="s">
        <v>423</v>
      </c>
      <c r="T29" s="90"/>
      <c r="U29" s="90"/>
    </row>
    <row r="30" spans="1:21" x14ac:dyDescent="0.25">
      <c r="A30" s="86" t="s">
        <v>100</v>
      </c>
      <c r="B30" s="86" t="str">
        <f>UPPER(_xlfn.TEXTBEFORE(TRIM(tblPeople[[#This Row],[PersonName]])," "))</f>
        <v>JOHN</v>
      </c>
      <c r="C30" s="86" t="str">
        <f>UPPER(_xlfn.TEXTAFTER(TRIM(tblPeople[[#This Row],[PersonName]])," ",-1))</f>
        <v>MURIITHI</v>
      </c>
      <c r="D30" s="86" t="s">
        <v>48</v>
      </c>
      <c r="E30" s="86">
        <v>24958782</v>
      </c>
      <c r="F30" s="86" t="s">
        <v>493</v>
      </c>
      <c r="G30" s="86"/>
      <c r="H30" s="86" t="s">
        <v>204</v>
      </c>
      <c r="I30" s="87">
        <v>19</v>
      </c>
      <c r="J30" s="92">
        <v>45086</v>
      </c>
      <c r="K30" s="88" t="s">
        <v>585</v>
      </c>
      <c r="L30" s="88" t="s">
        <v>432</v>
      </c>
      <c r="M30" s="86">
        <v>727753764</v>
      </c>
      <c r="N30" s="89" t="s">
        <v>396</v>
      </c>
      <c r="O30" s="91">
        <v>43444</v>
      </c>
      <c r="P30" s="86" t="s">
        <v>399</v>
      </c>
      <c r="Q30" s="86" t="s">
        <v>364</v>
      </c>
      <c r="R30" s="91">
        <v>31755</v>
      </c>
      <c r="S30" s="86" t="s">
        <v>421</v>
      </c>
      <c r="T30" s="90"/>
      <c r="U30" s="90"/>
    </row>
    <row r="31" spans="1:21" ht="27" x14ac:dyDescent="0.25">
      <c r="A31" s="86" t="s">
        <v>135</v>
      </c>
      <c r="B31" s="86" t="str">
        <f>UPPER(_xlfn.TEXTBEFORE(TRIM(tblPeople[[#This Row],[PersonName]])," "))</f>
        <v>FRANCIS</v>
      </c>
      <c r="C31" s="86" t="str">
        <f>UPPER(_xlfn.TEXTAFTER(TRIM(tblPeople[[#This Row],[PersonName]])," ",-1))</f>
        <v>MURIUKI</v>
      </c>
      <c r="D31" s="86" t="s">
        <v>54</v>
      </c>
      <c r="E31" s="86">
        <v>22202120</v>
      </c>
      <c r="F31" s="93" t="s">
        <v>500</v>
      </c>
      <c r="G31" s="86"/>
      <c r="H31" s="86" t="s">
        <v>177</v>
      </c>
      <c r="I31" s="87">
        <v>9</v>
      </c>
      <c r="J31" s="92">
        <v>43914</v>
      </c>
      <c r="K31" s="88" t="s">
        <v>285</v>
      </c>
      <c r="L31" s="88" t="s">
        <v>595</v>
      </c>
      <c r="M31" s="86">
        <v>724795398</v>
      </c>
      <c r="N31" s="89" t="s">
        <v>334</v>
      </c>
      <c r="O31" s="91">
        <v>43678</v>
      </c>
      <c r="P31" s="86" t="s">
        <v>404</v>
      </c>
      <c r="Q31" s="86" t="s">
        <v>364</v>
      </c>
      <c r="R31" s="91">
        <v>28464</v>
      </c>
      <c r="S31" s="86" t="s">
        <v>422</v>
      </c>
      <c r="T31" s="90"/>
      <c r="U31" s="90"/>
    </row>
    <row r="32" spans="1:21" x14ac:dyDescent="0.25">
      <c r="A32" s="86" t="str" cm="1">
        <f t="array" ref="A3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MUSA01</v>
      </c>
      <c r="B32" s="86" t="str">
        <f>UPPER(_xlfn.TEXTBEFORE(TRIM(tblPeople[[#This Row],[PersonName]])," "))</f>
        <v>PATRICK</v>
      </c>
      <c r="C32" s="86" t="str">
        <f>UPPER(_xlfn.TEXTAFTER(TRIM(tblPeople[[#This Row],[PersonName]])," ",-1))</f>
        <v>MUSAU</v>
      </c>
      <c r="D32" s="86" t="s">
        <v>52</v>
      </c>
      <c r="E32" s="86"/>
      <c r="F32" s="86"/>
      <c r="G32" s="86"/>
      <c r="H32" s="86"/>
      <c r="I32" s="87"/>
      <c r="J32" s="86"/>
      <c r="K32" s="88" t="s">
        <v>588</v>
      </c>
      <c r="L32" s="88" t="s">
        <v>291</v>
      </c>
      <c r="M32" s="86">
        <v>728859691</v>
      </c>
      <c r="N32" s="89" t="s">
        <v>335</v>
      </c>
      <c r="O32" s="86"/>
      <c r="P32" s="86"/>
      <c r="Q32" s="86" t="s">
        <v>364</v>
      </c>
      <c r="R32" s="86"/>
      <c r="S32" s="86"/>
      <c r="T32" s="90"/>
      <c r="U32" s="90"/>
    </row>
    <row r="33" spans="1:21" x14ac:dyDescent="0.25">
      <c r="A33" s="86" t="s">
        <v>157</v>
      </c>
      <c r="B33" s="86" t="str">
        <f>UPPER(_xlfn.TEXTBEFORE(TRIM(tblPeople[[#This Row],[PersonName]])," "))</f>
        <v>STEPHEN</v>
      </c>
      <c r="C33" s="86" t="str">
        <f>UPPER(_xlfn.TEXTAFTER(TRIM(tblPeople[[#This Row],[PersonName]])," ",-1))</f>
        <v>MUTAMBU</v>
      </c>
      <c r="D33" s="86" t="s">
        <v>51</v>
      </c>
      <c r="E33" s="86"/>
      <c r="F33" s="86"/>
      <c r="G33" s="86"/>
      <c r="H33" s="86"/>
      <c r="I33" s="87"/>
      <c r="J33" s="86"/>
      <c r="K33" s="88" t="s">
        <v>285</v>
      </c>
      <c r="L33" s="88" t="s">
        <v>295</v>
      </c>
      <c r="M33" s="86">
        <v>727668204</v>
      </c>
      <c r="N33" s="89" t="s">
        <v>336</v>
      </c>
      <c r="O33" s="91">
        <v>43864</v>
      </c>
      <c r="P33" s="86" t="s">
        <v>404</v>
      </c>
      <c r="Q33" s="86" t="s">
        <v>364</v>
      </c>
      <c r="R33" s="86"/>
      <c r="S33" s="86"/>
      <c r="T33" s="90"/>
      <c r="U33" s="90"/>
    </row>
    <row r="34" spans="1:21" x14ac:dyDescent="0.25">
      <c r="A34" s="86" t="str" cm="1">
        <f t="array" ref="A3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MUSY01</v>
      </c>
      <c r="B34" s="86" t="str">
        <f>UPPER(_xlfn.TEXTBEFORE(TRIM(tblPeople[[#This Row],[PersonName]])," "))</f>
        <v>MOSES</v>
      </c>
      <c r="C34" s="86" t="str">
        <f>UPPER(_xlfn.TEXTAFTER(TRIM(tblPeople[[#This Row],[PersonName]])," ",-1))</f>
        <v>MUSYOKA</v>
      </c>
      <c r="D34" s="86" t="s">
        <v>63</v>
      </c>
      <c r="E34" s="86"/>
      <c r="F34" s="86"/>
      <c r="G34" s="86"/>
      <c r="H34" s="86"/>
      <c r="I34" s="87"/>
      <c r="J34" s="86"/>
      <c r="K34" s="88" t="s">
        <v>285</v>
      </c>
      <c r="L34" s="88" t="s">
        <v>288</v>
      </c>
      <c r="M34" s="86">
        <v>719274127</v>
      </c>
      <c r="N34" s="89" t="s">
        <v>337</v>
      </c>
      <c r="O34" s="86"/>
      <c r="P34" s="86"/>
      <c r="Q34" s="86" t="s">
        <v>364</v>
      </c>
      <c r="R34" s="86"/>
      <c r="S34" s="86"/>
      <c r="T34" s="90"/>
      <c r="U34" s="90"/>
    </row>
    <row r="35" spans="1:21" x14ac:dyDescent="0.25">
      <c r="A35" s="86" t="str" cm="1">
        <f t="array" ref="A3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MWAN01</v>
      </c>
      <c r="B35" s="86" t="str">
        <f>UPPER(_xlfn.TEXTBEFORE(TRIM(tblPeople[[#This Row],[PersonName]])," "))</f>
        <v>PHILIP</v>
      </c>
      <c r="C35" s="86" t="str">
        <f>UPPER(_xlfn.TEXTAFTER(TRIM(tblPeople[[#This Row],[PersonName]])," ",-1))</f>
        <v>MWANIA</v>
      </c>
      <c r="D35" s="86" t="s">
        <v>73</v>
      </c>
      <c r="E35" s="86">
        <v>7113683</v>
      </c>
      <c r="F35" s="86" t="s">
        <v>499</v>
      </c>
      <c r="G35" s="86"/>
      <c r="H35" s="86" t="s">
        <v>199</v>
      </c>
      <c r="I35" s="87">
        <v>5</v>
      </c>
      <c r="J35" s="92">
        <v>43423</v>
      </c>
      <c r="K35" s="88" t="s">
        <v>585</v>
      </c>
      <c r="L35" s="88" t="s">
        <v>432</v>
      </c>
      <c r="M35" s="86">
        <v>721244191</v>
      </c>
      <c r="N35" s="89" t="s">
        <v>338</v>
      </c>
      <c r="O35" s="91">
        <v>43020</v>
      </c>
      <c r="P35" s="86" t="s">
        <v>404</v>
      </c>
      <c r="Q35" s="86" t="s">
        <v>364</v>
      </c>
      <c r="R35" s="91">
        <v>21313</v>
      </c>
      <c r="S35" s="86" t="s">
        <v>416</v>
      </c>
      <c r="T35" s="90"/>
      <c r="U35" s="90"/>
    </row>
    <row r="36" spans="1:21" hidden="1" x14ac:dyDescent="0.25">
      <c r="A36" t="s">
        <v>113</v>
      </c>
      <c r="B36" t="str">
        <f>UPPER(_xlfn.TEXTBEFORE(TRIM(tblPeople[[#This Row],[PersonName]])," "))</f>
        <v>ANN</v>
      </c>
      <c r="C36" t="str">
        <f>UPPER(_xlfn.TEXTAFTER(TRIM(tblPeople[[#This Row],[PersonName]])," ",-1))</f>
        <v>MWANGI</v>
      </c>
      <c r="D36" t="s">
        <v>220</v>
      </c>
      <c r="E36"/>
      <c r="F36"/>
      <c r="G36"/>
      <c r="H36"/>
      <c r="I36"/>
      <c r="J36"/>
      <c r="K36" s="75"/>
      <c r="L36" s="75"/>
      <c r="M36"/>
      <c r="N36" s="49"/>
      <c r="O36"/>
      <c r="P36"/>
      <c r="Q36" t="s">
        <v>365</v>
      </c>
      <c r="R36"/>
      <c r="S36"/>
      <c r="T36"/>
      <c r="U36"/>
    </row>
    <row r="37" spans="1:21" x14ac:dyDescent="0.25">
      <c r="A37" s="86" t="s">
        <v>112</v>
      </c>
      <c r="B37" s="86" t="str">
        <f>UPPER(_xlfn.TEXTBEFORE(TRIM(tblPeople[[#This Row],[PersonName]])," "))</f>
        <v>PATRICK</v>
      </c>
      <c r="C37" s="86" t="str">
        <f>UPPER(_xlfn.TEXTAFTER(TRIM(tblPeople[[#This Row],[PersonName]])," ",-1))</f>
        <v>MWANGI</v>
      </c>
      <c r="D37" s="86" t="s">
        <v>74</v>
      </c>
      <c r="E37" s="86">
        <v>22230994</v>
      </c>
      <c r="F37" s="86"/>
      <c r="G37" s="86"/>
      <c r="H37" s="86"/>
      <c r="I37" s="87"/>
      <c r="J37" s="86"/>
      <c r="K37" s="88" t="s">
        <v>285</v>
      </c>
      <c r="L37" s="88" t="s">
        <v>288</v>
      </c>
      <c r="M37" s="86">
        <v>725672220</v>
      </c>
      <c r="N37" s="89" t="s">
        <v>339</v>
      </c>
      <c r="O37" s="86"/>
      <c r="P37" s="86"/>
      <c r="Q37" s="86" t="s">
        <v>364</v>
      </c>
      <c r="R37" s="86"/>
      <c r="S37" s="86"/>
      <c r="T37" s="90"/>
      <c r="U37" s="90"/>
    </row>
    <row r="38" spans="1:21" x14ac:dyDescent="0.25">
      <c r="A38" s="86" t="str" cm="1">
        <f t="array" ref="A3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MWAS01</v>
      </c>
      <c r="B38" s="86" t="str">
        <f>UPPER(_xlfn.TEXTBEFORE(TRIM(tblPeople[[#This Row],[PersonName]])," "))</f>
        <v>GIDEON</v>
      </c>
      <c r="C38" s="86" t="str">
        <f>UPPER(_xlfn.TEXTAFTER(TRIM(tblPeople[[#This Row],[PersonName]])," ",-1))</f>
        <v>MWASIO</v>
      </c>
      <c r="D38" s="86" t="s">
        <v>62</v>
      </c>
      <c r="E38" s="86">
        <v>27992914</v>
      </c>
      <c r="F38" s="86"/>
      <c r="G38" s="86"/>
      <c r="H38" s="86"/>
      <c r="I38" s="87"/>
      <c r="J38" s="86"/>
      <c r="K38" s="88" t="s">
        <v>285</v>
      </c>
      <c r="L38" s="88" t="s">
        <v>288</v>
      </c>
      <c r="M38" s="86">
        <v>728940429</v>
      </c>
      <c r="N38" s="89" t="s">
        <v>327</v>
      </c>
      <c r="O38" s="86"/>
      <c r="P38" s="86"/>
      <c r="Q38" s="86" t="s">
        <v>364</v>
      </c>
      <c r="R38" s="86"/>
      <c r="S38" s="86"/>
      <c r="T38" s="90"/>
      <c r="U38" s="90"/>
    </row>
    <row r="39" spans="1:21" ht="27" x14ac:dyDescent="0.25">
      <c r="A39" s="86" t="str" cm="1">
        <f t="array" ref="A3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MZER01</v>
      </c>
      <c r="B39" s="86" t="str">
        <f>UPPER(_xlfn.TEXTBEFORE(TRIM(tblPeople[[#This Row],[PersonName]])," "))</f>
        <v>PAUL</v>
      </c>
      <c r="C39" s="86" t="str">
        <f>UPPER(_xlfn.TEXTAFTER(TRIM(tblPeople[[#This Row],[PersonName]])," ",-1))</f>
        <v>MZERA</v>
      </c>
      <c r="D39" s="86" t="s">
        <v>43</v>
      </c>
      <c r="E39" s="86">
        <v>12546785</v>
      </c>
      <c r="F39" s="93" t="s">
        <v>500</v>
      </c>
      <c r="G39" s="93"/>
      <c r="H39" s="86" t="s">
        <v>205</v>
      </c>
      <c r="I39" s="87">
        <v>17</v>
      </c>
      <c r="J39" s="92">
        <v>44998</v>
      </c>
      <c r="K39" s="88" t="s">
        <v>285</v>
      </c>
      <c r="L39" s="88" t="s">
        <v>432</v>
      </c>
      <c r="M39" s="86">
        <v>726836889</v>
      </c>
      <c r="N39" s="89" t="s">
        <v>340</v>
      </c>
      <c r="O39" s="91">
        <v>44690</v>
      </c>
      <c r="P39" s="86" t="s">
        <v>399</v>
      </c>
      <c r="Q39" s="86" t="s">
        <v>364</v>
      </c>
      <c r="R39" s="91">
        <v>26907</v>
      </c>
      <c r="S39" s="86" t="s">
        <v>419</v>
      </c>
      <c r="T39" s="90"/>
      <c r="U39" s="90"/>
    </row>
    <row r="40" spans="1:21" ht="27" x14ac:dyDescent="0.25">
      <c r="A40" s="86" t="str" cm="1">
        <f t="array" ref="A4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NAMB01</v>
      </c>
      <c r="B40" s="86" t="str">
        <f>UPPER(_xlfn.TEXTBEFORE(TRIM(tblPeople[[#This Row],[PersonName]])," "))</f>
        <v>KENDRA</v>
      </c>
      <c r="C40" s="86" t="str">
        <f>UPPER(_xlfn.TEXTAFTER(TRIM(tblPeople[[#This Row],[PersonName]])," ",-1))</f>
        <v>NAMBISIA</v>
      </c>
      <c r="D40" s="86" t="s">
        <v>56</v>
      </c>
      <c r="E40" s="86">
        <v>34942427</v>
      </c>
      <c r="F40" s="93" t="s">
        <v>500</v>
      </c>
      <c r="G40" s="93"/>
      <c r="H40" s="86" t="s">
        <v>200</v>
      </c>
      <c r="I40" s="87">
        <v>10</v>
      </c>
      <c r="J40" s="92">
        <v>45785</v>
      </c>
      <c r="K40" s="88" t="s">
        <v>285</v>
      </c>
      <c r="L40" s="88" t="s">
        <v>432</v>
      </c>
      <c r="M40" s="86">
        <v>728789598</v>
      </c>
      <c r="N40" s="89" t="s">
        <v>341</v>
      </c>
      <c r="O40" s="91">
        <v>45047</v>
      </c>
      <c r="P40" s="86" t="s">
        <v>399</v>
      </c>
      <c r="Q40" s="86" t="s">
        <v>364</v>
      </c>
      <c r="R40" s="91">
        <v>35758</v>
      </c>
      <c r="S40" s="86" t="s">
        <v>418</v>
      </c>
      <c r="T40" s="90"/>
      <c r="U40" s="90"/>
    </row>
    <row r="41" spans="1:21" x14ac:dyDescent="0.25">
      <c r="A41" s="86" t="str" cm="1">
        <f t="array" ref="A4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NJIH01</v>
      </c>
      <c r="B41" s="86" t="str">
        <f>UPPER(_xlfn.TEXTBEFORE(TRIM(tblPeople[[#This Row],[PersonName]])," "))</f>
        <v>MICHAEL</v>
      </c>
      <c r="C41" s="86" t="str">
        <f>UPPER(_xlfn.TEXTAFTER(TRIM(tblPeople[[#This Row],[PersonName]])," ",-1))</f>
        <v>NJIHIA</v>
      </c>
      <c r="D41" s="86" t="s">
        <v>71</v>
      </c>
      <c r="E41" s="86"/>
      <c r="F41" s="86"/>
      <c r="G41" s="86"/>
      <c r="H41" s="86"/>
      <c r="I41" s="87"/>
      <c r="J41" s="86"/>
      <c r="K41" s="88" t="s">
        <v>588</v>
      </c>
      <c r="L41" s="88" t="s">
        <v>296</v>
      </c>
      <c r="M41" s="86">
        <v>711932358</v>
      </c>
      <c r="N41" s="89" t="s">
        <v>342</v>
      </c>
      <c r="O41" s="86"/>
      <c r="P41" s="86"/>
      <c r="Q41" s="86" t="s">
        <v>364</v>
      </c>
      <c r="R41" s="86"/>
      <c r="S41" s="86"/>
      <c r="T41" s="90"/>
      <c r="U41" s="90"/>
    </row>
    <row r="42" spans="1:21" x14ac:dyDescent="0.25">
      <c r="A42" s="86" t="str" cm="1">
        <f t="array" ref="A4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NTHA01</v>
      </c>
      <c r="B42" s="86" t="str">
        <f>UPPER(_xlfn.TEXTBEFORE(TRIM(tblPeople[[#This Row],[PersonName]])," "))</f>
        <v>ANGELINE</v>
      </c>
      <c r="C42" s="86" t="str">
        <f>UPPER(_xlfn.TEXTAFTER(TRIM(tblPeople[[#This Row],[PersonName]])," ",-1))</f>
        <v>NTHAKYO</v>
      </c>
      <c r="D42" s="86" t="s">
        <v>158</v>
      </c>
      <c r="E42" s="86">
        <v>37892224</v>
      </c>
      <c r="F42" s="86"/>
      <c r="G42" s="86"/>
      <c r="H42" s="86"/>
      <c r="I42" s="87"/>
      <c r="J42" s="86"/>
      <c r="K42" s="88" t="s">
        <v>285</v>
      </c>
      <c r="L42" s="88" t="s">
        <v>403</v>
      </c>
      <c r="M42" s="86">
        <v>796064248</v>
      </c>
      <c r="N42" s="89" t="s">
        <v>343</v>
      </c>
      <c r="O42" s="91">
        <v>45839</v>
      </c>
      <c r="P42" s="86" t="s">
        <v>399</v>
      </c>
      <c r="Q42" s="86" t="s">
        <v>364</v>
      </c>
      <c r="R42" s="86"/>
      <c r="S42" s="86"/>
      <c r="T42" s="90"/>
      <c r="U42" s="90"/>
    </row>
    <row r="43" spans="1:21" x14ac:dyDescent="0.25">
      <c r="A43" s="86" t="str" cm="1">
        <f t="array" ref="A4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NYAW01</v>
      </c>
      <c r="B43" s="86" t="str">
        <f>UPPER(_xlfn.TEXTBEFORE(TRIM(tblPeople[[#This Row],[PersonName]])," "))</f>
        <v>JULIUS</v>
      </c>
      <c r="C43" s="86" t="str">
        <f>UPPER(_xlfn.TEXTAFTER(TRIM(tblPeople[[#This Row],[PersonName]])," ",-1))</f>
        <v>NYAWIRA</v>
      </c>
      <c r="D43" s="86" t="s">
        <v>45</v>
      </c>
      <c r="E43" s="86"/>
      <c r="F43" s="86"/>
      <c r="G43" s="86"/>
      <c r="H43" s="86"/>
      <c r="I43" s="87"/>
      <c r="J43" s="86"/>
      <c r="K43" s="88" t="s">
        <v>285</v>
      </c>
      <c r="L43" s="88" t="s">
        <v>288</v>
      </c>
      <c r="M43" s="86">
        <v>717711173</v>
      </c>
      <c r="N43" s="89" t="s">
        <v>317</v>
      </c>
      <c r="O43" s="91">
        <v>43017</v>
      </c>
      <c r="P43" s="86" t="s">
        <v>404</v>
      </c>
      <c r="Q43" s="86" t="s">
        <v>364</v>
      </c>
      <c r="R43" s="86"/>
      <c r="S43" s="86"/>
      <c r="T43" s="90"/>
      <c r="U43" s="90"/>
    </row>
    <row r="44" spans="1:21" x14ac:dyDescent="0.25">
      <c r="A44" s="86" t="str" cm="1">
        <f t="array" ref="A4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OKEL01</v>
      </c>
      <c r="B44" s="86" t="str">
        <f>UPPER(_xlfn.TEXTBEFORE(TRIM(tblPeople[[#This Row],[PersonName]])," "))</f>
        <v>ROMY</v>
      </c>
      <c r="C44" s="86" t="str">
        <f>UPPER(_xlfn.TEXTAFTER(TRIM(tblPeople[[#This Row],[PersonName]])," ",-1))</f>
        <v>OKELLO</v>
      </c>
      <c r="D44" s="86" t="s">
        <v>159</v>
      </c>
      <c r="E44" s="86">
        <v>36941516</v>
      </c>
      <c r="F44" s="86"/>
      <c r="G44" s="86"/>
      <c r="H44" s="86"/>
      <c r="I44" s="87"/>
      <c r="J44" s="86"/>
      <c r="K44" s="88" t="s">
        <v>285</v>
      </c>
      <c r="L44" s="88" t="s">
        <v>403</v>
      </c>
      <c r="M44" s="86">
        <v>792119030</v>
      </c>
      <c r="N44" s="89" t="s">
        <v>344</v>
      </c>
      <c r="O44" s="91">
        <v>45839</v>
      </c>
      <c r="P44" s="86" t="s">
        <v>399</v>
      </c>
      <c r="Q44" s="86" t="s">
        <v>364</v>
      </c>
      <c r="R44" s="86"/>
      <c r="S44" s="86"/>
      <c r="T44" s="90"/>
      <c r="U44" s="90"/>
    </row>
    <row r="45" spans="1:21" x14ac:dyDescent="0.25">
      <c r="A45" s="86" t="str" cm="1">
        <f t="array" ref="A4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OKOT01</v>
      </c>
      <c r="B45" s="86" t="str">
        <f>UPPER(_xlfn.TEXTBEFORE(TRIM(tblPeople[[#This Row],[PersonName]])," "))</f>
        <v>SAMUEL</v>
      </c>
      <c r="C45" s="86" t="str">
        <f>UPPER(_xlfn.TEXTAFTER(TRIM(tblPeople[[#This Row],[PersonName]])," ",-1))</f>
        <v>OKOTH</v>
      </c>
      <c r="D45" s="86" t="s">
        <v>114</v>
      </c>
      <c r="E45" s="86">
        <v>25338404</v>
      </c>
      <c r="F45" s="86"/>
      <c r="G45" s="86"/>
      <c r="H45" s="86"/>
      <c r="I45" s="87"/>
      <c r="J45" s="86"/>
      <c r="K45" s="88" t="s">
        <v>285</v>
      </c>
      <c r="L45" s="88" t="s">
        <v>288</v>
      </c>
      <c r="M45" s="86">
        <v>723219459</v>
      </c>
      <c r="N45" s="89" t="s">
        <v>345</v>
      </c>
      <c r="O45" s="91">
        <v>44682</v>
      </c>
      <c r="P45" s="86"/>
      <c r="Q45" s="86" t="s">
        <v>364</v>
      </c>
      <c r="R45" s="91">
        <v>31540</v>
      </c>
      <c r="S45" s="86"/>
      <c r="T45" s="90"/>
      <c r="U45" s="90"/>
    </row>
    <row r="46" spans="1:21" x14ac:dyDescent="0.25">
      <c r="A46" s="86" t="str" cm="1">
        <f t="array" ref="A4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OLUN01</v>
      </c>
      <c r="B46" s="86" t="str">
        <f>UPPER(_xlfn.TEXTBEFORE(TRIM(tblPeople[[#This Row],[PersonName]])," "))</f>
        <v>MICHAEL</v>
      </c>
      <c r="C46" s="86" t="str">
        <f>UPPER(_xlfn.TEXTAFTER(TRIM(tblPeople[[#This Row],[PersonName]])," ",-1))</f>
        <v>OLUNGA</v>
      </c>
      <c r="D46" s="86" t="s">
        <v>108</v>
      </c>
      <c r="E46" s="86"/>
      <c r="F46" s="86"/>
      <c r="G46" s="86"/>
      <c r="H46" s="86"/>
      <c r="I46" s="87"/>
      <c r="J46" s="86"/>
      <c r="K46" s="88" t="s">
        <v>588</v>
      </c>
      <c r="L46" s="88" t="s">
        <v>296</v>
      </c>
      <c r="M46" s="86">
        <v>728446170</v>
      </c>
      <c r="N46" s="89" t="s">
        <v>346</v>
      </c>
      <c r="O46" s="86"/>
      <c r="P46" s="86"/>
      <c r="Q46" s="86" t="s">
        <v>364</v>
      </c>
      <c r="R46" s="86"/>
      <c r="S46" s="86"/>
      <c r="T46" s="90"/>
      <c r="U46" s="90"/>
    </row>
    <row r="47" spans="1:21" hidden="1" x14ac:dyDescent="0.25">
      <c r="A47" t="str" cm="1">
        <f t="array" ref="A4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OMON01</v>
      </c>
      <c r="B47" t="str">
        <f>UPPER(_xlfn.TEXTBEFORE(TRIM(tblPeople[[#This Row],[PersonName]])," "))</f>
        <v>WALTER</v>
      </c>
      <c r="C47" t="str">
        <f>UPPER(_xlfn.TEXTAFTER(TRIM(tblPeople[[#This Row],[PersonName]])," ",-1))</f>
        <v>OMONDI</v>
      </c>
      <c r="D47" t="s">
        <v>160</v>
      </c>
      <c r="E47"/>
      <c r="F47"/>
      <c r="G47"/>
      <c r="H47"/>
      <c r="I47"/>
      <c r="J47"/>
      <c r="K47" s="75"/>
      <c r="L47" s="75"/>
      <c r="M47"/>
      <c r="N47"/>
      <c r="O47"/>
      <c r="P47"/>
      <c r="Q47" t="s">
        <v>365</v>
      </c>
      <c r="R47"/>
      <c r="S47"/>
      <c r="T47"/>
      <c r="U47"/>
    </row>
    <row r="48" spans="1:21" x14ac:dyDescent="0.25">
      <c r="A48" s="86" t="str" cm="1">
        <f t="array" ref="A4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OMON02</v>
      </c>
      <c r="B48" s="86" t="str">
        <f>UPPER(_xlfn.TEXTBEFORE(TRIM(tblPeople[[#This Row],[PersonName]])," "))</f>
        <v>FRANCIS</v>
      </c>
      <c r="C48" s="86" t="str">
        <f>UPPER(_xlfn.TEXTAFTER(TRIM(tblPeople[[#This Row],[PersonName]])," ",-1))</f>
        <v>OMONDI</v>
      </c>
      <c r="D48" s="86" t="s">
        <v>67</v>
      </c>
      <c r="E48" s="86">
        <v>22135396</v>
      </c>
      <c r="F48" s="86"/>
      <c r="G48" s="86"/>
      <c r="H48" s="86"/>
      <c r="I48" s="87"/>
      <c r="J48" s="86"/>
      <c r="K48" s="88" t="s">
        <v>285</v>
      </c>
      <c r="L48" s="88" t="s">
        <v>298</v>
      </c>
      <c r="M48" s="86">
        <v>711878497</v>
      </c>
      <c r="N48" s="89" t="s">
        <v>347</v>
      </c>
      <c r="O48" s="91">
        <v>43482</v>
      </c>
      <c r="P48" s="86" t="s">
        <v>404</v>
      </c>
      <c r="Q48" s="86" t="s">
        <v>364</v>
      </c>
      <c r="R48" s="91">
        <v>29221</v>
      </c>
      <c r="S48" s="86"/>
      <c r="T48" s="90"/>
      <c r="U48" s="90"/>
    </row>
    <row r="49" spans="1:21" ht="27" x14ac:dyDescent="0.25">
      <c r="A49" s="86" t="s">
        <v>210</v>
      </c>
      <c r="B49" s="86" t="str">
        <f>UPPER(_xlfn.TEXTBEFORE(TRIM(tblPeople[[#This Row],[PersonName]])," "))</f>
        <v>ANDREW</v>
      </c>
      <c r="C49" s="86" t="str">
        <f>UPPER(_xlfn.TEXTAFTER(TRIM(tblPeople[[#This Row],[PersonName]])," ",-1))</f>
        <v>ONDIEK</v>
      </c>
      <c r="D49" s="86" t="s">
        <v>162</v>
      </c>
      <c r="E49" s="86">
        <v>27083706</v>
      </c>
      <c r="F49" s="93" t="s">
        <v>500</v>
      </c>
      <c r="G49" s="93"/>
      <c r="H49" s="86" t="s">
        <v>209</v>
      </c>
      <c r="I49" s="87"/>
      <c r="J49" s="86"/>
      <c r="K49" s="88" t="s">
        <v>285</v>
      </c>
      <c r="L49" s="88" t="s">
        <v>289</v>
      </c>
      <c r="M49" s="86">
        <v>711816547</v>
      </c>
      <c r="N49" s="89" t="s">
        <v>348</v>
      </c>
      <c r="O49" s="91">
        <v>45839</v>
      </c>
      <c r="P49" s="86" t="s">
        <v>399</v>
      </c>
      <c r="Q49" s="86" t="s">
        <v>364</v>
      </c>
      <c r="R49" s="91">
        <v>31498</v>
      </c>
      <c r="S49" s="86"/>
      <c r="T49" s="90"/>
      <c r="U49" s="90"/>
    </row>
    <row r="50" spans="1:21" hidden="1" x14ac:dyDescent="0.25">
      <c r="A50" t="str" cm="1">
        <f t="array" ref="A5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ONYA01</v>
      </c>
      <c r="B50" t="str">
        <f>UPPER(_xlfn.TEXTBEFORE(TRIM(tblPeople[[#This Row],[PersonName]])," "))</f>
        <v>DOUGLAS</v>
      </c>
      <c r="C50" t="str">
        <f>UPPER(_xlfn.TEXTAFTER(TRIM(tblPeople[[#This Row],[PersonName]])," ",-1))</f>
        <v>ONYANDO</v>
      </c>
      <c r="D50" t="s">
        <v>163</v>
      </c>
      <c r="E50"/>
      <c r="F50"/>
      <c r="G50"/>
      <c r="H50"/>
      <c r="I50"/>
      <c r="J50"/>
      <c r="K50" s="75"/>
      <c r="L50" s="75"/>
      <c r="M50"/>
      <c r="N50"/>
      <c r="O50"/>
      <c r="P50"/>
      <c r="Q50" t="s">
        <v>365</v>
      </c>
      <c r="R50"/>
      <c r="S50"/>
      <c r="T50"/>
      <c r="U50"/>
    </row>
    <row r="51" spans="1:21" x14ac:dyDescent="0.25">
      <c r="A51" s="86" t="str" cm="1">
        <f t="array" ref="A5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OTIE01</v>
      </c>
      <c r="B51" s="86" t="str">
        <f>UPPER(_xlfn.TEXTBEFORE(TRIM(tblPeople[[#This Row],[PersonName]])," "))</f>
        <v>REUBEN</v>
      </c>
      <c r="C51" s="86" t="str">
        <f>UPPER(_xlfn.TEXTAFTER(TRIM(tblPeople[[#This Row],[PersonName]])," ",-1))</f>
        <v>OTIENO</v>
      </c>
      <c r="D51" s="86" t="s">
        <v>64</v>
      </c>
      <c r="E51" s="86"/>
      <c r="F51" s="86"/>
      <c r="G51" s="86"/>
      <c r="H51" s="86"/>
      <c r="I51" s="87"/>
      <c r="J51" s="86"/>
      <c r="K51" s="88" t="s">
        <v>285</v>
      </c>
      <c r="L51" s="88" t="s">
        <v>288</v>
      </c>
      <c r="M51" s="86">
        <v>713776205</v>
      </c>
      <c r="N51" s="89" t="s">
        <v>349</v>
      </c>
      <c r="O51" s="86"/>
      <c r="P51" s="86"/>
      <c r="Q51" s="86" t="s">
        <v>364</v>
      </c>
      <c r="R51" s="86"/>
      <c r="S51" s="86"/>
      <c r="T51" s="90"/>
      <c r="U51" s="90"/>
    </row>
    <row r="52" spans="1:21" x14ac:dyDescent="0.25">
      <c r="A52" s="86" t="str" cm="1">
        <f t="array" ref="A5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PETE01</v>
      </c>
      <c r="B52" s="86" t="str">
        <f>UPPER(_xlfn.TEXTBEFORE(TRIM(tblPeople[[#This Row],[PersonName]])," "))</f>
        <v>ERICK</v>
      </c>
      <c r="C52" s="86" t="str">
        <f>UPPER(_xlfn.TEXTAFTER(TRIM(tblPeople[[#This Row],[PersonName]])," ",-1))</f>
        <v>PETER</v>
      </c>
      <c r="D52" s="86" t="s">
        <v>115</v>
      </c>
      <c r="E52" s="86"/>
      <c r="F52" s="86"/>
      <c r="G52" s="86"/>
      <c r="H52" s="86"/>
      <c r="I52" s="87"/>
      <c r="J52" s="86"/>
      <c r="K52" s="88" t="s">
        <v>299</v>
      </c>
      <c r="L52" s="88" t="s">
        <v>300</v>
      </c>
      <c r="M52" s="86">
        <v>717638106</v>
      </c>
      <c r="N52" s="89" t="s">
        <v>350</v>
      </c>
      <c r="O52" s="86"/>
      <c r="P52" s="86"/>
      <c r="Q52" s="86" t="s">
        <v>364</v>
      </c>
      <c r="R52" s="86"/>
      <c r="S52" s="86"/>
      <c r="T52" s="90"/>
      <c r="U52" s="90"/>
    </row>
    <row r="53" spans="1:21" hidden="1" x14ac:dyDescent="0.25">
      <c r="A53" t="str" cm="1">
        <f t="array" ref="A5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ROTI01</v>
      </c>
      <c r="B53" t="str">
        <f>UPPER(_xlfn.TEXTBEFORE(TRIM(tblPeople[[#This Row],[PersonName]])," "))</f>
        <v>PATRICK</v>
      </c>
      <c r="C53" t="str">
        <f>UPPER(_xlfn.TEXTAFTER(TRIM(tblPeople[[#This Row],[PersonName]])," ",-1))</f>
        <v>ROTICH</v>
      </c>
      <c r="D53" t="s">
        <v>164</v>
      </c>
      <c r="E53"/>
      <c r="F53"/>
      <c r="G53"/>
      <c r="H53"/>
      <c r="I53"/>
      <c r="J53"/>
      <c r="K53" s="75"/>
      <c r="L53" s="75"/>
      <c r="M53"/>
      <c r="N53"/>
      <c r="O53"/>
      <c r="P53"/>
      <c r="Q53" t="s">
        <v>365</v>
      </c>
      <c r="R53"/>
      <c r="S53"/>
      <c r="T53"/>
      <c r="U53"/>
    </row>
    <row r="54" spans="1:21" x14ac:dyDescent="0.25">
      <c r="A54" s="86" t="str" cm="1">
        <f t="array" ref="A5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SAWE01</v>
      </c>
      <c r="B54" s="86" t="str">
        <f>UPPER(_xlfn.TEXTBEFORE(TRIM(tblPeople[[#This Row],[PersonName]])," "))</f>
        <v>SYDNEY</v>
      </c>
      <c r="C54" s="86" t="str">
        <f>UPPER(_xlfn.TEXTAFTER(TRIM(tblPeople[[#This Row],[PersonName]])," ",-1))</f>
        <v>SAWE</v>
      </c>
      <c r="D54" s="86" t="s">
        <v>69</v>
      </c>
      <c r="E54" s="86"/>
      <c r="F54" s="86"/>
      <c r="G54" s="86"/>
      <c r="H54" s="86"/>
      <c r="I54" s="87"/>
      <c r="J54" s="86"/>
      <c r="K54" s="88" t="s">
        <v>285</v>
      </c>
      <c r="L54" s="88" t="s">
        <v>288</v>
      </c>
      <c r="M54" s="86">
        <v>716237164</v>
      </c>
      <c r="N54" s="89" t="s">
        <v>351</v>
      </c>
      <c r="O54" s="91">
        <v>44682</v>
      </c>
      <c r="P54" s="86"/>
      <c r="Q54" s="86" t="s">
        <v>364</v>
      </c>
      <c r="R54" s="91">
        <v>35632</v>
      </c>
      <c r="S54" s="86"/>
      <c r="T54" s="90"/>
      <c r="U54" s="90"/>
    </row>
    <row r="55" spans="1:21" ht="54" x14ac:dyDescent="0.25">
      <c r="A55" s="86" t="str" cm="1">
        <f t="array" ref="A5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SHUN01</v>
      </c>
      <c r="B55" s="86" t="str">
        <f>UPPER(_xlfn.TEXTBEFORE(TRIM(tblPeople[[#This Row],[PersonName]])," "))</f>
        <v>TITUS</v>
      </c>
      <c r="C55" s="86" t="str">
        <f>UPPER(_xlfn.TEXTAFTER(TRIM(tblPeople[[#This Row],[PersonName]])," ",-1))</f>
        <v>SHUNZA</v>
      </c>
      <c r="D55" s="86" t="s">
        <v>65</v>
      </c>
      <c r="E55" s="86">
        <v>14678891</v>
      </c>
      <c r="F55" s="93" t="s">
        <v>501</v>
      </c>
      <c r="G55" s="93"/>
      <c r="H55" s="86" t="s">
        <v>206</v>
      </c>
      <c r="I55" s="87">
        <v>14</v>
      </c>
      <c r="J55" s="92">
        <v>44645</v>
      </c>
      <c r="K55" s="88" t="s">
        <v>285</v>
      </c>
      <c r="L55" s="88" t="s">
        <v>432</v>
      </c>
      <c r="M55" s="86">
        <v>720323580</v>
      </c>
      <c r="N55" s="89" t="s">
        <v>352</v>
      </c>
      <c r="O55" s="91">
        <v>44501</v>
      </c>
      <c r="P55" s="86" t="s">
        <v>399</v>
      </c>
      <c r="Q55" s="86" t="s">
        <v>364</v>
      </c>
      <c r="R55" s="91">
        <v>27796</v>
      </c>
      <c r="S55" s="86" t="s">
        <v>420</v>
      </c>
      <c r="T55" s="90"/>
      <c r="U55" s="90"/>
    </row>
    <row r="56" spans="1:21" hidden="1" x14ac:dyDescent="0.25">
      <c r="A56" t="str" cm="1">
        <f t="array" ref="A5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SWAK01</v>
      </c>
      <c r="B56" t="str">
        <f>UPPER(_xlfn.TEXTBEFORE(TRIM(tblPeople[[#This Row],[PersonName]])," "))</f>
        <v>FREDRICK</v>
      </c>
      <c r="C56" t="str">
        <f>UPPER(_xlfn.TEXTAFTER(TRIM(tblPeople[[#This Row],[PersonName]])," ",-1))</f>
        <v>SWAKA</v>
      </c>
      <c r="D56" t="s">
        <v>165</v>
      </c>
      <c r="E56"/>
      <c r="F56"/>
      <c r="G56"/>
      <c r="H56"/>
      <c r="I56"/>
      <c r="J56"/>
      <c r="K56" s="75"/>
      <c r="L56" s="75"/>
      <c r="M56"/>
      <c r="N56"/>
      <c r="O56"/>
      <c r="P56"/>
      <c r="Q56" t="s">
        <v>365</v>
      </c>
      <c r="R56"/>
      <c r="S56"/>
      <c r="T56"/>
      <c r="U56"/>
    </row>
    <row r="57" spans="1:21" x14ac:dyDescent="0.25">
      <c r="A57" s="86" t="str" cm="1">
        <f t="array" ref="A5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TUNJ01</v>
      </c>
      <c r="B57" s="86" t="str">
        <f>UPPER(_xlfn.TEXTBEFORE(TRIM(tblPeople[[#This Row],[PersonName]])," "))</f>
        <v>STEPHEN</v>
      </c>
      <c r="C57" s="86" t="str">
        <f>UPPER(_xlfn.TEXTAFTER(TRIM(tblPeople[[#This Row],[PersonName]])," ",-1))</f>
        <v>TUNJE</v>
      </c>
      <c r="D57" s="86" t="s">
        <v>60</v>
      </c>
      <c r="E57" s="86"/>
      <c r="F57" s="86"/>
      <c r="G57" s="86"/>
      <c r="H57" s="86"/>
      <c r="I57" s="87"/>
      <c r="J57" s="86"/>
      <c r="K57" s="88" t="s">
        <v>285</v>
      </c>
      <c r="L57" s="88" t="s">
        <v>288</v>
      </c>
      <c r="M57" s="86">
        <v>720433843</v>
      </c>
      <c r="N57" s="89" t="s">
        <v>353</v>
      </c>
      <c r="O57" s="91"/>
      <c r="P57" s="86"/>
      <c r="Q57" s="86" t="s">
        <v>364</v>
      </c>
      <c r="R57" s="91">
        <v>32780</v>
      </c>
      <c r="S57" s="86"/>
      <c r="T57" s="90"/>
      <c r="U57" s="90"/>
    </row>
    <row r="58" spans="1:21" x14ac:dyDescent="0.25">
      <c r="A58" s="86" t="str" cm="1">
        <f t="array" ref="A5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WACH01</v>
      </c>
      <c r="B58" s="86" t="str">
        <f>UPPER(_xlfn.TEXTBEFORE(TRIM(tblPeople[[#This Row],[PersonName]])," "))</f>
        <v>SAMUEL</v>
      </c>
      <c r="C58" s="86" t="str">
        <f>UPPER(_xlfn.TEXTAFTER(TRIM(tblPeople[[#This Row],[PersonName]])," ",-1))</f>
        <v>WACHO</v>
      </c>
      <c r="D58" s="86" t="s">
        <v>59</v>
      </c>
      <c r="E58" s="86">
        <v>29624859</v>
      </c>
      <c r="F58" s="86"/>
      <c r="G58" s="86"/>
      <c r="H58" s="86"/>
      <c r="I58" s="87" t="s">
        <v>212</v>
      </c>
      <c r="J58" s="86"/>
      <c r="K58" s="88" t="s">
        <v>285</v>
      </c>
      <c r="L58" s="88" t="s">
        <v>433</v>
      </c>
      <c r="M58" s="86">
        <v>715358639</v>
      </c>
      <c r="N58" s="89" t="s">
        <v>354</v>
      </c>
      <c r="O58" s="91">
        <v>45055</v>
      </c>
      <c r="P58" s="86" t="s">
        <v>399</v>
      </c>
      <c r="Q58" s="86" t="s">
        <v>364</v>
      </c>
      <c r="R58" s="86"/>
      <c r="S58" s="86"/>
      <c r="T58" s="90"/>
      <c r="U58" s="90"/>
    </row>
    <row r="59" spans="1:21" x14ac:dyDescent="0.25">
      <c r="A59" s="86" t="s">
        <v>97</v>
      </c>
      <c r="B59" s="86" t="str">
        <f>UPPER(_xlfn.TEXTBEFORE(TRIM(tblPeople[[#This Row],[PersonName]])," "))</f>
        <v>THOMAS</v>
      </c>
      <c r="C59" s="86" t="str">
        <f>UPPER(_xlfn.TEXTAFTER(TRIM(tblPeople[[#This Row],[PersonName]])," ",-1))</f>
        <v>WAMBUNYA</v>
      </c>
      <c r="D59" s="86" t="s">
        <v>47</v>
      </c>
      <c r="E59" s="86">
        <v>27294321</v>
      </c>
      <c r="F59" s="86"/>
      <c r="G59" s="86"/>
      <c r="H59" s="86"/>
      <c r="I59" s="87"/>
      <c r="J59" s="86"/>
      <c r="K59" s="88" t="s">
        <v>285</v>
      </c>
      <c r="L59" s="88" t="s">
        <v>288</v>
      </c>
      <c r="M59" s="86">
        <v>721997384</v>
      </c>
      <c r="N59" s="96" t="s">
        <v>355</v>
      </c>
      <c r="O59" s="91"/>
      <c r="P59" s="86"/>
      <c r="Q59" s="86" t="s">
        <v>364</v>
      </c>
      <c r="R59" s="91">
        <v>31392</v>
      </c>
      <c r="S59" s="86"/>
      <c r="T59" s="90"/>
      <c r="U59" s="90"/>
    </row>
    <row r="60" spans="1:21" x14ac:dyDescent="0.25">
      <c r="A60" s="86" t="s">
        <v>166</v>
      </c>
      <c r="B60" s="86" t="str">
        <f>UPPER(_xlfn.TEXTBEFORE(TRIM(tblPeople[[#This Row],[PersonName]])," "))</f>
        <v>HANNAH</v>
      </c>
      <c r="C60" s="86" t="str">
        <f>UPPER(_xlfn.TEXTAFTER(TRIM(tblPeople[[#This Row],[PersonName]])," ",-1))</f>
        <v>WAMBUI</v>
      </c>
      <c r="D60" s="86" t="s">
        <v>11</v>
      </c>
      <c r="E60" s="86">
        <v>31506337</v>
      </c>
      <c r="F60" s="86"/>
      <c r="G60" s="86"/>
      <c r="H60" s="86"/>
      <c r="I60" s="87"/>
      <c r="J60" s="86"/>
      <c r="K60" s="88" t="s">
        <v>286</v>
      </c>
      <c r="L60" s="88" t="s">
        <v>509</v>
      </c>
      <c r="M60" s="86">
        <v>799477813</v>
      </c>
      <c r="N60" s="89" t="s">
        <v>356</v>
      </c>
      <c r="O60" s="91">
        <v>45761</v>
      </c>
      <c r="P60" s="86" t="s">
        <v>404</v>
      </c>
      <c r="Q60" s="86" t="s">
        <v>364</v>
      </c>
      <c r="R60" s="91">
        <v>34392</v>
      </c>
      <c r="S60" s="86"/>
      <c r="T60" s="90"/>
      <c r="U60" s="90"/>
    </row>
    <row r="61" spans="1:21" x14ac:dyDescent="0.25">
      <c r="A61" s="86" t="str" cm="1">
        <f t="array" ref="A6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WAND01</v>
      </c>
      <c r="B61" s="86" t="str">
        <f>UPPER(_xlfn.TEXTBEFORE(TRIM(tblPeople[[#This Row],[PersonName]])," "))</f>
        <v>JUDITH</v>
      </c>
      <c r="C61" s="86" t="str">
        <f>UPPER(_xlfn.TEXTAFTER(TRIM(tblPeople[[#This Row],[PersonName]])," ",-1))</f>
        <v>WANDERA</v>
      </c>
      <c r="D61" s="86" t="s">
        <v>146</v>
      </c>
      <c r="E61" s="86"/>
      <c r="F61" s="86"/>
      <c r="G61" s="86"/>
      <c r="H61" s="86"/>
      <c r="I61" s="87"/>
      <c r="J61" s="86"/>
      <c r="K61" s="88" t="s">
        <v>284</v>
      </c>
      <c r="L61" s="88" t="s">
        <v>297</v>
      </c>
      <c r="M61" s="86">
        <v>728384042</v>
      </c>
      <c r="N61" s="89" t="s">
        <v>357</v>
      </c>
      <c r="O61" s="91"/>
      <c r="P61" s="86"/>
      <c r="Q61" s="86" t="s">
        <v>364</v>
      </c>
      <c r="R61" s="91">
        <v>33636</v>
      </c>
      <c r="S61" s="86"/>
      <c r="T61" s="90"/>
      <c r="U61" s="90"/>
    </row>
    <row r="62" spans="1:21" x14ac:dyDescent="0.25">
      <c r="A62" s="86" t="str" cm="1">
        <f t="array" ref="A6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MUKA01</v>
      </c>
      <c r="B62" s="86" t="str">
        <f>UPPER(_xlfn.TEXTBEFORE(TRIM(tblPeople[[#This Row],[PersonName]])," "))</f>
        <v>BRUCE</v>
      </c>
      <c r="C62" s="86" t="str">
        <f>UPPER(_xlfn.TEXTAFTER(TRIM(tblPeople[[#This Row],[PersonName]])," ",-1))</f>
        <v>MUKABI</v>
      </c>
      <c r="D62" s="86" t="s">
        <v>391</v>
      </c>
      <c r="E62" s="86"/>
      <c r="F62" s="86"/>
      <c r="G62" s="86"/>
      <c r="H62" s="86"/>
      <c r="I62" s="87"/>
      <c r="J62" s="86"/>
      <c r="K62" s="88" t="s">
        <v>293</v>
      </c>
      <c r="L62" s="88" t="s">
        <v>596</v>
      </c>
      <c r="M62" s="86">
        <v>722636968</v>
      </c>
      <c r="N62" s="89" t="s">
        <v>392</v>
      </c>
      <c r="O62" s="91">
        <v>43781</v>
      </c>
      <c r="P62" s="86" t="s">
        <v>404</v>
      </c>
      <c r="Q62" s="86" t="s">
        <v>364</v>
      </c>
      <c r="R62" s="86"/>
      <c r="S62" s="86"/>
      <c r="T62" s="90"/>
      <c r="U62" s="90"/>
    </row>
    <row r="63" spans="1:21" ht="54" x14ac:dyDescent="0.25">
      <c r="A63" s="86" t="str" cm="1">
        <f t="array" ref="A6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CHEL01</v>
      </c>
      <c r="B63" s="86" t="str">
        <f>UPPER(_xlfn.TEXTBEFORE(TRIM(tblPeople[[#This Row],[PersonName]])," "))</f>
        <v>MARY</v>
      </c>
      <c r="C63" s="86" t="str">
        <f>UPPER(_xlfn.TEXTAFTER(TRIM(tblPeople[[#This Row],[PersonName]])," ",-1))</f>
        <v>CHELAGAT</v>
      </c>
      <c r="D63" s="86" t="s">
        <v>436</v>
      </c>
      <c r="E63" s="86">
        <v>25222940</v>
      </c>
      <c r="F63" s="93" t="s">
        <v>501</v>
      </c>
      <c r="G63" s="93"/>
      <c r="H63" s="86" t="s">
        <v>453</v>
      </c>
      <c r="I63" s="87">
        <v>8</v>
      </c>
      <c r="J63" s="91">
        <v>43591</v>
      </c>
      <c r="K63" s="88" t="s">
        <v>285</v>
      </c>
      <c r="L63" s="88" t="s">
        <v>432</v>
      </c>
      <c r="M63" s="86">
        <v>723098266</v>
      </c>
      <c r="N63" s="89" t="s">
        <v>437</v>
      </c>
      <c r="O63" s="91">
        <v>43497</v>
      </c>
      <c r="P63" s="86" t="s">
        <v>399</v>
      </c>
      <c r="Q63" s="86" t="s">
        <v>364</v>
      </c>
      <c r="R63" s="91">
        <v>32183</v>
      </c>
      <c r="S63" s="86" t="s">
        <v>490</v>
      </c>
      <c r="T63" s="90"/>
      <c r="U63" s="90"/>
    </row>
    <row r="64" spans="1:21" x14ac:dyDescent="0.25">
      <c r="A64" s="86" t="str" cm="1">
        <f t="array" ref="A6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OKUD01</v>
      </c>
      <c r="B64" s="86" t="str">
        <f>UPPER(_xlfn.TEXTBEFORE(TRIM(tblPeople[[#This Row],[PersonName]])," "))</f>
        <v>ALFRED</v>
      </c>
      <c r="C64" s="86" t="str">
        <f>UPPER(_xlfn.TEXTAFTER(TRIM(tblPeople[[#This Row],[PersonName]])," ",-1))</f>
        <v>OKUDO</v>
      </c>
      <c r="D64" s="86" t="s">
        <v>438</v>
      </c>
      <c r="E64" s="86"/>
      <c r="F64" s="86" t="s">
        <v>502</v>
      </c>
      <c r="G64" s="93"/>
      <c r="H64" s="86" t="s">
        <v>454</v>
      </c>
      <c r="I64" s="87"/>
      <c r="J64" s="86"/>
      <c r="K64" s="88" t="s">
        <v>285</v>
      </c>
      <c r="L64" s="88" t="s">
        <v>432</v>
      </c>
      <c r="M64" s="86">
        <v>720109712</v>
      </c>
      <c r="N64" s="89" t="s">
        <v>455</v>
      </c>
      <c r="O64" s="91">
        <v>46132</v>
      </c>
      <c r="P64" s="86" t="s">
        <v>399</v>
      </c>
      <c r="Q64" s="86" t="s">
        <v>364</v>
      </c>
      <c r="R64" s="91">
        <v>30135</v>
      </c>
      <c r="S64" s="86"/>
      <c r="T64" s="90" t="s">
        <v>488</v>
      </c>
      <c r="U64" s="90" t="s">
        <v>489</v>
      </c>
    </row>
    <row r="65" spans="1:21" x14ac:dyDescent="0.25">
      <c r="A65" s="86" t="str" cm="1">
        <f t="array" ref="A6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CHEG01</v>
      </c>
      <c r="B65" s="86" t="str">
        <f>UPPER(_xlfn.TEXTBEFORE(TRIM(tblPeople[[#This Row],[PersonName]])," "))</f>
        <v>MARTIN</v>
      </c>
      <c r="C65" s="86" t="str">
        <f>UPPER(_xlfn.TEXTAFTER(TRIM(tblPeople[[#This Row],[PersonName]])," ",-1))</f>
        <v>CHEGE</v>
      </c>
      <c r="D65" s="86" t="s">
        <v>439</v>
      </c>
      <c r="E65" s="86"/>
      <c r="F65" s="86"/>
      <c r="G65" s="86"/>
      <c r="H65" s="86"/>
      <c r="I65" s="87"/>
      <c r="J65" s="86"/>
      <c r="K65" s="88" t="s">
        <v>284</v>
      </c>
      <c r="L65" s="88" t="s">
        <v>297</v>
      </c>
      <c r="M65" s="86">
        <v>768932974</v>
      </c>
      <c r="N65" s="89" t="s">
        <v>458</v>
      </c>
      <c r="O65" s="91">
        <v>46132</v>
      </c>
      <c r="P65" s="86" t="s">
        <v>399</v>
      </c>
      <c r="Q65" s="86" t="s">
        <v>364</v>
      </c>
      <c r="R65" s="86"/>
      <c r="S65" s="86"/>
      <c r="T65" s="90"/>
      <c r="U65" s="90"/>
    </row>
    <row r="66" spans="1:21" x14ac:dyDescent="0.25">
      <c r="A66" s="86" t="str" cm="1">
        <f t="array" ref="A6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KINA01</v>
      </c>
      <c r="B66" s="86" t="str">
        <f>UPPER(_xlfn.TEXTBEFORE(TRIM(tblPeople[[#This Row],[PersonName]])," "))</f>
        <v>BRIAN</v>
      </c>
      <c r="C66" s="86" t="str">
        <f>UPPER(_xlfn.TEXTAFTER(TRIM(tblPeople[[#This Row],[PersonName]])," ",-1))</f>
        <v>KINAMA</v>
      </c>
      <c r="D66" s="86" t="s">
        <v>462</v>
      </c>
      <c r="E66" s="86"/>
      <c r="F66" s="86"/>
      <c r="G66" s="86"/>
      <c r="H66" s="86"/>
      <c r="I66" s="87"/>
      <c r="J66" s="86"/>
      <c r="K66" s="88" t="s">
        <v>285</v>
      </c>
      <c r="L66" s="88" t="s">
        <v>288</v>
      </c>
      <c r="M66" s="86">
        <v>704683295</v>
      </c>
      <c r="N66" s="89" t="s">
        <v>463</v>
      </c>
      <c r="O66" s="91"/>
      <c r="P66" s="86"/>
      <c r="Q66" s="86" t="s">
        <v>364</v>
      </c>
      <c r="R66" s="86"/>
      <c r="S66" s="86"/>
      <c r="T66" s="90"/>
      <c r="U66" s="90"/>
    </row>
    <row r="67" spans="1:21" x14ac:dyDescent="0.25">
      <c r="A67" s="86" t="str" cm="1">
        <f t="array" ref="A6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MUGA01</v>
      </c>
      <c r="B67" s="86" t="str">
        <f>UPPER(_xlfn.TEXTBEFORE(TRIM(tblPeople[[#This Row],[PersonName]])," "))</f>
        <v>BRIAN</v>
      </c>
      <c r="C67" s="86" t="str">
        <f>UPPER(_xlfn.TEXTAFTER(TRIM(tblPeople[[#This Row],[PersonName]])," ",-1))</f>
        <v>MUGA</v>
      </c>
      <c r="D67" s="86" t="s">
        <v>440</v>
      </c>
      <c r="E67" s="86"/>
      <c r="F67" s="86" t="s">
        <v>503</v>
      </c>
      <c r="G67" s="93"/>
      <c r="H67" s="86" t="s">
        <v>478</v>
      </c>
      <c r="I67" s="87"/>
      <c r="J67" s="86"/>
      <c r="K67" s="88" t="s">
        <v>285</v>
      </c>
      <c r="L67" s="88" t="s">
        <v>289</v>
      </c>
      <c r="M67" s="86">
        <v>702707277</v>
      </c>
      <c r="N67" s="89" t="s">
        <v>465</v>
      </c>
      <c r="O67" s="91">
        <v>46132</v>
      </c>
      <c r="P67" s="86" t="s">
        <v>399</v>
      </c>
      <c r="Q67" s="86" t="s">
        <v>364</v>
      </c>
      <c r="R67" s="86"/>
      <c r="S67" s="86"/>
      <c r="T67" s="90"/>
      <c r="U67" s="90"/>
    </row>
    <row r="68" spans="1:21" x14ac:dyDescent="0.25">
      <c r="A68" s="86" t="str" cm="1">
        <f t="array" ref="A6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MAIN01</v>
      </c>
      <c r="B68" s="86" t="str">
        <f>UPPER(_xlfn.TEXTBEFORE(TRIM(tblPeople[[#This Row],[PersonName]])," "))</f>
        <v>EVANS</v>
      </c>
      <c r="C68" s="86" t="str">
        <f>UPPER(_xlfn.TEXTAFTER(TRIM(tblPeople[[#This Row],[PersonName]])," ",-1))</f>
        <v>MAINGI</v>
      </c>
      <c r="D68" s="86" t="s">
        <v>441</v>
      </c>
      <c r="E68" s="86"/>
      <c r="F68" s="86"/>
      <c r="G68" s="86"/>
      <c r="H68" s="86"/>
      <c r="I68" s="87"/>
      <c r="J68" s="86"/>
      <c r="K68" s="88" t="s">
        <v>284</v>
      </c>
      <c r="L68" s="88" t="s">
        <v>297</v>
      </c>
      <c r="M68" s="86">
        <v>706637310</v>
      </c>
      <c r="N68" s="89" t="s">
        <v>457</v>
      </c>
      <c r="O68" s="91"/>
      <c r="P68" s="86"/>
      <c r="Q68" s="86" t="s">
        <v>364</v>
      </c>
      <c r="R68" s="86"/>
      <c r="S68" s="86"/>
      <c r="T68" s="90"/>
      <c r="U68" s="90"/>
    </row>
    <row r="69" spans="1:21" x14ac:dyDescent="0.25">
      <c r="A69" s="86" t="str" cm="1">
        <f t="array" ref="A6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MUTO01</v>
      </c>
      <c r="B69" s="86" t="str">
        <f>UPPER(_xlfn.TEXTBEFORE(TRIM(tblPeople[[#This Row],[PersonName]])," "))</f>
        <v>FRANCIS</v>
      </c>
      <c r="C69" s="86" t="str">
        <f>UPPER(_xlfn.TEXTAFTER(TRIM(tblPeople[[#This Row],[PersonName]])," ",-1))</f>
        <v>MUTONGA</v>
      </c>
      <c r="D69" s="86" t="s">
        <v>446</v>
      </c>
      <c r="E69" s="86"/>
      <c r="F69" s="86"/>
      <c r="G69" s="86"/>
      <c r="H69" s="86"/>
      <c r="I69" s="87"/>
      <c r="J69" s="86"/>
      <c r="K69" s="88" t="s">
        <v>285</v>
      </c>
      <c r="L69" s="88" t="s">
        <v>288</v>
      </c>
      <c r="M69" s="86">
        <v>718158373</v>
      </c>
      <c r="N69" s="89" t="s">
        <v>464</v>
      </c>
      <c r="O69" s="91">
        <v>46023</v>
      </c>
      <c r="P69" s="86" t="s">
        <v>399</v>
      </c>
      <c r="Q69" s="86" t="s">
        <v>364</v>
      </c>
      <c r="R69" s="91"/>
      <c r="S69" s="86"/>
      <c r="T69" s="90"/>
      <c r="U69" s="90"/>
    </row>
    <row r="70" spans="1:21" x14ac:dyDescent="0.25">
      <c r="A70" s="86" t="s">
        <v>472</v>
      </c>
      <c r="B70" s="86" t="str">
        <f>UPPER(_xlfn.TEXTBEFORE(TRIM(tblPeople[[#This Row],[PersonName]])," "))</f>
        <v>ERICK</v>
      </c>
      <c r="C70" s="86" t="str">
        <f>UPPER(_xlfn.TEXTAFTER(TRIM(tblPeople[[#This Row],[PersonName]])," ",-1))</f>
        <v>MWANJE</v>
      </c>
      <c r="D70" s="86" t="s">
        <v>448</v>
      </c>
      <c r="E70" s="86"/>
      <c r="F70" s="86"/>
      <c r="G70" s="86"/>
      <c r="H70" s="86"/>
      <c r="I70" s="87"/>
      <c r="J70" s="86"/>
      <c r="K70" s="88" t="s">
        <v>301</v>
      </c>
      <c r="L70" s="88" t="s">
        <v>449</v>
      </c>
      <c r="M70" s="86">
        <v>706953109</v>
      </c>
      <c r="N70" s="89" t="s">
        <v>456</v>
      </c>
      <c r="O70" s="91">
        <v>46023</v>
      </c>
      <c r="P70" s="86" t="s">
        <v>399</v>
      </c>
      <c r="Q70" s="86" t="s">
        <v>364</v>
      </c>
      <c r="R70" s="86"/>
      <c r="S70" s="86"/>
      <c r="T70" s="90"/>
      <c r="U70" s="90"/>
    </row>
    <row r="71" spans="1:21" ht="27" x14ac:dyDescent="0.25">
      <c r="A71" s="86" t="str" cm="1">
        <f t="array" ref="A7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KIMI01</v>
      </c>
      <c r="B71" s="86" t="str">
        <f>UPPER(_xlfn.TEXTBEFORE(TRIM(tblPeople[[#This Row],[PersonName]])," "))</f>
        <v>BENARD</v>
      </c>
      <c r="C71" s="86" t="str">
        <f>UPPER(_xlfn.TEXTAFTER(TRIM(tblPeople[[#This Row],[PersonName]])," ",-1))</f>
        <v>KIMITI</v>
      </c>
      <c r="D71" s="86" t="s">
        <v>460</v>
      </c>
      <c r="E71" s="86">
        <v>1461726</v>
      </c>
      <c r="F71" s="93" t="s">
        <v>500</v>
      </c>
      <c r="G71" s="93"/>
      <c r="H71" s="86" t="s">
        <v>491</v>
      </c>
      <c r="I71" s="87"/>
      <c r="J71" s="86"/>
      <c r="K71" s="88" t="s">
        <v>285</v>
      </c>
      <c r="L71" s="88" t="s">
        <v>289</v>
      </c>
      <c r="M71" s="86">
        <v>722863919</v>
      </c>
      <c r="N71" s="89" t="s">
        <v>459</v>
      </c>
      <c r="O71" s="91">
        <v>46113</v>
      </c>
      <c r="P71" s="86" t="s">
        <v>399</v>
      </c>
      <c r="Q71" s="86" t="s">
        <v>364</v>
      </c>
      <c r="R71" s="91">
        <v>22700</v>
      </c>
      <c r="S71" s="86" t="s">
        <v>423</v>
      </c>
      <c r="T71" s="90"/>
      <c r="U71" s="90"/>
    </row>
    <row r="72" spans="1:21" ht="27" x14ac:dyDescent="0.25">
      <c r="A72" s="86" t="str" cm="1">
        <f t="array" ref="A7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MZUN01</v>
      </c>
      <c r="B72" s="86" t="str">
        <f>UPPER(_xlfn.TEXTBEFORE(TRIM(tblPeople[[#This Row],[PersonName]])," "))</f>
        <v>DICKSON</v>
      </c>
      <c r="C72" s="86" t="str">
        <f>UPPER(_xlfn.TEXTAFTER(TRIM(tblPeople[[#This Row],[PersonName]])," ",-1))</f>
        <v>MZUNGU</v>
      </c>
      <c r="D72" s="86" t="s">
        <v>461</v>
      </c>
      <c r="E72" s="86">
        <v>5006467</v>
      </c>
      <c r="F72" s="93" t="s">
        <v>500</v>
      </c>
      <c r="G72" s="93"/>
      <c r="H72" s="86" t="s">
        <v>479</v>
      </c>
      <c r="I72" s="87"/>
      <c r="J72" s="86"/>
      <c r="K72" s="88" t="s">
        <v>285</v>
      </c>
      <c r="L72" s="88" t="s">
        <v>289</v>
      </c>
      <c r="M72" s="86">
        <v>715241856</v>
      </c>
      <c r="N72" s="96" t="s">
        <v>519</v>
      </c>
      <c r="O72" s="91">
        <v>46113</v>
      </c>
      <c r="P72" s="86" t="s">
        <v>399</v>
      </c>
      <c r="Q72" s="86" t="s">
        <v>364</v>
      </c>
      <c r="R72" s="91">
        <v>22832</v>
      </c>
      <c r="S72" s="86" t="s">
        <v>480</v>
      </c>
      <c r="T72" s="90"/>
      <c r="U72" s="90"/>
    </row>
    <row r="73" spans="1:21" x14ac:dyDescent="0.25">
      <c r="A73" s="86" t="str" cm="1">
        <f t="array" ref="A7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MUIG01</v>
      </c>
      <c r="B73" s="86" t="str">
        <f>UPPER(_xlfn.TEXTBEFORE(TRIM(tblPeople[[#This Row],[PersonName]])," "))</f>
        <v>ROBERT</v>
      </c>
      <c r="C73" s="86" t="str">
        <f>UPPER(_xlfn.TEXTAFTER(TRIM(tblPeople[[#This Row],[PersonName]])," ",-1))</f>
        <v>MUIGAI</v>
      </c>
      <c r="D73" s="86" t="s">
        <v>476</v>
      </c>
      <c r="E73" s="86">
        <v>23200771</v>
      </c>
      <c r="F73" s="86"/>
      <c r="G73" s="86"/>
      <c r="H73" s="86"/>
      <c r="I73" s="87"/>
      <c r="J73" s="86"/>
      <c r="K73" s="88" t="s">
        <v>285</v>
      </c>
      <c r="L73" s="88" t="s">
        <v>288</v>
      </c>
      <c r="M73" s="86">
        <v>721953521</v>
      </c>
      <c r="N73" s="89" t="s">
        <v>477</v>
      </c>
      <c r="O73" s="91">
        <v>46013</v>
      </c>
      <c r="P73" s="86" t="s">
        <v>399</v>
      </c>
      <c r="Q73" s="86" t="s">
        <v>364</v>
      </c>
      <c r="R73" s="91">
        <v>29345</v>
      </c>
      <c r="S73" s="86"/>
      <c r="T73" s="90"/>
      <c r="U73" s="90"/>
    </row>
    <row r="74" spans="1:21" x14ac:dyDescent="0.25">
      <c r="A74" s="4" t="s">
        <v>304</v>
      </c>
      <c r="J74" s="4"/>
      <c r="K74" s="85">
        <f>SUBTOTAL(103,tblPeople[Department])</f>
        <v>66</v>
      </c>
      <c r="L74" s="85"/>
      <c r="Q74" s="4">
        <f>SUBTOTAL(103,tblPeople[Status])</f>
        <v>66</v>
      </c>
    </row>
  </sheetData>
  <phoneticPr fontId="6" type="noConversion"/>
  <hyperlinks>
    <hyperlink ref="N2" r:id="rId1" xr:uid="{000C51DC-A1A7-4753-8BF4-7C09B43C3FCB}"/>
    <hyperlink ref="N3" r:id="rId2" xr:uid="{3DD0C09E-D331-43CB-B048-A6CD3E81F834}"/>
    <hyperlink ref="N5" r:id="rId3" xr:uid="{4D9402CC-263C-4F32-BDE8-C04FDAFD8FBD}"/>
    <hyperlink ref="N6" r:id="rId4" xr:uid="{C12F3074-EB83-497C-97AB-A98DF85FB247}"/>
    <hyperlink ref="N7" r:id="rId5" xr:uid="{488CEAE8-9BFF-4619-A73A-B9CE8B73C24D}"/>
    <hyperlink ref="N8" r:id="rId6" xr:uid="{8B204960-D989-48F8-B05F-CF94B1F8D132}"/>
    <hyperlink ref="N9" r:id="rId7" xr:uid="{9EB94629-80FB-49C4-86F2-71BF5F0E7914}"/>
    <hyperlink ref="N10" r:id="rId8" xr:uid="{837AEC18-D39F-4390-ADF0-BA4B830EA422}"/>
    <hyperlink ref="N12" r:id="rId9" xr:uid="{7FCF60D3-6A06-45F7-9C1E-B2536112B6F7}"/>
    <hyperlink ref="N13" r:id="rId10" xr:uid="{F4590C2C-A749-4951-AECE-C52A8A45C187}"/>
    <hyperlink ref="N14" r:id="rId11" xr:uid="{001542BC-48E5-4B5D-B8EE-AB2371C477D4}"/>
    <hyperlink ref="N15" r:id="rId12" xr:uid="{1B933D78-A452-4F58-B1B5-58CF55301274}"/>
    <hyperlink ref="N16" r:id="rId13" xr:uid="{9DC4B3B3-580C-4007-A587-3DCC2EE11D38}"/>
    <hyperlink ref="N17" r:id="rId14" xr:uid="{8ECE5E7B-6DB6-4DA4-A22D-1BE5B57F2A4A}"/>
    <hyperlink ref="N18" r:id="rId15" xr:uid="{66C690A1-726D-49C1-BB1B-D79284E6AFC5}"/>
    <hyperlink ref="N19" r:id="rId16" xr:uid="{71118896-C27D-49A6-85A8-868C53CAA5DF}"/>
    <hyperlink ref="N20" r:id="rId17" xr:uid="{E7E83DBD-08B3-47A3-92DD-776A5DE5B980}"/>
    <hyperlink ref="N21" r:id="rId18" xr:uid="{03327023-D04D-4229-92DF-3EC21D4A01CB}"/>
    <hyperlink ref="N22" r:id="rId19" xr:uid="{D96F1148-6E63-4BDF-9CB0-0213F5F3CCF0}"/>
    <hyperlink ref="N27" r:id="rId20" xr:uid="{7E1B7FCA-E07F-4850-B5B0-5826BC48FB21}"/>
    <hyperlink ref="N23" r:id="rId21" xr:uid="{96A94BFE-6C71-4128-93C5-0C7FBE3CCB5B}"/>
    <hyperlink ref="N24" r:id="rId22" xr:uid="{1F7123B6-0D87-4E02-8BD7-17221A0F143B}"/>
    <hyperlink ref="N25" r:id="rId23" xr:uid="{2ABA9126-AF65-49AA-92E7-82E9379DF6F7}"/>
    <hyperlink ref="N26" r:id="rId24" xr:uid="{C4AE40BF-BF61-4CFE-93A1-A6090BEA4DC9}"/>
    <hyperlink ref="N30" r:id="rId25" xr:uid="{A4C4A09A-DA15-4103-9D6E-7F36869FDEAA}"/>
    <hyperlink ref="N31" r:id="rId26" xr:uid="{89A63638-7BDA-4FD6-B7E5-CBBCE47F7DD4}"/>
    <hyperlink ref="N32" r:id="rId27" xr:uid="{C01832CB-7CB3-48F2-9BFB-D7070C22D9AF}"/>
    <hyperlink ref="N33" r:id="rId28" xr:uid="{82345567-5F0A-4271-81AF-694A2FC60587}"/>
    <hyperlink ref="N34" r:id="rId29" xr:uid="{67DB2CFA-5BE8-45E6-B259-44C6C1C547BD}"/>
    <hyperlink ref="N35" r:id="rId30" xr:uid="{549C8211-DAB9-4AAA-9F24-BD22CE2C9B25}"/>
    <hyperlink ref="N37" r:id="rId31" xr:uid="{F3775DF9-754F-4EDF-AD3F-D6898A73BADB}"/>
    <hyperlink ref="N38" r:id="rId32" xr:uid="{9E5AC4F4-67EA-45D9-8FAE-190F7C98C434}"/>
    <hyperlink ref="N39" r:id="rId33" xr:uid="{F1B10D8A-3FF4-49B1-8913-2549CC184AEF}"/>
    <hyperlink ref="N40" r:id="rId34" xr:uid="{C093C8FA-FA11-4603-B295-6ED2ACF0787E}"/>
    <hyperlink ref="N41" r:id="rId35" xr:uid="{A108FB0E-C816-4392-B2F9-6CD1F7EE79E9}"/>
    <hyperlink ref="N42" r:id="rId36" xr:uid="{B87B84BA-AE03-4460-AE23-04763C6B452E}"/>
    <hyperlink ref="N43" r:id="rId37" xr:uid="{720FF657-F8E2-4C91-9B01-D08D1E8D3F88}"/>
    <hyperlink ref="N44" r:id="rId38" xr:uid="{838F8E7B-A522-471A-9864-7E5C91E43DF3}"/>
    <hyperlink ref="N45" r:id="rId39" xr:uid="{D92C3DB9-45B2-4AB6-8F17-C800CA333DD2}"/>
    <hyperlink ref="N46" r:id="rId40" xr:uid="{0297C5FF-D778-47BC-8C76-0D7B4EBBAC13}"/>
    <hyperlink ref="N48" r:id="rId41" xr:uid="{ED89EB26-3381-4082-A628-87144DC619C8}"/>
    <hyperlink ref="N49" r:id="rId42" xr:uid="{0F9F1757-A2E1-4D30-B5F4-83ADDA62EEE5}"/>
    <hyperlink ref="N51" r:id="rId43" xr:uid="{8BDDEA29-8062-45A6-BE2D-8B11B218FE53}"/>
    <hyperlink ref="N52" r:id="rId44" xr:uid="{CBC0BC4D-38B5-49F2-BB5A-8F6BD321BB1C}"/>
    <hyperlink ref="N54" r:id="rId45" xr:uid="{79058D24-AB09-41AB-9E64-6ED68EFFF085}"/>
    <hyperlink ref="N55" r:id="rId46" xr:uid="{7BCED9E2-81BD-454B-87C2-E473DF6D25A2}"/>
    <hyperlink ref="N57" r:id="rId47" xr:uid="{15824A73-8200-49F8-BFFD-22CD3AC2047E}"/>
    <hyperlink ref="N58" r:id="rId48" xr:uid="{CC9209E2-7BA8-4923-8808-77DA591D675D}"/>
    <hyperlink ref="N59" r:id="rId49" xr:uid="{49DF5D11-5E76-435B-88A8-A044356EB35E}"/>
    <hyperlink ref="N60" r:id="rId50" xr:uid="{9429F107-62FB-4147-9315-CA4A10A07755}"/>
    <hyperlink ref="N61" r:id="rId51" xr:uid="{5000E328-4379-4571-8D73-4D9BC624404F}"/>
    <hyperlink ref="N4" r:id="rId52" xr:uid="{AF6A41CF-AB43-4E39-AA07-B59BFA70A85D}"/>
    <hyperlink ref="N29" r:id="rId53" xr:uid="{183A41C5-24B0-49BC-BA7A-FF8D952161A8}"/>
    <hyperlink ref="N62" r:id="rId54" xr:uid="{F7882940-F546-400B-839B-CE4F12FE12B6}"/>
    <hyperlink ref="N11" r:id="rId55" xr:uid="{9B262CC9-C13C-455F-8DD8-0429B37DC99E}"/>
    <hyperlink ref="N28" r:id="rId56" xr:uid="{6807A2BD-C7D4-4AA1-A6A0-5B4F85D16500}"/>
    <hyperlink ref="N63" r:id="rId57" xr:uid="{B3159789-8378-48B2-B0F8-E9FF472A8B69}"/>
    <hyperlink ref="N64" r:id="rId58" xr:uid="{1BA3597A-5E2E-4B75-B489-1681371BD4A5}"/>
    <hyperlink ref="N70" r:id="rId59" xr:uid="{387EA397-26DD-4896-83A7-0AA0F6BB17B9}"/>
    <hyperlink ref="N68" r:id="rId60" xr:uid="{2C6B1179-B5C5-48E8-B2C7-41F531E41101}"/>
    <hyperlink ref="N65" r:id="rId61" xr:uid="{107D169E-F398-42B5-9E7F-2504745528E9}"/>
    <hyperlink ref="N71" r:id="rId62" xr:uid="{1AE0E961-8345-4C49-A9E6-3B8CE55B1D16}"/>
    <hyperlink ref="N72" r:id="rId63" xr:uid="{DAEB0178-1D6E-4414-979D-971A1E06A7E4}"/>
    <hyperlink ref="N66" r:id="rId64" xr:uid="{D8126CD1-AEEE-4BE7-B5EA-5D4DB49CB39F}"/>
    <hyperlink ref="N69" r:id="rId65" xr:uid="{2642FBB4-E416-42F9-A173-7D72D531083E}"/>
    <hyperlink ref="N67" r:id="rId66" xr:uid="{F76A8A98-EF50-4631-A479-ABB623AA840B}"/>
    <hyperlink ref="N73" r:id="rId67" xr:uid="{AC444D75-7E7A-4E83-8449-00530C12CB48}"/>
  </hyperlinks>
  <pageMargins left="0.7" right="0.7" top="0.75" bottom="0.75" header="0.3" footer="0.3"/>
  <pageSetup paperSize="9" scale="21" fitToHeight="0" orientation="portrait" r:id="rId68"/>
  <tableParts count="1">
    <tablePart r:id="rId6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9D7ABB9-9406-492E-A431-F9F4153E21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Params</vt:lpstr>
      <vt:lpstr>Overdue</vt:lpstr>
      <vt:lpstr>Sheet1</vt:lpstr>
      <vt:lpstr>Next_Batch</vt:lpstr>
      <vt:lpstr>tblRoleGroups</vt:lpstr>
      <vt:lpstr>tblPersonRoles</vt:lpstr>
      <vt:lpstr>tblCourseMatrix</vt:lpstr>
      <vt:lpstr>Individual_Lookup</vt:lpstr>
      <vt:lpstr>Course_Audit</vt:lpstr>
      <vt:lpstr>Training</vt:lpstr>
      <vt:lpstr>Courses</vt:lpstr>
      <vt:lpstr>People</vt:lpstr>
      <vt:lpstr>Course_Audit!Print_Area</vt:lpstr>
      <vt:lpstr>Next_Batch!Print_Area</vt:lpstr>
      <vt:lpstr>Overdue!Print_Area</vt:lpstr>
      <vt:lpstr>Individual_Lookup!Print_Titles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Safarilink - Quality Officer AMO</dc:creator>
  <cp:lastModifiedBy>Safarilink - Quality Officer AMO</cp:lastModifiedBy>
  <cp:lastPrinted>2026-09-17T09:30:04Z</cp:lastPrinted>
  <dcterms:created xsi:type="dcterms:W3CDTF">2025-09-08T09:04:01Z</dcterms:created>
  <dcterms:modified xsi:type="dcterms:W3CDTF">2026-09-21T07:58:22Z</dcterms:modified>
</cp:coreProperties>
</file>