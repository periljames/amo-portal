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5CC7252B-5832-4C0A-BE4B-7B8860E493CE}" xr6:coauthVersionLast="47" xr6:coauthVersionMax="47" xr10:uidLastSave="{00000000-0000-0000-0000-000000000000}"/>
  <bookViews>
    <workbookView xWindow="-120" yWindow="-120" windowWidth="29040" windowHeight="15840" firstSheet="1" activeTab="9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r:id="rId10"/>
    <sheet name="Courses" sheetId="3" state="hidden" r:id="rId11"/>
    <sheet name="People" sheetId="2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tblCourseMatrix!$A$1:$E$19</definedName>
    <definedName name="ExternalData_1" localSheetId="5" hidden="1">tblPersonRoles!$A$1:$F$140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Overdue!$B$6:$G$34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 a="1"/>
  <c r="G4" i="4" s="1"/>
  <c r="I4" i="4" a="1"/>
  <c r="I4" i="4" s="1"/>
  <c r="H4" i="4" s="1"/>
  <c r="G5" i="4" a="1"/>
  <c r="G5" i="4" s="1"/>
  <c r="I5" i="4" a="1"/>
  <c r="I5" i="4" s="1"/>
  <c r="H5" i="4" s="1"/>
  <c r="G6" i="4" a="1"/>
  <c r="G6" i="4" s="1"/>
  <c r="I6" i="4" a="1"/>
  <c r="I6" i="4" s="1"/>
  <c r="H6" i="4" s="1"/>
  <c r="G7" i="4" a="1"/>
  <c r="G7" i="4" s="1"/>
  <c r="I7" i="4" a="1"/>
  <c r="I7" i="4" s="1"/>
  <c r="H7" i="4" s="1"/>
  <c r="G8" i="4" a="1"/>
  <c r="G8" i="4"/>
  <c r="I8" i="4" a="1"/>
  <c r="I8" i="4" s="1"/>
  <c r="H8" i="4" s="1"/>
  <c r="G9" i="4" a="1"/>
  <c r="G9" i="4"/>
  <c r="I9" i="4" a="1"/>
  <c r="I9" i="4" s="1"/>
  <c r="H9" i="4" s="1"/>
  <c r="G10" i="4" a="1"/>
  <c r="G10" i="4"/>
  <c r="I10" i="4" a="1"/>
  <c r="I10" i="4" s="1"/>
  <c r="G11" i="4" a="1"/>
  <c r="G11" i="4"/>
  <c r="I11" i="4" a="1"/>
  <c r="I11" i="4" s="1"/>
  <c r="H11" i="4" s="1"/>
  <c r="G12" i="4" a="1"/>
  <c r="G12" i="4" s="1"/>
  <c r="I12" i="4" s="1" a="1"/>
  <c r="I12" i="4" s="1"/>
  <c r="H12" i="4" s="1"/>
  <c r="G13" i="4" a="1"/>
  <c r="G13" i="4" s="1"/>
  <c r="I13" i="4" s="1" a="1"/>
  <c r="I13" i="4" s="1"/>
  <c r="H13" i="4" s="1"/>
  <c r="G14" i="4" a="1"/>
  <c r="G14" i="4" s="1"/>
  <c r="I14" i="4" a="1"/>
  <c r="I14" i="4" s="1"/>
  <c r="H14" i="4" s="1"/>
  <c r="G15" i="4" a="1"/>
  <c r="G15" i="4" s="1"/>
  <c r="I15" i="4" a="1"/>
  <c r="I15" i="4" s="1"/>
  <c r="G16" i="4" a="1"/>
  <c r="G16" i="4"/>
  <c r="I16" i="4" a="1"/>
  <c r="I16" i="4" s="1"/>
  <c r="H16" i="4" s="1"/>
  <c r="G17" i="4" a="1"/>
  <c r="G17" i="4"/>
  <c r="I17" i="4" a="1"/>
  <c r="I17" i="4" s="1"/>
  <c r="H17" i="4" s="1"/>
  <c r="G18" i="4" a="1"/>
  <c r="G18" i="4"/>
  <c r="I18" i="4" s="1" a="1"/>
  <c r="I18" i="4" s="1"/>
  <c r="H18" i="4" s="1"/>
  <c r="G19" i="4" a="1"/>
  <c r="G19" i="4"/>
  <c r="I19" i="4" s="1" a="1"/>
  <c r="I19" i="4" s="1"/>
  <c r="H19" i="4" s="1"/>
  <c r="G20" i="4" a="1"/>
  <c r="G20" i="4" s="1"/>
  <c r="I20" i="4" s="1" a="1"/>
  <c r="I20" i="4" s="1"/>
  <c r="H20" i="4" s="1"/>
  <c r="G21" i="4" a="1"/>
  <c r="G21" i="4" s="1"/>
  <c r="I21" i="4" a="1"/>
  <c r="I21" i="4" s="1"/>
  <c r="H21" i="4" s="1"/>
  <c r="G22" i="4" a="1"/>
  <c r="G22" i="4" s="1"/>
  <c r="I22" i="4" a="1"/>
  <c r="I22" i="4" s="1"/>
  <c r="G23" i="4" a="1"/>
  <c r="G23" i="4" s="1"/>
  <c r="I23" i="4" a="1"/>
  <c r="I23" i="4" s="1"/>
  <c r="G24" i="4" a="1"/>
  <c r="G24" i="4"/>
  <c r="I24" i="4" a="1"/>
  <c r="I24" i="4" s="1"/>
  <c r="H24" i="4" s="1"/>
  <c r="G25" i="4" a="1"/>
  <c r="G25" i="4"/>
  <c r="I25" i="4" a="1"/>
  <c r="I25" i="4" s="1"/>
  <c r="H25" i="4" s="1"/>
  <c r="G26" i="4" a="1"/>
  <c r="G26" i="4"/>
  <c r="I26" i="4" s="1" a="1"/>
  <c r="I26" i="4" s="1"/>
  <c r="H26" i="4" s="1"/>
  <c r="G27" i="4" a="1"/>
  <c r="G27" i="4"/>
  <c r="I27" i="4" a="1"/>
  <c r="I27" i="4" s="1"/>
  <c r="H27" i="4" s="1"/>
  <c r="G28" i="4" a="1"/>
  <c r="G28" i="4" s="1"/>
  <c r="I28" i="4" a="1"/>
  <c r="I28" i="4" s="1"/>
  <c r="H28" i="4" s="1"/>
  <c r="G29" i="4" a="1"/>
  <c r="G29" i="4" s="1"/>
  <c r="I29" i="4" a="1"/>
  <c r="I29" i="4" s="1"/>
  <c r="G30" i="4" a="1"/>
  <c r="G30" i="4" s="1"/>
  <c r="I30" i="4" a="1"/>
  <c r="I30" i="4" s="1"/>
  <c r="H30" i="4" s="1"/>
  <c r="G31" i="4" a="1"/>
  <c r="G31" i="4" s="1"/>
  <c r="I31" i="4" s="1" a="1"/>
  <c r="I31" i="4" s="1"/>
  <c r="H31" i="4" s="1"/>
  <c r="G32" i="4" a="1"/>
  <c r="G32" i="4"/>
  <c r="I32" i="4" a="1"/>
  <c r="I32" i="4" s="1"/>
  <c r="H32" i="4" s="1"/>
  <c r="G33" i="4" a="1"/>
  <c r="G33" i="4"/>
  <c r="I33" i="4" a="1"/>
  <c r="I33" i="4" s="1"/>
  <c r="H33" i="4" s="1"/>
  <c r="G34" i="4" a="1"/>
  <c r="G34" i="4"/>
  <c r="I34" i="4" a="1"/>
  <c r="I34" i="4" s="1"/>
  <c r="G35" i="4" a="1"/>
  <c r="G35" i="4"/>
  <c r="I35" i="4" a="1"/>
  <c r="I35" i="4" s="1"/>
  <c r="H35" i="4" s="1"/>
  <c r="G36" i="4" a="1"/>
  <c r="G36" i="4" s="1"/>
  <c r="I36" i="4" s="1" a="1"/>
  <c r="I36" i="4" s="1"/>
  <c r="H36" i="4" s="1"/>
  <c r="G37" i="4" a="1"/>
  <c r="G37" i="4" s="1"/>
  <c r="I37" i="4" a="1"/>
  <c r="I37" i="4" s="1"/>
  <c r="H37" i="4" s="1"/>
  <c r="G38" i="4" a="1"/>
  <c r="G38" i="4" s="1"/>
  <c r="I38" i="4" a="1"/>
  <c r="I38" i="4" s="1"/>
  <c r="H38" i="4" s="1"/>
  <c r="G39" i="4" a="1"/>
  <c r="G39" i="4" s="1"/>
  <c r="I39" i="4" a="1"/>
  <c r="I39" i="4" s="1"/>
  <c r="G40" i="4" a="1"/>
  <c r="G40" i="4"/>
  <c r="I40" i="4" a="1"/>
  <c r="I40" i="4" s="1"/>
  <c r="H40" i="4" s="1"/>
  <c r="G41" i="4" a="1"/>
  <c r="G41" i="4"/>
  <c r="I41" i="4" a="1"/>
  <c r="I41" i="4" s="1"/>
  <c r="H41" i="4" s="1"/>
  <c r="G42" i="4" a="1"/>
  <c r="G42" i="4"/>
  <c r="I42" i="4" a="1"/>
  <c r="I42" i="4" s="1"/>
  <c r="G43" i="4" a="1"/>
  <c r="G43" i="4"/>
  <c r="I43" i="4" a="1"/>
  <c r="I43" i="4" s="1"/>
  <c r="H43" i="4" s="1"/>
  <c r="G44" i="4" a="1"/>
  <c r="G44" i="4" s="1"/>
  <c r="I44" i="4" a="1"/>
  <c r="I44" i="4" s="1"/>
  <c r="H44" i="4" s="1"/>
  <c r="G45" i="4" a="1"/>
  <c r="G45" i="4" s="1"/>
  <c r="I45" i="4" a="1"/>
  <c r="I45" i="4" s="1"/>
  <c r="H45" i="4" s="1"/>
  <c r="G46" i="4" a="1"/>
  <c r="G46" i="4" s="1"/>
  <c r="I46" i="4" a="1"/>
  <c r="I46" i="4" s="1"/>
  <c r="H46" i="4" s="1"/>
  <c r="G47" i="4" a="1"/>
  <c r="G47" i="4" s="1"/>
  <c r="I47" i="4" a="1"/>
  <c r="I47" i="4" s="1"/>
  <c r="G48" i="4" a="1"/>
  <c r="G48" i="4"/>
  <c r="I48" i="4" a="1"/>
  <c r="I48" i="4" s="1"/>
  <c r="H48" i="4" s="1"/>
  <c r="G49" i="4" a="1"/>
  <c r="G49" i="4"/>
  <c r="I49" i="4" a="1"/>
  <c r="I49" i="4" s="1"/>
  <c r="H49" i="4" s="1"/>
  <c r="G50" i="4" a="1"/>
  <c r="G50" i="4"/>
  <c r="I50" i="4" a="1"/>
  <c r="I50" i="4" s="1"/>
  <c r="G51" i="4" a="1"/>
  <c r="G51" i="4"/>
  <c r="I51" i="4" a="1"/>
  <c r="I51" i="4" s="1"/>
  <c r="H51" i="4" s="1"/>
  <c r="G52" i="4" a="1"/>
  <c r="G52" i="4" s="1"/>
  <c r="I52" i="4" a="1"/>
  <c r="I52" i="4" s="1"/>
  <c r="G53" i="4" a="1"/>
  <c r="G53" i="4" s="1"/>
  <c r="I53" i="4" s="1" a="1"/>
  <c r="I53" i="4" s="1"/>
  <c r="H53" i="4" s="1"/>
  <c r="G54" i="4" a="1"/>
  <c r="G54" i="4" s="1"/>
  <c r="I54" i="4" s="1" a="1"/>
  <c r="I54" i="4" s="1"/>
  <c r="H54" i="4" s="1"/>
  <c r="G55" i="4" a="1"/>
  <c r="G55" i="4" s="1"/>
  <c r="I55" i="4" a="1"/>
  <c r="I55" i="4" s="1"/>
  <c r="H55" i="4" s="1"/>
  <c r="G56" i="4" a="1"/>
  <c r="G56" i="4" s="1"/>
  <c r="I56" i="4" s="1" a="1"/>
  <c r="I56" i="4" s="1"/>
  <c r="H56" i="4" s="1"/>
  <c r="G57" i="4" a="1"/>
  <c r="G57" i="4"/>
  <c r="I57" i="4" a="1"/>
  <c r="I57" i="4" s="1"/>
  <c r="H57" i="4" s="1"/>
  <c r="G58" i="4" a="1"/>
  <c r="G58" i="4"/>
  <c r="I58" i="4" s="1" a="1"/>
  <c r="I58" i="4" s="1"/>
  <c r="H58" i="4" s="1"/>
  <c r="G59" i="4" a="1"/>
  <c r="G59" i="4"/>
  <c r="I59" i="4" s="1" a="1"/>
  <c r="I59" i="4" s="1"/>
  <c r="H59" i="4" s="1"/>
  <c r="G60" i="4" a="1"/>
  <c r="G60" i="4" s="1"/>
  <c r="I60" i="4" a="1"/>
  <c r="I60" i="4" s="1"/>
  <c r="H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a="1"/>
  <c r="I64" i="4" s="1"/>
  <c r="H64" i="4" s="1"/>
  <c r="G65" i="4" a="1"/>
  <c r="G65" i="4"/>
  <c r="I65" i="4" a="1"/>
  <c r="I65" i="4" s="1"/>
  <c r="H65" i="4" s="1"/>
  <c r="G66" i="4" a="1"/>
  <c r="G66" i="4"/>
  <c r="I66" i="4" a="1"/>
  <c r="I66" i="4" s="1"/>
  <c r="G67" i="4" a="1"/>
  <c r="G67" i="4"/>
  <c r="I67" i="4" a="1"/>
  <c r="I67" i="4" s="1"/>
  <c r="H67" i="4" s="1"/>
  <c r="G68" i="4" a="1"/>
  <c r="G68" i="4" s="1"/>
  <c r="I68" i="4" a="1"/>
  <c r="I68" i="4"/>
  <c r="G69" i="4" a="1"/>
  <c r="G69" i="4" s="1"/>
  <c r="H69" i="4"/>
  <c r="I69" i="4" a="1"/>
  <c r="I69" i="4" s="1"/>
  <c r="G70" i="4" a="1"/>
  <c r="G70" i="4" s="1"/>
  <c r="I70" i="4" s="1" a="1"/>
  <c r="I70" i="4" s="1"/>
  <c r="H70" i="4" s="1"/>
  <c r="G71" i="4" a="1"/>
  <c r="G71" i="4" s="1"/>
  <c r="I71" i="4" a="1"/>
  <c r="I71" i="4" s="1"/>
  <c r="H71" i="4" s="1"/>
  <c r="G72" i="4" a="1"/>
  <c r="G72" i="4" s="1"/>
  <c r="I72" i="4" a="1"/>
  <c r="I72" i="4" s="1"/>
  <c r="G73" i="4" a="1"/>
  <c r="G73" i="4"/>
  <c r="I73" i="4" a="1"/>
  <c r="I73" i="4" s="1"/>
  <c r="H73" i="4" s="1"/>
  <c r="G74" i="4" a="1"/>
  <c r="G74" i="4"/>
  <c r="I74" i="4" a="1"/>
  <c r="I74" i="4" s="1"/>
  <c r="G75" i="4" a="1"/>
  <c r="G75" i="4"/>
  <c r="I75" i="4" s="1" a="1"/>
  <c r="I75" i="4" s="1"/>
  <c r="H75" i="4" s="1"/>
  <c r="G76" i="4" a="1"/>
  <c r="G76" i="4" s="1"/>
  <c r="I76" i="4" s="1" a="1"/>
  <c r="I76" i="4" s="1"/>
  <c r="H76" i="4" s="1"/>
  <c r="G77" i="4" a="1"/>
  <c r="G77" i="4" s="1"/>
  <c r="I77" i="4" s="1" a="1"/>
  <c r="I77" i="4" s="1"/>
  <c r="H77" i="4" s="1"/>
  <c r="G78" i="4" a="1"/>
  <c r="G78" i="4" s="1"/>
  <c r="I78" i="4" s="1" a="1"/>
  <c r="I78" i="4" s="1"/>
  <c r="H78" i="4" s="1"/>
  <c r="G79" i="4" a="1"/>
  <c r="G79" i="4" s="1"/>
  <c r="I79" i="4" s="1" a="1"/>
  <c r="I79" i="4" s="1"/>
  <c r="H79" i="4" s="1"/>
  <c r="G80" i="4" a="1"/>
  <c r="G80" i="4" s="1"/>
  <c r="I80" i="4" a="1"/>
  <c r="I80" i="4" s="1"/>
  <c r="H80" i="4" s="1"/>
  <c r="G81" i="4" a="1"/>
  <c r="G81" i="4"/>
  <c r="I81" i="4" a="1"/>
  <c r="I81" i="4" s="1"/>
  <c r="H81" i="4" s="1"/>
  <c r="G82" i="4" a="1"/>
  <c r="G82" i="4"/>
  <c r="I82" i="4" a="1"/>
  <c r="I82" i="4" s="1"/>
  <c r="G83" i="4" a="1"/>
  <c r="G83" i="4"/>
  <c r="I83" i="4" a="1"/>
  <c r="I83" i="4" s="1"/>
  <c r="H83" i="4" s="1"/>
  <c r="G84" i="4" a="1"/>
  <c r="G84" i="4" s="1"/>
  <c r="I84" i="4" s="1" a="1"/>
  <c r="I84" i="4" s="1"/>
  <c r="H84" i="4" s="1"/>
  <c r="G85" i="4" a="1"/>
  <c r="G85" i="4" s="1"/>
  <c r="I85" i="4" a="1"/>
  <c r="I85" i="4" s="1"/>
  <c r="G86" i="4" a="1"/>
  <c r="G86" i="4" s="1"/>
  <c r="I86" i="4" a="1"/>
  <c r="I86" i="4" s="1"/>
  <c r="H86" i="4" s="1"/>
  <c r="G87" i="4" a="1"/>
  <c r="G87" i="4" s="1"/>
  <c r="I87" i="4" a="1"/>
  <c r="I87" i="4" s="1"/>
  <c r="H87" i="4" s="1"/>
  <c r="G88" i="4" a="1"/>
  <c r="G88" i="4" s="1"/>
  <c r="I88" i="4" a="1"/>
  <c r="I88" i="4" s="1"/>
  <c r="H88" i="4" s="1"/>
  <c r="G89" i="4" a="1"/>
  <c r="G89" i="4"/>
  <c r="I89" i="4" a="1"/>
  <c r="I89" i="4" s="1"/>
  <c r="H89" i="4" s="1"/>
  <c r="G90" i="4" a="1"/>
  <c r="G90" i="4"/>
  <c r="I90" i="4" s="1" a="1"/>
  <c r="I90" i="4" s="1"/>
  <c r="H90" i="4" s="1"/>
  <c r="G91" i="4" a="1"/>
  <c r="G91" i="4"/>
  <c r="I91" i="4" a="1"/>
  <c r="I91" i="4" s="1"/>
  <c r="H91" i="4" s="1"/>
  <c r="G92" i="4" a="1"/>
  <c r="G92" i="4" s="1"/>
  <c r="I92" i="4" a="1"/>
  <c r="I92" i="4" s="1"/>
  <c r="H92" i="4" s="1"/>
  <c r="G93" i="4" a="1"/>
  <c r="G93" i="4" s="1"/>
  <c r="I93" i="4" a="1"/>
  <c r="I93" i="4" s="1"/>
  <c r="H93" i="4" s="1"/>
  <c r="G94" i="4" a="1"/>
  <c r="G94" i="4" s="1"/>
  <c r="I94" i="4" s="1" a="1"/>
  <c r="I94" i="4" s="1"/>
  <c r="H94" i="4" s="1"/>
  <c r="G95" i="4" a="1"/>
  <c r="G95" i="4" s="1"/>
  <c r="I95" i="4" a="1"/>
  <c r="I95" i="4" s="1"/>
  <c r="G96" i="4" a="1"/>
  <c r="G96" i="4" s="1"/>
  <c r="I96" i="4" a="1"/>
  <c r="I96" i="4" s="1"/>
  <c r="H96" i="4" s="1"/>
  <c r="G97" i="4" a="1"/>
  <c r="G97" i="4"/>
  <c r="I97" i="4" a="1"/>
  <c r="I97" i="4" s="1"/>
  <c r="H97" i="4" s="1"/>
  <c r="G98" i="4" a="1"/>
  <c r="G98" i="4"/>
  <c r="I98" i="4" s="1" a="1"/>
  <c r="I98" i="4" s="1"/>
  <c r="H98" i="4" s="1"/>
  <c r="G99" i="4" a="1"/>
  <c r="G99" i="4"/>
  <c r="I99" i="4" a="1"/>
  <c r="I99" i="4" s="1"/>
  <c r="H99" i="4" s="1"/>
  <c r="G100" i="4" a="1"/>
  <c r="G100" i="4" s="1"/>
  <c r="I100" i="4" s="1" a="1"/>
  <c r="I100" i="4" s="1"/>
  <c r="H100" i="4" s="1"/>
  <c r="G101" i="4" a="1"/>
  <c r="G101" i="4" s="1"/>
  <c r="I101" i="4" a="1"/>
  <c r="I101" i="4" s="1"/>
  <c r="H101" i="4" s="1"/>
  <c r="G102" i="4" a="1"/>
  <c r="G102" i="4" s="1"/>
  <c r="I102" i="4" a="1"/>
  <c r="I102" i="4" s="1"/>
  <c r="H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/>
  <c r="I105" i="4" a="1"/>
  <c r="I105" i="4" s="1"/>
  <c r="H105" i="4" s="1"/>
  <c r="G106" i="4" a="1"/>
  <c r="G106" i="4"/>
  <c r="I106" i="4" s="1" a="1"/>
  <c r="I106" i="4" s="1"/>
  <c r="H106" i="4" s="1"/>
  <c r="G107" i="4" a="1"/>
  <c r="G107" i="4"/>
  <c r="I107" i="4" a="1"/>
  <c r="I107" i="4" s="1"/>
  <c r="H107" i="4" s="1"/>
  <c r="G108" i="4" a="1"/>
  <c r="G108" i="4" s="1"/>
  <c r="I108" i="4" s="1" a="1"/>
  <c r="I108" i="4" s="1"/>
  <c r="H108" i="4" s="1"/>
  <c r="G109" i="4" a="1"/>
  <c r="G109" i="4"/>
  <c r="I109" i="4" a="1"/>
  <c r="I109" i="4" s="1"/>
  <c r="H109" i="4" s="1"/>
  <c r="G110" i="4" a="1"/>
  <c r="G110" i="4" s="1"/>
  <c r="I110" i="4" a="1"/>
  <c r="I110" i="4" s="1"/>
  <c r="G111" i="4" a="1"/>
  <c r="G111" i="4" s="1"/>
  <c r="I111" i="4" s="1" a="1"/>
  <c r="I111" i="4" s="1"/>
  <c r="H111" i="4" s="1"/>
  <c r="G112" i="4" a="1"/>
  <c r="G112" i="4" s="1"/>
  <c r="I112" i="4" a="1"/>
  <c r="I112" i="4" s="1"/>
  <c r="H112" i="4" s="1"/>
  <c r="G113" i="4" a="1"/>
  <c r="G113" i="4"/>
  <c r="I113" i="4" a="1"/>
  <c r="I113" i="4" s="1"/>
  <c r="H113" i="4" s="1"/>
  <c r="G114" i="4" a="1"/>
  <c r="G114" i="4"/>
  <c r="I114" i="4" s="1" a="1"/>
  <c r="I114" i="4" s="1"/>
  <c r="H114" i="4" s="1"/>
  <c r="G115" i="4" a="1"/>
  <c r="G115" i="4"/>
  <c r="I115" i="4" s="1" a="1"/>
  <c r="I115" i="4" s="1"/>
  <c r="H115" i="4" s="1"/>
  <c r="G116" i="4" a="1"/>
  <c r="G116" i="4" s="1"/>
  <c r="I116" i="4" a="1"/>
  <c r="I116" i="4" s="1"/>
  <c r="G117" i="4" a="1"/>
  <c r="G117" i="4"/>
  <c r="I117" i="4" a="1"/>
  <c r="I117" i="4" s="1"/>
  <c r="H117" i="4" s="1"/>
  <c r="G118" i="4" a="1"/>
  <c r="G118" i="4" s="1"/>
  <c r="I118" i="4" s="1" a="1"/>
  <c r="I118" i="4" s="1"/>
  <c r="H118" i="4" s="1"/>
  <c r="G119" i="4" a="1"/>
  <c r="G119" i="4" s="1"/>
  <c r="I119" i="4" s="1" a="1"/>
  <c r="I119" i="4" s="1"/>
  <c r="H119" i="4" s="1"/>
  <c r="G120" i="4" a="1"/>
  <c r="G120" i="4" s="1"/>
  <c r="I120" i="4" a="1"/>
  <c r="I120" i="4" s="1"/>
  <c r="H120" i="4" s="1"/>
  <c r="G121" i="4" a="1"/>
  <c r="G121" i="4"/>
  <c r="I121" i="4" a="1"/>
  <c r="I121" i="4" s="1"/>
  <c r="H121" i="4" s="1"/>
  <c r="G122" i="4" a="1"/>
  <c r="G122" i="4"/>
  <c r="I122" i="4" s="1" a="1"/>
  <c r="I122" i="4" s="1"/>
  <c r="H122" i="4" s="1"/>
  <c r="G123" i="4" a="1"/>
  <c r="G123" i="4"/>
  <c r="I123" i="4" s="1" a="1"/>
  <c r="I123" i="4" s="1"/>
  <c r="H123" i="4" s="1"/>
  <c r="G124" i="4" a="1"/>
  <c r="G124" i="4" s="1"/>
  <c r="I124" i="4" a="1"/>
  <c r="I124" i="4" s="1"/>
  <c r="H124" i="4" s="1"/>
  <c r="G125" i="4" a="1"/>
  <c r="G125" i="4"/>
  <c r="I125" i="4" a="1"/>
  <c r="I125" i="4" s="1"/>
  <c r="H125" i="4" s="1"/>
  <c r="G126" i="4" a="1"/>
  <c r="G126" i="4" s="1"/>
  <c r="I126" i="4" a="1"/>
  <c r="I126" i="4" s="1"/>
  <c r="G127" i="4" a="1"/>
  <c r="G127" i="4" s="1"/>
  <c r="I127" i="4" a="1"/>
  <c r="I127" i="4" s="1"/>
  <c r="G128" i="4" a="1"/>
  <c r="G128" i="4" s="1"/>
  <c r="I128" i="4" a="1"/>
  <c r="I128" i="4" s="1"/>
  <c r="H128" i="4" s="1"/>
  <c r="G129" i="4" a="1"/>
  <c r="G129" i="4"/>
  <c r="I129" i="4" a="1"/>
  <c r="I129" i="4" s="1"/>
  <c r="H129" i="4" s="1"/>
  <c r="G130" i="4" a="1"/>
  <c r="G130" i="4"/>
  <c r="I130" i="4" s="1" a="1"/>
  <c r="I130" i="4" s="1"/>
  <c r="H130" i="4" s="1"/>
  <c r="G131" i="4" a="1"/>
  <c r="G131" i="4"/>
  <c r="I131" i="4" a="1"/>
  <c r="I131" i="4" s="1"/>
  <c r="H131" i="4" s="1"/>
  <c r="G132" i="4" a="1"/>
  <c r="G132" i="4" s="1"/>
  <c r="I132" i="4" a="1"/>
  <c r="I132" i="4" s="1"/>
  <c r="H132" i="4" s="1"/>
  <c r="G133" i="4" a="1"/>
  <c r="G133" i="4"/>
  <c r="I133" i="4" a="1"/>
  <c r="I133" i="4" s="1"/>
  <c r="H133" i="4" s="1"/>
  <c r="G134" i="4" a="1"/>
  <c r="G134" i="4" s="1"/>
  <c r="I134" i="4" s="1" a="1"/>
  <c r="I134" i="4" s="1"/>
  <c r="H134" i="4" s="1"/>
  <c r="G135" i="4" a="1"/>
  <c r="G135" i="4" s="1"/>
  <c r="I135" i="4" s="1" a="1"/>
  <c r="I135" i="4" s="1"/>
  <c r="H135" i="4" s="1"/>
  <c r="G136" i="4" a="1"/>
  <c r="G136" i="4" s="1"/>
  <c r="I136" i="4" a="1"/>
  <c r="I136" i="4" s="1"/>
  <c r="H136" i="4" s="1"/>
  <c r="G137" i="4" a="1"/>
  <c r="G137" i="4"/>
  <c r="I137" i="4" a="1"/>
  <c r="I137" i="4" s="1"/>
  <c r="H137" i="4" s="1"/>
  <c r="G138" i="4" a="1"/>
  <c r="G138" i="4"/>
  <c r="I138" i="4" a="1"/>
  <c r="I138" i="4" s="1"/>
  <c r="G139" i="4" a="1"/>
  <c r="G139" i="4"/>
  <c r="I139" i="4" a="1"/>
  <c r="I139" i="4" s="1"/>
  <c r="H139" i="4" s="1"/>
  <c r="G140" i="4" a="1"/>
  <c r="G140" i="4" s="1"/>
  <c r="I140" i="4" a="1"/>
  <c r="I140" i="4" s="1"/>
  <c r="G141" i="4" a="1"/>
  <c r="G141" i="4"/>
  <c r="I141" i="4" a="1"/>
  <c r="I141" i="4" s="1"/>
  <c r="H141" i="4" s="1"/>
  <c r="G142" i="4" a="1"/>
  <c r="G142" i="4" s="1"/>
  <c r="I142" i="4" a="1"/>
  <c r="I142" i="4" s="1"/>
  <c r="G143" i="4" a="1"/>
  <c r="G143" i="4" s="1"/>
  <c r="I143" i="4" a="1"/>
  <c r="I143" i="4" s="1"/>
  <c r="G144" i="4" a="1"/>
  <c r="G144" i="4" s="1"/>
  <c r="I144" i="4" a="1"/>
  <c r="I144" i="4" s="1"/>
  <c r="H144" i="4" s="1"/>
  <c r="G145" i="4" a="1"/>
  <c r="G145" i="4"/>
  <c r="I145" i="4" a="1"/>
  <c r="I145" i="4" s="1"/>
  <c r="H145" i="4" s="1"/>
  <c r="G146" i="4" a="1"/>
  <c r="G146" i="4"/>
  <c r="I146" i="4" a="1"/>
  <c r="I146" i="4" s="1"/>
  <c r="G147" i="4" a="1"/>
  <c r="G147" i="4"/>
  <c r="I147" i="4" s="1" a="1"/>
  <c r="I147" i="4" s="1"/>
  <c r="H147" i="4" s="1"/>
  <c r="G148" i="4" a="1"/>
  <c r="G148" i="4" s="1"/>
  <c r="I148" i="4" a="1"/>
  <c r="I148" i="4" s="1"/>
  <c r="G149" i="4" a="1"/>
  <c r="G149" i="4"/>
  <c r="I149" i="4" a="1"/>
  <c r="I149" i="4" s="1"/>
  <c r="H149" i="4" s="1"/>
  <c r="G150" i="4" a="1"/>
  <c r="G150" i="4" s="1"/>
  <c r="I150" i="4" s="1" a="1"/>
  <c r="I150" i="4" s="1"/>
  <c r="H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/>
  <c r="I153" i="4" a="1"/>
  <c r="I153" i="4" s="1"/>
  <c r="H153" i="4" s="1"/>
  <c r="G154" i="4" a="1"/>
  <c r="G154" i="4"/>
  <c r="I154" i="4" s="1" a="1"/>
  <c r="I154" i="4" s="1"/>
  <c r="H154" i="4" s="1"/>
  <c r="G155" i="4" a="1"/>
  <c r="G155" i="4"/>
  <c r="I155" i="4" a="1"/>
  <c r="I155" i="4" s="1"/>
  <c r="H155" i="4" s="1"/>
  <c r="G156" i="4" a="1"/>
  <c r="G156" i="4" s="1"/>
  <c r="I156" i="4" s="1" a="1"/>
  <c r="I156" i="4" s="1"/>
  <c r="H156" i="4" s="1"/>
  <c r="G157" i="4" a="1"/>
  <c r="G157" i="4"/>
  <c r="I157" i="4" a="1"/>
  <c r="I157" i="4" s="1"/>
  <c r="H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/>
  <c r="I161" i="4" a="1"/>
  <c r="I161" i="4" s="1"/>
  <c r="H161" i="4" s="1"/>
  <c r="G162" i="4" a="1"/>
  <c r="G162" i="4"/>
  <c r="I162" i="4" s="1" a="1"/>
  <c r="I162" i="4" s="1"/>
  <c r="H162" i="4" s="1"/>
  <c r="G163" i="4" a="1"/>
  <c r="G163" i="4"/>
  <c r="I163" i="4" a="1"/>
  <c r="I163" i="4" s="1"/>
  <c r="H163" i="4" s="1"/>
  <c r="G164" i="4" a="1"/>
  <c r="G164" i="4" s="1"/>
  <c r="I164" i="4" a="1"/>
  <c r="I164" i="4" s="1"/>
  <c r="G165" i="4" a="1"/>
  <c r="G165" i="4"/>
  <c r="I165" i="4" a="1"/>
  <c r="I165" i="4" s="1"/>
  <c r="H165" i="4" s="1"/>
  <c r="G166" i="4" a="1"/>
  <c r="G166" i="4" s="1"/>
  <c r="I166" i="4" s="1" a="1"/>
  <c r="I166" i="4" s="1"/>
  <c r="H166" i="4" s="1"/>
  <c r="G167" i="4" a="1"/>
  <c r="G167" i="4"/>
  <c r="I167" i="4" a="1"/>
  <c r="I167" i="4" s="1"/>
  <c r="H167" i="4" s="1"/>
  <c r="G168" i="4" a="1"/>
  <c r="G168" i="4" s="1"/>
  <c r="I168" i="4" a="1"/>
  <c r="I168" i="4" s="1"/>
  <c r="H168" i="4" s="1"/>
  <c r="G169" i="4" a="1"/>
  <c r="G169" i="4"/>
  <c r="I169" i="4" a="1"/>
  <c r="I169" i="4" s="1"/>
  <c r="H169" i="4" s="1"/>
  <c r="G170" i="4" a="1"/>
  <c r="G170" i="4"/>
  <c r="I170" i="4" a="1"/>
  <c r="I170" i="4" s="1"/>
  <c r="G171" i="4" a="1"/>
  <c r="G171" i="4"/>
  <c r="I171" i="4" s="1" a="1"/>
  <c r="I171" i="4" s="1"/>
  <c r="H171" i="4" s="1"/>
  <c r="G172" i="4" a="1"/>
  <c r="G172" i="4" s="1"/>
  <c r="I172" i="4" a="1"/>
  <c r="I172" i="4" s="1"/>
  <c r="G173" i="4" a="1"/>
  <c r="G173" i="4"/>
  <c r="I173" i="4" a="1"/>
  <c r="I173" i="4" s="1"/>
  <c r="H173" i="4" s="1"/>
  <c r="G174" i="4" a="1"/>
  <c r="G174" i="4" s="1"/>
  <c r="I174" i="4" a="1"/>
  <c r="I174" i="4" s="1"/>
  <c r="H174" i="4" s="1"/>
  <c r="G175" i="4" a="1"/>
  <c r="G175" i="4" s="1"/>
  <c r="I175" i="4" s="1" a="1"/>
  <c r="I175" i="4" s="1"/>
  <c r="H175" i="4" s="1"/>
  <c r="G176" i="4" a="1"/>
  <c r="G176" i="4" s="1"/>
  <c r="I176" i="4" a="1"/>
  <c r="I176" i="4" s="1"/>
  <c r="H176" i="4" s="1"/>
  <c r="G177" i="4" a="1"/>
  <c r="G177" i="4"/>
  <c r="I177" i="4" a="1"/>
  <c r="I177" i="4" s="1"/>
  <c r="H177" i="4" s="1"/>
  <c r="G178" i="4" a="1"/>
  <c r="G178" i="4"/>
  <c r="I178" i="4" s="1" a="1"/>
  <c r="I178" i="4" s="1"/>
  <c r="H178" i="4" s="1"/>
  <c r="G179" i="4" a="1"/>
  <c r="G179" i="4"/>
  <c r="I179" i="4" s="1" a="1"/>
  <c r="I179" i="4" s="1"/>
  <c r="H179" i="4" s="1"/>
  <c r="G180" i="4" a="1"/>
  <c r="G180" i="4" s="1"/>
  <c r="I180" i="4" a="1"/>
  <c r="I180" i="4" s="1"/>
  <c r="G181" i="4" a="1"/>
  <c r="G181" i="4"/>
  <c r="I181" i="4" a="1"/>
  <c r="I181" i="4" s="1"/>
  <c r="H181" i="4" s="1"/>
  <c r="G182" i="4" a="1"/>
  <c r="G182" i="4" s="1"/>
  <c r="I182" i="4" s="1" a="1"/>
  <c r="I182" i="4" s="1"/>
  <c r="H182" i="4" s="1"/>
  <c r="G183" i="4" a="1"/>
  <c r="G183" i="4" s="1"/>
  <c r="I183" i="4" a="1"/>
  <c r="I183" i="4" s="1"/>
  <c r="G184" i="4" a="1"/>
  <c r="G184" i="4" s="1"/>
  <c r="I184" i="4" s="1" a="1"/>
  <c r="I184" i="4" s="1"/>
  <c r="H184" i="4" s="1"/>
  <c r="G185" i="4" a="1"/>
  <c r="G185" i="4"/>
  <c r="I185" i="4" a="1"/>
  <c r="I185" i="4" s="1"/>
  <c r="H185" i="4" s="1"/>
  <c r="G186" i="4" a="1"/>
  <c r="G186" i="4"/>
  <c r="I186" i="4" a="1"/>
  <c r="I186" i="4" s="1"/>
  <c r="H186" i="4" s="1"/>
  <c r="G187" i="4" a="1"/>
  <c r="G187" i="4"/>
  <c r="I187" i="4" s="1" a="1"/>
  <c r="I187" i="4" s="1"/>
  <c r="H187" i="4" s="1"/>
  <c r="G188" i="4" a="1"/>
  <c r="G188" i="4" s="1"/>
  <c r="I188" i="4" s="1" a="1"/>
  <c r="I188" i="4" s="1"/>
  <c r="H188" i="4" s="1"/>
  <c r="G189" i="4" a="1"/>
  <c r="G189" i="4"/>
  <c r="I189" i="4" a="1"/>
  <c r="I189" i="4" s="1"/>
  <c r="H189" i="4" s="1"/>
  <c r="G190" i="4" a="1"/>
  <c r="G190" i="4" s="1"/>
  <c r="I190" i="4" s="1" a="1"/>
  <c r="I190" i="4" s="1"/>
  <c r="H190" i="4" s="1"/>
  <c r="G191" i="4" a="1"/>
  <c r="G191" i="4"/>
  <c r="I191" i="4" a="1"/>
  <c r="I191" i="4" s="1"/>
  <c r="H191" i="4" s="1"/>
  <c r="G192" i="4" a="1"/>
  <c r="G192" i="4" s="1"/>
  <c r="I192" i="4" a="1"/>
  <c r="I192" i="4" s="1"/>
  <c r="G193" i="4" a="1"/>
  <c r="G193" i="4"/>
  <c r="I193" i="4" a="1"/>
  <c r="I193" i="4" s="1"/>
  <c r="H193" i="4" s="1"/>
  <c r="G194" i="4" a="1"/>
  <c r="G194" i="4"/>
  <c r="I194" i="4" a="1"/>
  <c r="I194" i="4" s="1"/>
  <c r="H194" i="4" s="1"/>
  <c r="G195" i="4" a="1"/>
  <c r="G195" i="4"/>
  <c r="I195" i="4" a="1"/>
  <c r="I195" i="4" s="1"/>
  <c r="H195" i="4" s="1"/>
  <c r="G196" i="4" a="1"/>
  <c r="G196" i="4" s="1"/>
  <c r="I196" i="4" a="1"/>
  <c r="I196" i="4" s="1"/>
  <c r="H196" i="4" s="1"/>
  <c r="G197" i="4" a="1"/>
  <c r="G197" i="4" s="1"/>
  <c r="I197" i="4" a="1"/>
  <c r="I197" i="4" s="1"/>
  <c r="H197" i="4" s="1"/>
  <c r="G198" i="4" a="1"/>
  <c r="G198" i="4"/>
  <c r="I198" i="4" a="1"/>
  <c r="I198" i="4" s="1"/>
  <c r="H198" i="4" s="1"/>
  <c r="G199" i="4" a="1"/>
  <c r="G199" i="4"/>
  <c r="I199" i="4" a="1"/>
  <c r="I199" i="4" s="1"/>
  <c r="H199" i="4" s="1"/>
  <c r="G200" i="4" a="1"/>
  <c r="G200" i="4"/>
  <c r="I200" i="4" a="1"/>
  <c r="I200" i="4" s="1"/>
  <c r="H200" i="4" s="1"/>
  <c r="G201" i="4" a="1"/>
  <c r="G201" i="4"/>
  <c r="I201" i="4" a="1"/>
  <c r="I201" i="4" s="1"/>
  <c r="H201" i="4" s="1"/>
  <c r="G202" i="4" a="1"/>
  <c r="G202" i="4"/>
  <c r="I202" i="4" s="1" a="1"/>
  <c r="I202" i="4" s="1"/>
  <c r="H202" i="4" s="1"/>
  <c r="G203" i="4" a="1"/>
  <c r="G203" i="4"/>
  <c r="I203" i="4" a="1"/>
  <c r="I203" i="4" s="1"/>
  <c r="H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H205" i="4" s="1"/>
  <c r="G206" i="4" a="1"/>
  <c r="G206" i="4"/>
  <c r="I206" i="4" a="1"/>
  <c r="I206" i="4" s="1"/>
  <c r="H206" i="4" s="1"/>
  <c r="G207" i="4" a="1"/>
  <c r="G207" i="4"/>
  <c r="I207" i="4" a="1"/>
  <c r="I207" i="4" s="1"/>
  <c r="H207" i="4" s="1"/>
  <c r="G208" i="4" a="1"/>
  <c r="G208" i="4"/>
  <c r="I208" i="4" a="1"/>
  <c r="I208" i="4" s="1"/>
  <c r="H208" i="4" s="1"/>
  <c r="G209" i="4" a="1"/>
  <c r="G209" i="4"/>
  <c r="I209" i="4" a="1"/>
  <c r="I209" i="4" s="1"/>
  <c r="H209" i="4" s="1"/>
  <c r="G210" i="4" a="1"/>
  <c r="G210" i="4"/>
  <c r="I210" i="4" a="1"/>
  <c r="I210" i="4" s="1"/>
  <c r="H210" i="4" s="1"/>
  <c r="G211" i="4" a="1"/>
  <c r="G211" i="4"/>
  <c r="I211" i="4" a="1"/>
  <c r="I211" i="4" s="1"/>
  <c r="H211" i="4" s="1"/>
  <c r="G212" i="4" a="1"/>
  <c r="G212" i="4" s="1"/>
  <c r="I212" i="4" a="1"/>
  <c r="I212" i="4" s="1"/>
  <c r="G213" i="4" a="1"/>
  <c r="G213" i="4" s="1"/>
  <c r="I213" i="4" s="1" a="1"/>
  <c r="I213" i="4" s="1"/>
  <c r="H213" i="4" s="1"/>
  <c r="G214" i="4" a="1"/>
  <c r="G214" i="4" s="1"/>
  <c r="I214" i="4" a="1"/>
  <c r="I214" i="4" s="1"/>
  <c r="H214" i="4" s="1"/>
  <c r="G215" i="4" a="1"/>
  <c r="G215" i="4"/>
  <c r="I215" i="4" a="1"/>
  <c r="I215" i="4" s="1"/>
  <c r="H215" i="4" s="1"/>
  <c r="G216" i="4" a="1"/>
  <c r="G216" i="4"/>
  <c r="I216" i="4" s="1" a="1"/>
  <c r="I216" i="4" s="1"/>
  <c r="H216" i="4" s="1"/>
  <c r="G217" i="4" a="1"/>
  <c r="G217" i="4"/>
  <c r="I217" i="4" a="1"/>
  <c r="I217" i="4" s="1"/>
  <c r="H217" i="4" s="1"/>
  <c r="G218" i="4" a="1"/>
  <c r="G218" i="4"/>
  <c r="I218" i="4" s="1" a="1"/>
  <c r="I218" i="4" s="1"/>
  <c r="H218" i="4" s="1"/>
  <c r="G219" i="4" a="1"/>
  <c r="G219" i="4"/>
  <c r="I219" i="4" a="1"/>
  <c r="I219" i="4" s="1"/>
  <c r="H219" i="4" s="1"/>
  <c r="G220" i="4" a="1"/>
  <c r="G220" i="4" s="1"/>
  <c r="I220" i="4" a="1"/>
  <c r="I220" i="4" s="1"/>
  <c r="H220" i="4" s="1"/>
  <c r="G221" i="4" a="1"/>
  <c r="G221" i="4" s="1"/>
  <c r="I221" i="4" a="1"/>
  <c r="I221" i="4" s="1"/>
  <c r="H221" i="4" s="1"/>
  <c r="G222" i="4" a="1"/>
  <c r="G222" i="4" s="1"/>
  <c r="I222" i="4" s="1" a="1"/>
  <c r="I222" i="4" s="1"/>
  <c r="H222" i="4" s="1"/>
  <c r="G223" i="4" a="1"/>
  <c r="G223" i="4"/>
  <c r="I223" i="4" a="1"/>
  <c r="I223" i="4" s="1"/>
  <c r="H223" i="4" s="1"/>
  <c r="G224" i="4" a="1"/>
  <c r="G224" i="4"/>
  <c r="I224" i="4" a="1"/>
  <c r="I224" i="4" s="1"/>
  <c r="H224" i="4" s="1"/>
  <c r="G225" i="4" a="1"/>
  <c r="G225" i="4"/>
  <c r="I225" i="4" a="1"/>
  <c r="I225" i="4" s="1"/>
  <c r="H225" i="4" s="1"/>
  <c r="G226" i="4" a="1"/>
  <c r="G226" i="4"/>
  <c r="I226" i="4" a="1"/>
  <c r="I226" i="4" s="1"/>
  <c r="H226" i="4" s="1"/>
  <c r="G227" i="4" a="1"/>
  <c r="G227" i="4"/>
  <c r="I227" i="4" s="1" a="1"/>
  <c r="I227" i="4" s="1"/>
  <c r="H227" i="4" s="1"/>
  <c r="G228" i="4" a="1"/>
  <c r="G228" i="4" s="1"/>
  <c r="I228" i="4" a="1"/>
  <c r="I228" i="4" s="1"/>
  <c r="H228" i="4" s="1"/>
  <c r="G229" i="4" a="1"/>
  <c r="G229" i="4" s="1"/>
  <c r="I229" i="4" a="1"/>
  <c r="I229" i="4" s="1"/>
  <c r="H229" i="4" s="1"/>
  <c r="G230" i="4" a="1"/>
  <c r="G230" i="4" s="1"/>
  <c r="I230" i="4" a="1"/>
  <c r="I230" i="4" s="1"/>
  <c r="G231" i="4" a="1"/>
  <c r="G231" i="4"/>
  <c r="I231" i="4" a="1"/>
  <c r="I231" i="4" s="1"/>
  <c r="H231" i="4" s="1"/>
  <c r="G232" i="4" a="1"/>
  <c r="G232" i="4"/>
  <c r="I232" i="4" s="1" a="1"/>
  <c r="I232" i="4" s="1"/>
  <c r="H232" i="4" s="1"/>
  <c r="G233" i="4" a="1"/>
  <c r="G233" i="4"/>
  <c r="I233" i="4" a="1"/>
  <c r="I233" i="4" s="1"/>
  <c r="H233" i="4" s="1"/>
  <c r="G234" i="4" a="1"/>
  <c r="G234" i="4"/>
  <c r="I234" i="4" a="1"/>
  <c r="I234" i="4" s="1"/>
  <c r="H234" i="4" s="1"/>
  <c r="G235" i="4" a="1"/>
  <c r="G235" i="4"/>
  <c r="I235" i="4" a="1"/>
  <c r="I235" i="4" s="1"/>
  <c r="H235" i="4" s="1"/>
  <c r="G236" i="4" a="1"/>
  <c r="G236" i="4" s="1"/>
  <c r="I236" i="4" a="1"/>
  <c r="I236" i="4" s="1"/>
  <c r="G237" i="4" a="1"/>
  <c r="G237" i="4" s="1"/>
  <c r="I237" i="4" s="1" a="1"/>
  <c r="I237" i="4" s="1"/>
  <c r="H237" i="4" s="1"/>
  <c r="G238" i="4" a="1"/>
  <c r="G238" i="4" s="1"/>
  <c r="I238" i="4" s="1" a="1"/>
  <c r="I238" i="4" s="1"/>
  <c r="H238" i="4" s="1"/>
  <c r="G239" i="4" a="1"/>
  <c r="G239" i="4"/>
  <c r="I239" i="4" a="1"/>
  <c r="I239" i="4" s="1"/>
  <c r="H239" i="4" s="1"/>
  <c r="G240" i="4" a="1"/>
  <c r="G240" i="4"/>
  <c r="I240" i="4" a="1"/>
  <c r="I240" i="4" s="1"/>
  <c r="H240" i="4" s="1"/>
  <c r="G241" i="4" a="1"/>
  <c r="G241" i="4"/>
  <c r="I241" i="4" s="1" a="1"/>
  <c r="I241" i="4" s="1"/>
  <c r="H241" i="4" s="1"/>
  <c r="G242" i="4" a="1"/>
  <c r="G242" i="4"/>
  <c r="I242" i="4" a="1"/>
  <c r="I242" i="4" s="1"/>
  <c r="H242" i="4" s="1"/>
  <c r="G243" i="4" a="1"/>
  <c r="G243" i="4"/>
  <c r="I243" i="4" s="1" a="1"/>
  <c r="I243" i="4" s="1"/>
  <c r="H243" i="4" s="1"/>
  <c r="G244" i="4" a="1"/>
  <c r="G244" i="4" s="1"/>
  <c r="I244" i="4" a="1"/>
  <c r="I244" i="4" s="1"/>
  <c r="G245" i="4" a="1"/>
  <c r="G245" i="4" s="1"/>
  <c r="I245" i="4" a="1"/>
  <c r="I245" i="4" s="1"/>
  <c r="H245" i="4" s="1"/>
  <c r="G246" i="4" a="1"/>
  <c r="G246" i="4" s="1"/>
  <c r="I246" i="4" a="1"/>
  <c r="I246" i="4" s="1"/>
  <c r="G247" i="4" a="1"/>
  <c r="G247" i="4"/>
  <c r="I247" i="4" a="1"/>
  <c r="I247" i="4" s="1"/>
  <c r="H247" i="4" s="1"/>
  <c r="G248" i="4" a="1"/>
  <c r="G248" i="4"/>
  <c r="I248" i="4" s="1" a="1"/>
  <c r="I248" i="4" s="1"/>
  <c r="H248" i="4" s="1"/>
  <c r="G249" i="4" a="1"/>
  <c r="G249" i="4"/>
  <c r="I249" i="4" a="1"/>
  <c r="I249" i="4" s="1"/>
  <c r="H249" i="4" s="1"/>
  <c r="G250" i="4" a="1"/>
  <c r="G250" i="4"/>
  <c r="I250" i="4" a="1"/>
  <c r="I250" i="4" s="1"/>
  <c r="H250" i="4" s="1"/>
  <c r="G251" i="4" a="1"/>
  <c r="G251" i="4"/>
  <c r="I251" i="4" s="1" a="1"/>
  <c r="I251" i="4" s="1"/>
  <c r="H251" i="4" s="1"/>
  <c r="G252" i="4" a="1"/>
  <c r="G252" i="4" s="1"/>
  <c r="I252" i="4" a="1"/>
  <c r="I252" i="4" s="1"/>
  <c r="H252" i="4" s="1"/>
  <c r="G253" i="4" a="1"/>
  <c r="G253" i="4" s="1"/>
  <c r="I253" i="4" s="1" a="1"/>
  <c r="I253" i="4" s="1"/>
  <c r="H253" i="4" s="1"/>
  <c r="G254" i="4" a="1"/>
  <c r="G254" i="4" s="1"/>
  <c r="I254" i="4" a="1"/>
  <c r="I254" i="4" s="1"/>
  <c r="G255" i="4" a="1"/>
  <c r="G255" i="4"/>
  <c r="I255" i="4" a="1"/>
  <c r="I255" i="4" s="1"/>
  <c r="H255" i="4" s="1"/>
  <c r="G256" i="4" a="1"/>
  <c r="G256" i="4"/>
  <c r="I256" i="4" s="1" a="1"/>
  <c r="I256" i="4" s="1"/>
  <c r="H256" i="4" s="1"/>
  <c r="G257" i="4" a="1"/>
  <c r="G257" i="4"/>
  <c r="I257" i="4" s="1" a="1"/>
  <c r="I257" i="4" s="1"/>
  <c r="H257" i="4" s="1"/>
  <c r="G258" i="4" a="1"/>
  <c r="G258" i="4"/>
  <c r="I258" i="4" a="1"/>
  <c r="I258" i="4" s="1"/>
  <c r="H258" i="4" s="1"/>
  <c r="G259" i="4" a="1"/>
  <c r="G259" i="4"/>
  <c r="I259" i="4" s="1" a="1"/>
  <c r="I259" i="4" s="1"/>
  <c r="H259" i="4" s="1"/>
  <c r="G260" i="4" a="1"/>
  <c r="G260" i="4" s="1"/>
  <c r="I260" i="4" s="1" a="1"/>
  <c r="I260" i="4" s="1"/>
  <c r="H260" i="4" s="1"/>
  <c r="G261" i="4" a="1"/>
  <c r="G261" i="4" s="1"/>
  <c r="I261" i="4" a="1"/>
  <c r="I261" i="4" s="1"/>
  <c r="H261" i="4" s="1"/>
  <c r="G262" i="4" a="1"/>
  <c r="G262" i="4" s="1"/>
  <c r="I262" i="4" a="1"/>
  <c r="I262" i="4" s="1"/>
  <c r="H262" i="4" s="1"/>
  <c r="G263" i="4" a="1"/>
  <c r="G263" i="4"/>
  <c r="I263" i="4" a="1"/>
  <c r="I263" i="4" s="1"/>
  <c r="H263" i="4" s="1"/>
  <c r="G264" i="4" a="1"/>
  <c r="G264" i="4"/>
  <c r="I264" i="4" a="1"/>
  <c r="I264" i="4" s="1"/>
  <c r="H264" i="4" s="1"/>
  <c r="G265" i="4" a="1"/>
  <c r="G265" i="4"/>
  <c r="I265" i="4" a="1"/>
  <c r="I265" i="4" s="1"/>
  <c r="H265" i="4" s="1"/>
  <c r="G266" i="4" a="1"/>
  <c r="G266" i="4"/>
  <c r="I266" i="4" s="1" a="1"/>
  <c r="I266" i="4" s="1"/>
  <c r="H266" i="4" s="1"/>
  <c r="G267" i="4" a="1"/>
  <c r="G267" i="4"/>
  <c r="I267" i="4" s="1" a="1"/>
  <c r="I267" i="4" s="1"/>
  <c r="H267" i="4" s="1"/>
  <c r="G268" i="4" a="1"/>
  <c r="G268" i="4" s="1"/>
  <c r="I268" i="4" a="1"/>
  <c r="I268" i="4" s="1"/>
  <c r="G269" i="4" a="1"/>
  <c r="G269" i="4" s="1"/>
  <c r="I269" i="4" a="1"/>
  <c r="I269" i="4" s="1"/>
  <c r="H269" i="4" s="1"/>
  <c r="G270" i="4" a="1"/>
  <c r="G270" i="4" s="1"/>
  <c r="I270" i="4" s="1" a="1"/>
  <c r="I270" i="4" s="1"/>
  <c r="H270" i="4" s="1"/>
  <c r="G271" i="4" a="1"/>
  <c r="G271" i="4"/>
  <c r="I271" i="4" a="1"/>
  <c r="I271" i="4" s="1"/>
  <c r="H271" i="4" s="1"/>
  <c r="G272" i="4" a="1"/>
  <c r="G272" i="4"/>
  <c r="I272" i="4" a="1"/>
  <c r="I272" i="4" s="1"/>
  <c r="H272" i="4" s="1"/>
  <c r="G273" i="4" a="1"/>
  <c r="G273" i="4"/>
  <c r="I273" i="4" a="1"/>
  <c r="I273" i="4" s="1"/>
  <c r="G274" i="4" a="1"/>
  <c r="G274" i="4"/>
  <c r="I274" i="4" s="1" a="1"/>
  <c r="I274" i="4" s="1"/>
  <c r="H274" i="4" s="1"/>
  <c r="G275" i="4" a="1"/>
  <c r="G275" i="4"/>
  <c r="I275" i="4" a="1"/>
  <c r="I275" i="4" s="1"/>
  <c r="H275" i="4" s="1"/>
  <c r="G276" i="4" a="1"/>
  <c r="G276" i="4" s="1"/>
  <c r="I276" i="4" a="1"/>
  <c r="I276" i="4" s="1"/>
  <c r="G277" i="4" a="1"/>
  <c r="G277" i="4" s="1"/>
  <c r="I277" i="4" a="1"/>
  <c r="I277" i="4" s="1"/>
  <c r="H277" i="4" s="1"/>
  <c r="G278" i="4" a="1"/>
  <c r="G278" i="4" s="1"/>
  <c r="I278" i="4" a="1"/>
  <c r="I278" i="4" s="1"/>
  <c r="G279" i="4" a="1"/>
  <c r="G279" i="4"/>
  <c r="I279" i="4" a="1"/>
  <c r="I279" i="4" s="1"/>
  <c r="H279" i="4" s="1"/>
  <c r="G280" i="4" a="1"/>
  <c r="G280" i="4"/>
  <c r="I280" i="4" s="1" a="1"/>
  <c r="I280" i="4" s="1"/>
  <c r="H280" i="4" s="1"/>
  <c r="G281" i="4" a="1"/>
  <c r="G281" i="4"/>
  <c r="I281" i="4" s="1" a="1"/>
  <c r="I281" i="4" s="1"/>
  <c r="H281" i="4" s="1"/>
  <c r="G282" i="4" a="1"/>
  <c r="G282" i="4"/>
  <c r="I282" i="4" a="1"/>
  <c r="I282" i="4" s="1"/>
  <c r="H282" i="4" s="1"/>
  <c r="G283" i="4" a="1"/>
  <c r="G283" i="4"/>
  <c r="I283" i="4" a="1"/>
  <c r="I283" i="4" s="1"/>
  <c r="H283" i="4" s="1"/>
  <c r="G284" i="4" a="1"/>
  <c r="G284" i="4" s="1"/>
  <c r="I284" i="4" s="1" a="1"/>
  <c r="I284" i="4" s="1"/>
  <c r="H284" i="4" s="1"/>
  <c r="G285" i="4" a="1"/>
  <c r="G285" i="4" s="1"/>
  <c r="I285" i="4" s="1" a="1"/>
  <c r="I285" i="4" s="1"/>
  <c r="H285" i="4" s="1"/>
  <c r="G286" i="4" a="1"/>
  <c r="G286" i="4" s="1"/>
  <c r="I286" i="4" s="1" a="1"/>
  <c r="I286" i="4" s="1"/>
  <c r="H286" i="4" s="1"/>
  <c r="G287" i="4" a="1"/>
  <c r="G287" i="4"/>
  <c r="I287" i="4" a="1"/>
  <c r="I287" i="4" s="1"/>
  <c r="H287" i="4" s="1"/>
  <c r="G288" i="4" a="1"/>
  <c r="G288" i="4"/>
  <c r="I288" i="4" a="1"/>
  <c r="I288" i="4" s="1"/>
  <c r="H288" i="4" s="1"/>
  <c r="G289" i="4" a="1"/>
  <c r="G289" i="4"/>
  <c r="I289" i="4" s="1" a="1"/>
  <c r="I289" i="4" s="1"/>
  <c r="H289" i="4" s="1"/>
  <c r="G290" i="4" a="1"/>
  <c r="G290" i="4"/>
  <c r="I290" i="4" a="1"/>
  <c r="I290" i="4" s="1"/>
  <c r="H290" i="4" s="1"/>
  <c r="G291" i="4" a="1"/>
  <c r="G291" i="4"/>
  <c r="I291" i="4" s="1" a="1"/>
  <c r="I291" i="4" s="1"/>
  <c r="H291" i="4" s="1"/>
  <c r="G292" i="4" a="1"/>
  <c r="G292" i="4" s="1"/>
  <c r="I292" i="4" a="1"/>
  <c r="I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/>
  <c r="I295" i="4" a="1"/>
  <c r="I295" i="4" s="1"/>
  <c r="H295" i="4" s="1"/>
  <c r="G296" i="4" a="1"/>
  <c r="G296" i="4"/>
  <c r="I296" i="4" a="1"/>
  <c r="I296" i="4" s="1"/>
  <c r="H296" i="4" s="1"/>
  <c r="G297" i="4" a="1"/>
  <c r="G297" i="4"/>
  <c r="I297" i="4" a="1"/>
  <c r="I297" i="4" s="1"/>
  <c r="H297" i="4" s="1"/>
  <c r="G298" i="4" a="1"/>
  <c r="G298" i="4"/>
  <c r="I298" i="4" a="1"/>
  <c r="I298" i="4" s="1"/>
  <c r="H298" i="4" s="1"/>
  <c r="G299" i="4" a="1"/>
  <c r="G299" i="4"/>
  <c r="I299" i="4" a="1"/>
  <c r="I299" i="4" s="1"/>
  <c r="H299" i="4" s="1"/>
  <c r="G300" i="4" a="1"/>
  <c r="G300" i="4" s="1"/>
  <c r="I300" i="4" a="1"/>
  <c r="I300" i="4" s="1"/>
  <c r="G301" i="4" a="1"/>
  <c r="G301" i="4" s="1"/>
  <c r="I301" i="4" a="1"/>
  <c r="I301" i="4" s="1"/>
  <c r="H301" i="4" s="1"/>
  <c r="G302" i="4" a="1"/>
  <c r="G302" i="4" s="1"/>
  <c r="I302" i="4" a="1"/>
  <c r="I302" i="4" s="1"/>
  <c r="G303" i="4" a="1"/>
  <c r="G303" i="4"/>
  <c r="I303" i="4" a="1"/>
  <c r="I303" i="4" s="1"/>
  <c r="H303" i="4" s="1"/>
  <c r="G304" i="4" a="1"/>
  <c r="G304" i="4"/>
  <c r="I304" i="4" a="1"/>
  <c r="I304" i="4" s="1"/>
  <c r="H304" i="4" s="1"/>
  <c r="G305" i="4" a="1"/>
  <c r="G305" i="4"/>
  <c r="I305" i="4" a="1"/>
  <c r="I305" i="4" s="1"/>
  <c r="G306" i="4" a="1"/>
  <c r="G306" i="4"/>
  <c r="I306" i="4" a="1"/>
  <c r="I306" i="4" s="1"/>
  <c r="H306" i="4" s="1"/>
  <c r="G307" i="4" a="1"/>
  <c r="G307" i="4"/>
  <c r="I307" i="4" a="1"/>
  <c r="I307" i="4" s="1"/>
  <c r="H307" i="4" s="1"/>
  <c r="G308" i="4" a="1"/>
  <c r="G308" i="4" s="1"/>
  <c r="I308" i="4" s="1" a="1"/>
  <c r="I308" i="4" s="1"/>
  <c r="H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/>
  <c r="I311" i="4" a="1"/>
  <c r="I311" i="4" s="1"/>
  <c r="H311" i="4" s="1"/>
  <c r="G312" i="4" a="1"/>
  <c r="G312" i="4"/>
  <c r="I312" i="4" a="1"/>
  <c r="I312" i="4" s="1"/>
  <c r="H312" i="4" s="1"/>
  <c r="G313" i="4" a="1"/>
  <c r="G313" i="4"/>
  <c r="I313" i="4" a="1"/>
  <c r="I313" i="4" s="1"/>
  <c r="G314" i="4" a="1"/>
  <c r="G314" i="4"/>
  <c r="I314" i="4" a="1"/>
  <c r="I314" i="4" s="1"/>
  <c r="H314" i="4" s="1"/>
  <c r="G315" i="4" a="1"/>
  <c r="G315" i="4"/>
  <c r="I315" i="4" a="1"/>
  <c r="I315" i="4" s="1"/>
  <c r="H315" i="4" s="1"/>
  <c r="G316" i="4" a="1"/>
  <c r="G316" i="4" s="1"/>
  <c r="I316" i="4" a="1"/>
  <c r="I316" i="4" s="1"/>
  <c r="H316" i="4" s="1"/>
  <c r="G317" i="4" a="1"/>
  <c r="G317" i="4" s="1"/>
  <c r="I317" i="4" s="1" a="1"/>
  <c r="I317" i="4" s="1"/>
  <c r="H317" i="4" s="1"/>
  <c r="G318" i="4" a="1"/>
  <c r="G318" i="4" s="1"/>
  <c r="I318" i="4" a="1"/>
  <c r="I318" i="4" s="1"/>
  <c r="H318" i="4" s="1"/>
  <c r="G319" i="4" a="1"/>
  <c r="G319" i="4"/>
  <c r="I319" i="4" a="1"/>
  <c r="I319" i="4" s="1"/>
  <c r="H319" i="4" s="1"/>
  <c r="G320" i="4" a="1"/>
  <c r="G320" i="4"/>
  <c r="I320" i="4" a="1"/>
  <c r="I320" i="4" s="1"/>
  <c r="G321" i="4" a="1"/>
  <c r="G321" i="4"/>
  <c r="I321" i="4" a="1"/>
  <c r="I321" i="4" s="1"/>
  <c r="H321" i="4" s="1"/>
  <c r="G322" i="4" a="1"/>
  <c r="G322" i="4"/>
  <c r="I322" i="4" a="1"/>
  <c r="I322" i="4" s="1"/>
  <c r="H322" i="4" s="1"/>
  <c r="G323" i="4" a="1"/>
  <c r="G323" i="4"/>
  <c r="I323" i="4" a="1"/>
  <c r="I323" i="4" s="1"/>
  <c r="H323" i="4" s="1"/>
  <c r="G324" i="4" a="1"/>
  <c r="G324" i="4" s="1"/>
  <c r="I324" i="4" a="1"/>
  <c r="I324" i="4" s="1"/>
  <c r="H324" i="4" s="1"/>
  <c r="G325" i="4" a="1"/>
  <c r="G325" i="4" s="1"/>
  <c r="I325" i="4" a="1"/>
  <c r="I325" i="4" s="1"/>
  <c r="G326" i="4" a="1"/>
  <c r="G326" i="4" s="1"/>
  <c r="I326" i="4" a="1"/>
  <c r="I326" i="4" s="1"/>
  <c r="H326" i="4" s="1"/>
  <c r="G327" i="4" a="1"/>
  <c r="G327" i="4"/>
  <c r="I327" i="4" a="1"/>
  <c r="I327" i="4" s="1"/>
  <c r="H327" i="4" s="1"/>
  <c r="G328" i="4" a="1"/>
  <c r="G328" i="4"/>
  <c r="I328" i="4" a="1"/>
  <c r="I328" i="4" s="1"/>
  <c r="G329" i="4" a="1"/>
  <c r="G329" i="4"/>
  <c r="I329" i="4" a="1"/>
  <c r="I329" i="4" s="1"/>
  <c r="H329" i="4" s="1"/>
  <c r="G330" i="4" a="1"/>
  <c r="G330" i="4"/>
  <c r="I330" i="4" s="1" a="1"/>
  <c r="I330" i="4" s="1"/>
  <c r="H330" i="4" s="1"/>
  <c r="G331" i="4" a="1"/>
  <c r="G331" i="4"/>
  <c r="I331" i="4" s="1" a="1"/>
  <c r="I331" i="4" s="1"/>
  <c r="H331" i="4" s="1"/>
  <c r="G332" i="4" a="1"/>
  <c r="G332" i="4" s="1"/>
  <c r="I332" i="4" s="1" a="1"/>
  <c r="I332" i="4" s="1"/>
  <c r="H332" i="4" s="1"/>
  <c r="G333" i="4" a="1"/>
  <c r="G333" i="4" s="1"/>
  <c r="I333" i="4" a="1"/>
  <c r="I333" i="4" s="1"/>
  <c r="H333" i="4" s="1"/>
  <c r="G334" i="4" a="1"/>
  <c r="G334" i="4" s="1"/>
  <c r="I334" i="4" a="1"/>
  <c r="I334" i="4" s="1"/>
  <c r="H334" i="4" s="1"/>
  <c r="G335" i="4" a="1"/>
  <c r="G335" i="4"/>
  <c r="I335" i="4" a="1"/>
  <c r="I335" i="4" s="1"/>
  <c r="H335" i="4" s="1"/>
  <c r="G336" i="4" a="1"/>
  <c r="G336" i="4"/>
  <c r="I336" i="4" s="1" a="1"/>
  <c r="I336" i="4" s="1"/>
  <c r="H336" i="4" s="1"/>
  <c r="G337" i="4" a="1"/>
  <c r="G337" i="4"/>
  <c r="I337" i="4" s="1" a="1"/>
  <c r="I337" i="4" s="1"/>
  <c r="H337" i="4" s="1"/>
  <c r="G338" i="4" a="1"/>
  <c r="G338" i="4"/>
  <c r="I338" i="4" a="1"/>
  <c r="I338" i="4" s="1"/>
  <c r="H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/>
  <c r="I343" i="4" a="1"/>
  <c r="I343" i="4" s="1"/>
  <c r="H343" i="4" s="1"/>
  <c r="G344" i="4" a="1"/>
  <c r="G344" i="4"/>
  <c r="I344" i="4" a="1"/>
  <c r="I344" i="4" s="1"/>
  <c r="G345" i="4" a="1"/>
  <c r="G345" i="4"/>
  <c r="I345" i="4" a="1"/>
  <c r="I345" i="4" s="1"/>
  <c r="G346" i="4" a="1"/>
  <c r="G346" i="4"/>
  <c r="I346" i="4" s="1" a="1"/>
  <c r="I346" i="4" s="1"/>
  <c r="H346" i="4" s="1"/>
  <c r="G347" i="4" a="1"/>
  <c r="G347" i="4" s="1"/>
  <c r="I347" i="4" a="1"/>
  <c r="I347" i="4" s="1"/>
  <c r="G348" i="4" a="1"/>
  <c r="G348" i="4" s="1"/>
  <c r="I348" i="4" a="1"/>
  <c r="I348" i="4" s="1"/>
  <c r="H348" i="4" s="1"/>
  <c r="G349" i="4" a="1"/>
  <c r="G349" i="4" s="1"/>
  <c r="I349" i="4" a="1"/>
  <c r="I349" i="4" s="1"/>
  <c r="H349" i="4" s="1"/>
  <c r="G350" i="4" a="1"/>
  <c r="G350" i="4"/>
  <c r="I350" i="4" a="1"/>
  <c r="I350" i="4" s="1"/>
  <c r="H350" i="4" s="1"/>
  <c r="G351" i="4" a="1"/>
  <c r="G351" i="4"/>
  <c r="I351" i="4" a="1"/>
  <c r="I351" i="4" s="1"/>
  <c r="H351" i="4" s="1"/>
  <c r="G352" i="4" a="1"/>
  <c r="G352" i="4"/>
  <c r="I352" i="4" s="1" a="1"/>
  <c r="I352" i="4" s="1"/>
  <c r="H352" i="4" s="1"/>
  <c r="G353" i="4" a="1"/>
  <c r="G353" i="4"/>
  <c r="I353" i="4" a="1"/>
  <c r="I353" i="4" s="1"/>
  <c r="H353" i="4" s="1"/>
  <c r="G354" i="4" a="1"/>
  <c r="G354" i="4"/>
  <c r="I354" i="4" a="1"/>
  <c r="I354" i="4" s="1"/>
  <c r="H354" i="4" s="1"/>
  <c r="G355" i="4" a="1"/>
  <c r="G355" i="4"/>
  <c r="I355" i="4" a="1"/>
  <c r="I355" i="4" s="1"/>
  <c r="G356" i="4" a="1"/>
  <c r="G356" i="4" s="1"/>
  <c r="I356" i="4" a="1"/>
  <c r="I356" i="4" s="1"/>
  <c r="H356" i="4" s="1"/>
  <c r="G357" i="4" a="1"/>
  <c r="G357" i="4" s="1"/>
  <c r="I357" i="4" a="1"/>
  <c r="I357" i="4" s="1"/>
  <c r="G358" i="4" a="1"/>
  <c r="G358" i="4" s="1"/>
  <c r="I358" i="4" a="1"/>
  <c r="I358" i="4" s="1"/>
  <c r="G359" i="4" a="1"/>
  <c r="G359" i="4"/>
  <c r="I359" i="4" a="1"/>
  <c r="I359" i="4" s="1"/>
  <c r="H359" i="4" s="1"/>
  <c r="G360" i="4" a="1"/>
  <c r="G360" i="4" s="1"/>
  <c r="I360" i="4" a="1"/>
  <c r="I360" i="4" s="1"/>
  <c r="G361" i="4" a="1"/>
  <c r="G361" i="4"/>
  <c r="I361" i="4" a="1"/>
  <c r="I361" i="4" s="1"/>
  <c r="H361" i="4" s="1"/>
  <c r="G362" i="4" a="1"/>
  <c r="G362" i="4"/>
  <c r="I362" i="4" a="1"/>
  <c r="I362" i="4" s="1"/>
  <c r="H362" i="4" s="1"/>
  <c r="G363" i="4" a="1"/>
  <c r="G363" i="4" s="1"/>
  <c r="I363" i="4" s="1" a="1"/>
  <c r="I363" i="4" s="1"/>
  <c r="H363" i="4" s="1"/>
  <c r="G364" i="4" a="1"/>
  <c r="G364" i="4" s="1"/>
  <c r="I364" i="4" a="1"/>
  <c r="I364" i="4" s="1"/>
  <c r="H364" i="4" s="1"/>
  <c r="G365" i="4" a="1"/>
  <c r="G365" i="4" s="1"/>
  <c r="I365" i="4" a="1"/>
  <c r="I365" i="4" s="1"/>
  <c r="H365" i="4" s="1"/>
  <c r="G366" i="4" a="1"/>
  <c r="G366" i="4"/>
  <c r="I366" i="4" s="1" a="1"/>
  <c r="I366" i="4" s="1"/>
  <c r="H366" i="4" s="1"/>
  <c r="G367" i="4" a="1"/>
  <c r="G367" i="4"/>
  <c r="I367" i="4" a="1"/>
  <c r="I367" i="4" s="1"/>
  <c r="H367" i="4" s="1"/>
  <c r="G368" i="4" a="1"/>
  <c r="G368" i="4"/>
  <c r="I368" i="4" a="1"/>
  <c r="I368" i="4" s="1"/>
  <c r="H368" i="4" s="1"/>
  <c r="G369" i="4" a="1"/>
  <c r="G369" i="4"/>
  <c r="I369" i="4" a="1"/>
  <c r="I369" i="4" s="1"/>
  <c r="H369" i="4" s="1"/>
  <c r="G370" i="4" a="1"/>
  <c r="G370" i="4"/>
  <c r="I370" i="4" a="1"/>
  <c r="I370" i="4" s="1"/>
  <c r="G371" i="4" a="1"/>
  <c r="G371" i="4"/>
  <c r="I371" i="4" s="1" a="1"/>
  <c r="I371" i="4" s="1"/>
  <c r="H371" i="4" s="1"/>
  <c r="G372" i="4" a="1"/>
  <c r="G372" i="4" s="1"/>
  <c r="I372" i="4" a="1"/>
  <c r="I372" i="4" s="1"/>
  <c r="H372" i="4" s="1"/>
  <c r="G373" i="4" a="1"/>
  <c r="G373" i="4" s="1"/>
  <c r="I373" i="4" a="1"/>
  <c r="I373" i="4" s="1"/>
  <c r="H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/>
  <c r="I376" i="4" s="1" a="1"/>
  <c r="I376" i="4" s="1"/>
  <c r="H376" i="4" s="1"/>
  <c r="G377" i="4" a="1"/>
  <c r="G377" i="4"/>
  <c r="I377" i="4" s="1" a="1"/>
  <c r="I377" i="4" s="1"/>
  <c r="H377" i="4" s="1"/>
  <c r="G378" i="4" a="1"/>
  <c r="G378" i="4"/>
  <c r="I378" i="4" a="1"/>
  <c r="I378" i="4" s="1"/>
  <c r="H378" i="4" s="1"/>
  <c r="G379" i="4" a="1"/>
  <c r="G379" i="4"/>
  <c r="I379" i="4" a="1"/>
  <c r="I379" i="4" s="1"/>
  <c r="H379" i="4" s="1"/>
  <c r="G380" i="4" a="1"/>
  <c r="G380" i="4" s="1"/>
  <c r="I380" i="4" a="1"/>
  <c r="I380" i="4" s="1"/>
  <c r="G381" i="4" a="1"/>
  <c r="G381" i="4" s="1"/>
  <c r="I381" i="4" s="1" a="1"/>
  <c r="I381" i="4" s="1"/>
  <c r="H381" i="4" s="1"/>
  <c r="G382" i="4" a="1"/>
  <c r="G382" i="4" s="1"/>
  <c r="I382" i="4" a="1"/>
  <c r="I382" i="4" s="1"/>
  <c r="G383" i="4" a="1"/>
  <c r="G383" i="4" s="1"/>
  <c r="I383" i="4" a="1"/>
  <c r="I383" i="4" s="1"/>
  <c r="H383" i="4" s="1"/>
  <c r="G384" i="4" a="1"/>
  <c r="G384" i="4"/>
  <c r="I384" i="4" a="1"/>
  <c r="I384" i="4" s="1"/>
  <c r="H384" i="4" s="1"/>
  <c r="G385" i="4" a="1"/>
  <c r="G385" i="4"/>
  <c r="I385" i="4" a="1"/>
  <c r="I385" i="4" s="1"/>
  <c r="H385" i="4" s="1"/>
  <c r="G386" i="4" a="1"/>
  <c r="G386" i="4"/>
  <c r="I386" i="4" s="1" a="1"/>
  <c r="I386" i="4" s="1"/>
  <c r="H386" i="4" s="1"/>
  <c r="G387" i="4" a="1"/>
  <c r="G387" i="4"/>
  <c r="I387" i="4" a="1"/>
  <c r="I387" i="4" s="1"/>
  <c r="H387" i="4" s="1"/>
  <c r="G388" i="4" a="1"/>
  <c r="G388" i="4" s="1"/>
  <c r="I388" i="4" a="1"/>
  <c r="I388" i="4" s="1"/>
  <c r="H388" i="4" s="1"/>
  <c r="G389" i="4" a="1"/>
  <c r="G389" i="4" s="1"/>
  <c r="I389" i="4" a="1"/>
  <c r="I389" i="4" s="1"/>
  <c r="G390" i="4" a="1"/>
  <c r="G390" i="4" s="1"/>
  <c r="I390" i="4" s="1" a="1"/>
  <c r="I390" i="4" s="1"/>
  <c r="H390" i="4" s="1"/>
  <c r="G391" i="4" a="1"/>
  <c r="G391" i="4" s="1"/>
  <c r="I391" i="4" a="1"/>
  <c r="I391" i="4" s="1"/>
  <c r="H391" i="4" s="1"/>
  <c r="G392" i="4" a="1"/>
  <c r="G392" i="4"/>
  <c r="I392" i="4" a="1"/>
  <c r="I392" i="4" s="1"/>
  <c r="H392" i="4" s="1"/>
  <c r="G393" i="4" a="1"/>
  <c r="G393" i="4"/>
  <c r="I393" i="4" s="1" a="1"/>
  <c r="I393" i="4" s="1"/>
  <c r="H393" i="4" s="1"/>
  <c r="G394" i="4" a="1"/>
  <c r="G394" i="4"/>
  <c r="I394" i="4" s="1" a="1"/>
  <c r="I394" i="4" s="1"/>
  <c r="H394" i="4" s="1"/>
  <c r="G395" i="4" a="1"/>
  <c r="G395" i="4"/>
  <c r="I395" i="4" a="1"/>
  <c r="I395" i="4" s="1"/>
  <c r="H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a="1"/>
  <c r="I398" i="4" s="1"/>
  <c r="H398" i="4" s="1"/>
  <c r="G399" i="4" a="1"/>
  <c r="G399" i="4" s="1"/>
  <c r="I399" i="4" s="1" a="1"/>
  <c r="I399" i="4" s="1"/>
  <c r="H399" i="4" s="1"/>
  <c r="G400" i="4" a="1"/>
  <c r="G400" i="4"/>
  <c r="I400" i="4" a="1"/>
  <c r="I400" i="4" s="1"/>
  <c r="H400" i="4" s="1"/>
  <c r="G401" i="4" a="1"/>
  <c r="G401" i="4"/>
  <c r="I401" i="4" a="1"/>
  <c r="I401" i="4" s="1"/>
  <c r="H401" i="4" s="1"/>
  <c r="G402" i="4" a="1"/>
  <c r="G402" i="4"/>
  <c r="I402" i="4" s="1" a="1"/>
  <c r="I402" i="4" s="1"/>
  <c r="H402" i="4" s="1"/>
  <c r="G403" i="4" a="1"/>
  <c r="G403" i="4"/>
  <c r="I403" i="4" a="1"/>
  <c r="I403" i="4" s="1"/>
  <c r="H403" i="4" s="1"/>
  <c r="G404" i="4" a="1"/>
  <c r="G404" i="4" s="1"/>
  <c r="I404" i="4" a="1"/>
  <c r="I404" i="4" s="1"/>
  <c r="H404" i="4" s="1"/>
  <c r="G405" i="4" a="1"/>
  <c r="G405" i="4" s="1"/>
  <c r="I405" i="4" a="1"/>
  <c r="I405" i="4" s="1"/>
  <c r="H405" i="4" s="1"/>
  <c r="G406" i="4" a="1"/>
  <c r="G406" i="4" s="1"/>
  <c r="I406" i="4" s="1" a="1"/>
  <c r="I406" i="4" s="1"/>
  <c r="H406" i="4" s="1"/>
  <c r="G407" i="4" a="1"/>
  <c r="G407" i="4" s="1"/>
  <c r="I407" i="4" a="1"/>
  <c r="I407" i="4" s="1"/>
  <c r="G408" i="4" a="1"/>
  <c r="G408" i="4"/>
  <c r="I408" i="4" a="1"/>
  <c r="I408" i="4" s="1"/>
  <c r="H408" i="4" s="1"/>
  <c r="G409" i="4" a="1"/>
  <c r="G409" i="4" s="1"/>
  <c r="I409" i="4" a="1"/>
  <c r="I409" i="4" s="1"/>
  <c r="H409" i="4" s="1"/>
  <c r="G410" i="4" a="1"/>
  <c r="G410" i="4"/>
  <c r="I410" i="4" a="1"/>
  <c r="I410" i="4" s="1"/>
  <c r="H410" i="4" s="1"/>
  <c r="G411" i="4" a="1"/>
  <c r="G411" i="4"/>
  <c r="I411" i="4" a="1"/>
  <c r="I411" i="4" s="1"/>
  <c r="H411" i="4" s="1"/>
  <c r="G412" i="4" a="1"/>
  <c r="G412" i="4"/>
  <c r="I412" i="4" a="1"/>
  <c r="I412" i="4" s="1"/>
  <c r="H412" i="4" s="1"/>
  <c r="G413" i="4" a="1"/>
  <c r="G413" i="4" s="1"/>
  <c r="I413" i="4" a="1"/>
  <c r="I413" i="4" s="1"/>
  <c r="H413" i="4" s="1"/>
  <c r="G414" i="4" a="1"/>
  <c r="G414" i="4" s="1"/>
  <c r="I414" i="4" s="1" a="1"/>
  <c r="I414" i="4" s="1"/>
  <c r="H414" i="4" s="1"/>
  <c r="G415" i="4" a="1"/>
  <c r="G415" i="4" s="1"/>
  <c r="I415" i="4" s="1" a="1"/>
  <c r="I415" i="4" s="1"/>
  <c r="H415" i="4" s="1"/>
  <c r="G416" i="4" a="1"/>
  <c r="G416" i="4"/>
  <c r="I416" i="4" s="1" a="1"/>
  <c r="I416" i="4" s="1"/>
  <c r="H416" i="4" s="1"/>
  <c r="G417" i="4" a="1"/>
  <c r="G417" i="4" s="1"/>
  <c r="I417" i="4" a="1"/>
  <c r="I417" i="4" s="1"/>
  <c r="H417" i="4" s="1"/>
  <c r="G418" i="4" a="1"/>
  <c r="G418" i="4"/>
  <c r="I418" i="4" a="1"/>
  <c r="I418" i="4" s="1"/>
  <c r="H418" i="4" s="1"/>
  <c r="G419" i="4" a="1"/>
  <c r="G419" i="4"/>
  <c r="I419" i="4" a="1"/>
  <c r="I419" i="4" s="1"/>
  <c r="H419" i="4" s="1"/>
  <c r="G420" i="4" a="1"/>
  <c r="G420" i="4"/>
  <c r="I420" i="4" a="1"/>
  <c r="I420" i="4" s="1"/>
  <c r="H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a="1"/>
  <c r="I423" i="4" s="1"/>
  <c r="G424" i="4" a="1"/>
  <c r="G424" i="4"/>
  <c r="I424" i="4" s="1" a="1"/>
  <c r="I424" i="4" s="1"/>
  <c r="H424" i="4" s="1"/>
  <c r="G425" i="4" a="1"/>
  <c r="G425" i="4" s="1"/>
  <c r="I425" i="4" a="1"/>
  <c r="I425" i="4" s="1"/>
  <c r="G426" i="4" a="1"/>
  <c r="G426" i="4"/>
  <c r="I426" i="4" a="1"/>
  <c r="I426" i="4" s="1"/>
  <c r="H426" i="4" s="1"/>
  <c r="G427" i="4" a="1"/>
  <c r="G427" i="4"/>
  <c r="I427" i="4" a="1"/>
  <c r="I427" i="4" s="1"/>
  <c r="H427" i="4" s="1"/>
  <c r="G428" i="4" a="1"/>
  <c r="G428" i="4"/>
  <c r="I428" i="4" a="1"/>
  <c r="I428" i="4" s="1"/>
  <c r="H428" i="4" s="1"/>
  <c r="G429" i="4" a="1"/>
  <c r="G429" i="4" s="1"/>
  <c r="I429" i="4" s="1" a="1"/>
  <c r="I429" i="4" s="1"/>
  <c r="H429" i="4" s="1"/>
  <c r="G430" i="4" a="1"/>
  <c r="G430" i="4" s="1"/>
  <c r="I430" i="4" a="1"/>
  <c r="I430" i="4" s="1"/>
  <c r="G431" i="4" a="1"/>
  <c r="G431" i="4" s="1"/>
  <c r="I431" i="4" a="1"/>
  <c r="I431" i="4" s="1"/>
  <c r="G432" i="4" a="1"/>
  <c r="G432" i="4"/>
  <c r="I432" i="4" a="1"/>
  <c r="I432" i="4" s="1"/>
  <c r="H432" i="4" s="1"/>
  <c r="G433" i="4" a="1"/>
  <c r="G433" i="4" s="1"/>
  <c r="I433" i="4" s="1" a="1"/>
  <c r="I433" i="4" s="1"/>
  <c r="H433" i="4" s="1"/>
  <c r="G434" i="4" a="1"/>
  <c r="G434" i="4"/>
  <c r="I434" i="4" a="1"/>
  <c r="I434" i="4" s="1"/>
  <c r="H434" i="4" s="1"/>
  <c r="G435" i="4" a="1"/>
  <c r="G435" i="4"/>
  <c r="I435" i="4" a="1"/>
  <c r="I435" i="4" s="1"/>
  <c r="H435" i="4" s="1"/>
  <c r="G436" i="4" a="1"/>
  <c r="G436" i="4"/>
  <c r="I436" i="4" s="1" a="1"/>
  <c r="I436" i="4" s="1"/>
  <c r="H436" i="4" s="1"/>
  <c r="G437" i="4" a="1"/>
  <c r="G437" i="4" s="1"/>
  <c r="I437" i="4" a="1"/>
  <c r="I437" i="4" s="1"/>
  <c r="G438" i="4" a="1"/>
  <c r="G438" i="4" s="1"/>
  <c r="I438" i="4" s="1" a="1"/>
  <c r="I438" i="4" s="1"/>
  <c r="H438" i="4" s="1"/>
  <c r="G439" i="4" a="1"/>
  <c r="G439" i="4" s="1"/>
  <c r="I439" i="4" a="1"/>
  <c r="I439" i="4" s="1"/>
  <c r="H439" i="4" s="1"/>
  <c r="G440" i="4" a="1"/>
  <c r="G440" i="4"/>
  <c r="I440" i="4" a="1"/>
  <c r="I440" i="4" s="1"/>
  <c r="H440" i="4" s="1"/>
  <c r="G441" i="4" a="1"/>
  <c r="G441" i="4" s="1"/>
  <c r="I441" i="4" a="1"/>
  <c r="I441" i="4" s="1"/>
  <c r="H441" i="4" s="1"/>
  <c r="G442" i="4" a="1"/>
  <c r="G442" i="4"/>
  <c r="I442" i="4" a="1"/>
  <c r="I442" i="4" s="1"/>
  <c r="H442" i="4" s="1"/>
  <c r="G443" i="4" a="1"/>
  <c r="G443" i="4"/>
  <c r="I443" i="4" a="1"/>
  <c r="I443" i="4" s="1"/>
  <c r="H443" i="4" s="1"/>
  <c r="G444" i="4" a="1"/>
  <c r="G444" i="4"/>
  <c r="I444" i="4" a="1"/>
  <c r="I444" i="4" s="1"/>
  <c r="H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/>
  <c r="I448" i="4" s="1" a="1"/>
  <c r="I448" i="4" s="1"/>
  <c r="H448" i="4" s="1"/>
  <c r="G449" i="4" a="1"/>
  <c r="G449" i="4" s="1"/>
  <c r="I449" i="4" a="1"/>
  <c r="I449" i="4" s="1"/>
  <c r="G450" i="4" a="1"/>
  <c r="G450" i="4"/>
  <c r="I450" i="4" a="1"/>
  <c r="I450" i="4" s="1"/>
  <c r="H450" i="4" s="1"/>
  <c r="G451" i="4" a="1"/>
  <c r="G451" i="4"/>
  <c r="I451" i="4" a="1"/>
  <c r="I451" i="4" s="1"/>
  <c r="H451" i="4" s="1"/>
  <c r="G452" i="4" a="1"/>
  <c r="G452" i="4"/>
  <c r="I452" i="4" a="1"/>
  <c r="I452" i="4" s="1"/>
  <c r="H452" i="4" s="1"/>
  <c r="G453" i="4" a="1"/>
  <c r="G453" i="4" s="1"/>
  <c r="I453" i="4" s="1" a="1"/>
  <c r="I453" i="4" s="1"/>
  <c r="H453" i="4" s="1"/>
  <c r="G454" i="4" a="1"/>
  <c r="G454" i="4" s="1"/>
  <c r="I454" i="4" s="1" a="1"/>
  <c r="I454" i="4" s="1"/>
  <c r="H454" i="4" s="1"/>
  <c r="G455" i="4" a="1"/>
  <c r="G455" i="4" s="1"/>
  <c r="I455" i="4" s="1" a="1"/>
  <c r="I455" i="4" s="1"/>
  <c r="H455" i="4" s="1"/>
  <c r="G456" i="4" a="1"/>
  <c r="G456" i="4"/>
  <c r="I456" i="4" s="1" a="1"/>
  <c r="I456" i="4" s="1"/>
  <c r="H456" i="4" s="1"/>
  <c r="G457" i="4" a="1"/>
  <c r="G457" i="4" s="1"/>
  <c r="I457" i="4" a="1"/>
  <c r="I457" i="4" s="1"/>
  <c r="G458" i="4" a="1"/>
  <c r="G458" i="4"/>
  <c r="I458" i="4" a="1"/>
  <c r="I458" i="4" s="1"/>
  <c r="H458" i="4" s="1"/>
  <c r="G459" i="4" a="1"/>
  <c r="G459" i="4"/>
  <c r="I459" i="4" a="1"/>
  <c r="I459" i="4" s="1"/>
  <c r="H459" i="4" s="1"/>
  <c r="G460" i="4" a="1"/>
  <c r="G460" i="4"/>
  <c r="I460" i="4" s="1" a="1"/>
  <c r="I460" i="4" s="1"/>
  <c r="H460" i="4" s="1"/>
  <c r="G461" i="4" a="1"/>
  <c r="G461" i="4" s="1"/>
  <c r="I461" i="4" s="1" a="1"/>
  <c r="I461" i="4" s="1"/>
  <c r="H461" i="4" s="1"/>
  <c r="G462" i="4" a="1"/>
  <c r="G462" i="4" s="1"/>
  <c r="I462" i="4" a="1"/>
  <c r="I462" i="4" s="1"/>
  <c r="G463" i="4" a="1"/>
  <c r="G463" i="4" s="1"/>
  <c r="I463" i="4" a="1"/>
  <c r="I463" i="4" s="1"/>
  <c r="G464" i="4" a="1"/>
  <c r="G464" i="4"/>
  <c r="I464" i="4" a="1"/>
  <c r="I464" i="4" s="1"/>
  <c r="H464" i="4" s="1"/>
  <c r="G465" i="4" a="1"/>
  <c r="G465" i="4" s="1"/>
  <c r="I465" i="4" s="1" a="1"/>
  <c r="I465" i="4" s="1"/>
  <c r="H465" i="4" s="1"/>
  <c r="G466" i="4" a="1"/>
  <c r="G466" i="4"/>
  <c r="I466" i="4" a="1"/>
  <c r="I466" i="4" s="1"/>
  <c r="H466" i="4" s="1"/>
  <c r="G467" i="4" a="1"/>
  <c r="G467" i="4"/>
  <c r="I467" i="4" a="1"/>
  <c r="I467" i="4" s="1"/>
  <c r="H467" i="4" s="1"/>
  <c r="G468" i="4" a="1"/>
  <c r="G468" i="4"/>
  <c r="I468" i="4" a="1"/>
  <c r="I468" i="4" s="1"/>
  <c r="H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H470" i="4" s="1"/>
  <c r="G471" i="4" a="1"/>
  <c r="G471" i="4" s="1"/>
  <c r="I471" i="4" a="1"/>
  <c r="I471" i="4" s="1"/>
  <c r="G472" i="4" a="1"/>
  <c r="G472" i="4"/>
  <c r="I472" i="4" a="1"/>
  <c r="I472" i="4" s="1"/>
  <c r="H472" i="4" s="1"/>
  <c r="G473" i="4" a="1"/>
  <c r="G473" i="4" s="1"/>
  <c r="I473" i="4" a="1"/>
  <c r="I473" i="4" s="1"/>
  <c r="H473" i="4" s="1"/>
  <c r="G474" i="4" a="1"/>
  <c r="G474" i="4"/>
  <c r="I474" i="4" a="1"/>
  <c r="I474" i="4" s="1"/>
  <c r="H474" i="4" s="1"/>
  <c r="G475" i="4" a="1"/>
  <c r="G475" i="4"/>
  <c r="I475" i="4" a="1"/>
  <c r="I475" i="4" s="1"/>
  <c r="H475" i="4" s="1"/>
  <c r="G476" i="4" a="1"/>
  <c r="G476" i="4"/>
  <c r="I476" i="4" s="1" a="1"/>
  <c r="I476" i="4" s="1"/>
  <c r="H476" i="4" s="1"/>
  <c r="G477" i="4" a="1"/>
  <c r="G477" i="4" s="1"/>
  <c r="I477" i="4" a="1"/>
  <c r="I477" i="4" s="1"/>
  <c r="H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/>
  <c r="I480" i="4" a="1"/>
  <c r="I480" i="4" s="1"/>
  <c r="H480" i="4" s="1"/>
  <c r="G481" i="4" a="1"/>
  <c r="G481" i="4" s="1"/>
  <c r="I481" i="4" s="1" a="1"/>
  <c r="I481" i="4" s="1"/>
  <c r="H481" i="4" s="1"/>
  <c r="G482" i="4" a="1"/>
  <c r="G482" i="4"/>
  <c r="I482" i="4" a="1"/>
  <c r="I482" i="4" s="1"/>
  <c r="H482" i="4" s="1"/>
  <c r="G483" i="4" a="1"/>
  <c r="G483" i="4"/>
  <c r="I483" i="4" a="1"/>
  <c r="I483" i="4" s="1"/>
  <c r="H483" i="4" s="1"/>
  <c r="G484" i="4" a="1"/>
  <c r="G484" i="4"/>
  <c r="I484" i="4" a="1"/>
  <c r="I484" i="4" s="1"/>
  <c r="H484" i="4" s="1"/>
  <c r="G485" i="4" a="1"/>
  <c r="G485" i="4" s="1"/>
  <c r="I485" i="4" a="1"/>
  <c r="I485" i="4" s="1"/>
  <c r="G486" i="4" a="1"/>
  <c r="G486" i="4" s="1"/>
  <c r="I486" i="4" a="1"/>
  <c r="I486" i="4" s="1"/>
  <c r="H486" i="4" s="1"/>
  <c r="G487" i="4" a="1"/>
  <c r="G487" i="4" s="1"/>
  <c r="I487" i="4" a="1"/>
  <c r="I487" i="4" s="1"/>
  <c r="G488" i="4" a="1"/>
  <c r="G488" i="4"/>
  <c r="I488" i="4" s="1" a="1"/>
  <c r="I488" i="4" s="1"/>
  <c r="H488" i="4" s="1"/>
  <c r="G489" i="4" a="1"/>
  <c r="G489" i="4" s="1"/>
  <c r="I489" i="4" a="1"/>
  <c r="I489" i="4" s="1"/>
  <c r="G490" i="4" a="1"/>
  <c r="G490" i="4"/>
  <c r="I490" i="4" a="1"/>
  <c r="I490" i="4" s="1"/>
  <c r="H490" i="4" s="1"/>
  <c r="G491" i="4" a="1"/>
  <c r="G491" i="4"/>
  <c r="I491" i="4" a="1"/>
  <c r="I491" i="4" s="1"/>
  <c r="H491" i="4" s="1"/>
  <c r="G492" i="4" a="1"/>
  <c r="G492" i="4"/>
  <c r="I492" i="4" a="1"/>
  <c r="I492" i="4" s="1"/>
  <c r="H492" i="4" s="1"/>
  <c r="G493" i="4" a="1"/>
  <c r="G493" i="4" s="1"/>
  <c r="I493" i="4" s="1" a="1"/>
  <c r="I493" i="4" s="1"/>
  <c r="H493" i="4" s="1"/>
  <c r="G494" i="4" a="1"/>
  <c r="G494" i="4" s="1"/>
  <c r="I494" i="4" s="1" a="1"/>
  <c r="I494" i="4" s="1"/>
  <c r="H494" i="4" s="1"/>
  <c r="G495" i="4" a="1"/>
  <c r="G495" i="4" s="1"/>
  <c r="I495" i="4" s="1" a="1"/>
  <c r="I495" i="4" s="1"/>
  <c r="H495" i="4" s="1"/>
  <c r="G496" i="4" a="1"/>
  <c r="G496" i="4"/>
  <c r="I496" i="4" a="1"/>
  <c r="I496" i="4" s="1"/>
  <c r="H496" i="4" s="1"/>
  <c r="G497" i="4" a="1"/>
  <c r="G497" i="4" s="1"/>
  <c r="I497" i="4" s="1" a="1"/>
  <c r="I497" i="4" s="1"/>
  <c r="H497" i="4" s="1"/>
  <c r="G498" i="4" a="1"/>
  <c r="G498" i="4"/>
  <c r="I498" i="4" a="1"/>
  <c r="I498" i="4" s="1"/>
  <c r="H498" i="4" s="1"/>
  <c r="G499" i="4" a="1"/>
  <c r="G499" i="4"/>
  <c r="I499" i="4" a="1"/>
  <c r="I499" i="4" s="1"/>
  <c r="H499" i="4" s="1"/>
  <c r="G500" i="4" a="1"/>
  <c r="G500" i="4"/>
  <c r="I500" i="4" s="1" a="1"/>
  <c r="I500" i="4" s="1"/>
  <c r="H500" i="4" s="1"/>
  <c r="G501" i="4" a="1"/>
  <c r="G501" i="4" s="1"/>
  <c r="I501" i="4" a="1"/>
  <c r="I501" i="4" s="1"/>
  <c r="G502" i="4" a="1"/>
  <c r="G502" i="4" s="1"/>
  <c r="I502" i="4" s="1" a="1"/>
  <c r="I502" i="4" s="1"/>
  <c r="H502" i="4" s="1"/>
  <c r="G503" i="4" a="1"/>
  <c r="G503" i="4" s="1"/>
  <c r="I503" i="4" a="1"/>
  <c r="I503" i="4" s="1"/>
  <c r="H503" i="4" s="1"/>
  <c r="G504" i="4" a="1"/>
  <c r="G504" i="4"/>
  <c r="I504" i="4" a="1"/>
  <c r="I504" i="4" s="1"/>
  <c r="H504" i="4" s="1"/>
  <c r="G505" i="4" a="1"/>
  <c r="G505" i="4" s="1"/>
  <c r="I505" i="4" a="1"/>
  <c r="I505" i="4" s="1"/>
  <c r="G506" i="4" a="1"/>
  <c r="G506" i="4"/>
  <c r="I506" i="4" a="1"/>
  <c r="I506" i="4" s="1"/>
  <c r="H506" i="4" s="1"/>
  <c r="G507" i="4" a="1"/>
  <c r="G507" i="4" s="1"/>
  <c r="I507" i="4" s="1" a="1"/>
  <c r="I507" i="4" s="1"/>
  <c r="H507" i="4" s="1"/>
  <c r="G508" i="4" a="1"/>
  <c r="G508" i="4"/>
  <c r="I508" i="4" a="1"/>
  <c r="I508" i="4" s="1"/>
  <c r="G509" i="4" a="1"/>
  <c r="G509" i="4" s="1"/>
  <c r="I509" i="4" a="1"/>
  <c r="I509" i="4" s="1"/>
  <c r="H509" i="4" s="1"/>
  <c r="G510" i="4" a="1"/>
  <c r="G510" i="4" s="1"/>
  <c r="I510" i="4" a="1"/>
  <c r="I510" i="4" s="1"/>
  <c r="H510" i="4" s="1"/>
  <c r="G511" i="4" a="1"/>
  <c r="G511" i="4" s="1"/>
  <c r="I511" i="4" a="1"/>
  <c r="I511" i="4" s="1"/>
  <c r="G512" i="4" a="1"/>
  <c r="G512" i="4"/>
  <c r="I512" i="4" a="1"/>
  <c r="I512" i="4" s="1"/>
  <c r="H512" i="4" s="1"/>
  <c r="G513" i="4" a="1"/>
  <c r="G513" i="4" s="1"/>
  <c r="I513" i="4" s="1" a="1"/>
  <c r="I513" i="4" s="1"/>
  <c r="H513" i="4" s="1"/>
  <c r="G514" i="4" a="1"/>
  <c r="G514" i="4"/>
  <c r="I514" i="4" a="1"/>
  <c r="I514" i="4" s="1"/>
  <c r="H514" i="4" s="1"/>
  <c r="G515" i="4" a="1"/>
  <c r="G515" i="4" s="1"/>
  <c r="I515" i="4" s="1" a="1"/>
  <c r="I515" i="4" s="1"/>
  <c r="H515" i="4" s="1"/>
  <c r="G516" i="4" a="1"/>
  <c r="G516" i="4"/>
  <c r="I516" i="4" s="1" a="1"/>
  <c r="I516" i="4" s="1"/>
  <c r="H516" i="4" s="1"/>
  <c r="G517" i="4" a="1"/>
  <c r="G517" i="4" s="1"/>
  <c r="I517" i="4" a="1"/>
  <c r="I517" i="4" s="1"/>
  <c r="G518" i="4" a="1"/>
  <c r="G518" i="4" s="1"/>
  <c r="I518" i="4" a="1"/>
  <c r="I518" i="4" s="1"/>
  <c r="H518" i="4" s="1"/>
  <c r="G519" i="4" a="1"/>
  <c r="G519" i="4" s="1"/>
  <c r="I519" i="4" a="1"/>
  <c r="I519" i="4" s="1"/>
  <c r="H519" i="4" s="1"/>
  <c r="G520" i="4" a="1"/>
  <c r="G520" i="4"/>
  <c r="I520" i="4" a="1"/>
  <c r="I520" i="4" s="1"/>
  <c r="G521" i="4" a="1"/>
  <c r="G521" i="4" s="1"/>
  <c r="I521" i="4" a="1"/>
  <c r="I521" i="4" s="1"/>
  <c r="G522" i="4" a="1"/>
  <c r="G522" i="4"/>
  <c r="I522" i="4" a="1"/>
  <c r="I522" i="4" s="1"/>
  <c r="H522" i="4" s="1"/>
  <c r="G523" i="4" a="1"/>
  <c r="G523" i="4" s="1"/>
  <c r="I523" i="4" a="1"/>
  <c r="I523" i="4" s="1"/>
  <c r="G524" i="4" a="1"/>
  <c r="G524" i="4"/>
  <c r="I524" i="4" a="1"/>
  <c r="I524" i="4" s="1"/>
  <c r="H524" i="4" s="1"/>
  <c r="G525" i="4" a="1"/>
  <c r="G525" i="4" s="1"/>
  <c r="I525" i="4" a="1"/>
  <c r="I525" i="4" s="1"/>
  <c r="G526" i="4" a="1"/>
  <c r="G526" i="4" s="1"/>
  <c r="I526" i="4" a="1"/>
  <c r="I526" i="4" s="1"/>
  <c r="H526" i="4" s="1"/>
  <c r="G527" i="4" a="1"/>
  <c r="G527" i="4" s="1"/>
  <c r="I527" i="4" a="1"/>
  <c r="I527" i="4" s="1"/>
  <c r="H527" i="4" s="1"/>
  <c r="G528" i="4" a="1"/>
  <c r="G528" i="4"/>
  <c r="I528" i="4" a="1"/>
  <c r="I528" i="4" s="1"/>
  <c r="G529" i="4" a="1"/>
  <c r="G529" i="4" s="1"/>
  <c r="I529" i="4" s="1" a="1"/>
  <c r="I529" i="4" s="1"/>
  <c r="H529" i="4" s="1"/>
  <c r="G530" i="4" a="1"/>
  <c r="G530" i="4"/>
  <c r="I530" i="4" s="1" a="1"/>
  <c r="I530" i="4" s="1"/>
  <c r="H530" i="4" s="1"/>
  <c r="G531" i="4" a="1"/>
  <c r="G531" i="4" s="1"/>
  <c r="I531" i="4" a="1"/>
  <c r="I531" i="4" s="1"/>
  <c r="H531" i="4" s="1"/>
  <c r="G532" i="4" a="1"/>
  <c r="G532" i="4"/>
  <c r="I532" i="4" a="1"/>
  <c r="I532" i="4" s="1"/>
  <c r="G533" i="4" a="1"/>
  <c r="G533" i="4" s="1"/>
  <c r="I533" i="4" a="1"/>
  <c r="I533" i="4" s="1"/>
  <c r="H533" i="4" s="1"/>
  <c r="G534" i="4" a="1"/>
  <c r="G534" i="4" s="1"/>
  <c r="I534" i="4" a="1"/>
  <c r="I534" i="4" s="1"/>
  <c r="H534" i="4" s="1"/>
  <c r="G535" i="4" a="1"/>
  <c r="G535" i="4" s="1"/>
  <c r="I535" i="4" a="1"/>
  <c r="I535" i="4" s="1"/>
  <c r="G536" i="4" a="1"/>
  <c r="G536" i="4"/>
  <c r="I536" i="4" a="1"/>
  <c r="I536" i="4" s="1"/>
  <c r="H536" i="4" s="1"/>
  <c r="G537" i="4" a="1"/>
  <c r="G537" i="4"/>
  <c r="I537" i="4" a="1"/>
  <c r="I537" i="4" s="1"/>
  <c r="G538" i="4" a="1"/>
  <c r="G538" i="4"/>
  <c r="I538" i="4" a="1"/>
  <c r="I538" i="4" s="1"/>
  <c r="H538" i="4" s="1"/>
  <c r="G539" i="4" a="1"/>
  <c r="G539" i="4" s="1"/>
  <c r="I539" i="4" a="1"/>
  <c r="I539" i="4" s="1"/>
  <c r="H539" i="4" s="1"/>
  <c r="G540" i="4" a="1"/>
  <c r="G540" i="4"/>
  <c r="I540" i="4" s="1" a="1"/>
  <c r="I540" i="4" s="1"/>
  <c r="H540" i="4" s="1"/>
  <c r="G541" i="4" a="1"/>
  <c r="G541" i="4" s="1"/>
  <c r="I541" i="4" a="1"/>
  <c r="I541" i="4" s="1"/>
  <c r="H541" i="4" s="1"/>
  <c r="G542" i="4" a="1"/>
  <c r="G542" i="4" s="1"/>
  <c r="I542" i="4" a="1"/>
  <c r="I542" i="4" s="1"/>
  <c r="G543" i="4" a="1"/>
  <c r="G543" i="4" s="1"/>
  <c r="I543" i="4" a="1"/>
  <c r="I543" i="4" s="1"/>
  <c r="H543" i="4" s="1"/>
  <c r="G544" i="4" a="1"/>
  <c r="G544" i="4"/>
  <c r="I544" i="4" a="1"/>
  <c r="I544" i="4" s="1"/>
  <c r="H544" i="4" s="1"/>
  <c r="G545" i="4" a="1"/>
  <c r="G545" i="4" s="1"/>
  <c r="I545" i="4" a="1"/>
  <c r="I545" i="4" s="1"/>
  <c r="G546" i="4" a="1"/>
  <c r="G546" i="4"/>
  <c r="I546" i="4" a="1"/>
  <c r="I546" i="4" s="1"/>
  <c r="H546" i="4" s="1"/>
  <c r="G547" i="4" a="1"/>
  <c r="G547" i="4" s="1"/>
  <c r="I547" i="4" s="1" a="1"/>
  <c r="I547" i="4" s="1"/>
  <c r="H547" i="4" s="1"/>
  <c r="G548" i="4" a="1"/>
  <c r="G548" i="4" s="1"/>
  <c r="I548" i="4" s="1" a="1"/>
  <c r="I548" i="4" s="1"/>
  <c r="H548" i="4" s="1"/>
  <c r="G549" i="4" a="1"/>
  <c r="G549" i="4" s="1"/>
  <c r="I549" i="4" s="1" a="1"/>
  <c r="I549" i="4" s="1"/>
  <c r="H549" i="4" s="1"/>
  <c r="G550" i="4" a="1"/>
  <c r="G550" i="4"/>
  <c r="I550" i="4" a="1"/>
  <c r="I550" i="4" s="1"/>
  <c r="H550" i="4" s="1"/>
  <c r="G551" i="4" a="1"/>
  <c r="G551" i="4" s="1"/>
  <c r="I551" i="4" a="1"/>
  <c r="I551" i="4" s="1"/>
  <c r="H551" i="4" s="1"/>
  <c r="G552" i="4" a="1"/>
  <c r="G552" i="4"/>
  <c r="I552" i="4" a="1"/>
  <c r="I552" i="4" s="1"/>
  <c r="H552" i="4" s="1"/>
  <c r="G553" i="4" a="1"/>
  <c r="G553" i="4"/>
  <c r="I553" i="4" a="1"/>
  <c r="I553" i="4" s="1"/>
  <c r="H553" i="4" s="1"/>
  <c r="G554" i="4" a="1"/>
  <c r="G554" i="4"/>
  <c r="I554" i="4" a="1"/>
  <c r="I554" i="4" s="1"/>
  <c r="H554" i="4" s="1"/>
  <c r="G555" i="4" a="1"/>
  <c r="G555" i="4"/>
  <c r="I555" i="4" a="1"/>
  <c r="I555" i="4" s="1"/>
  <c r="H555" i="4" s="1"/>
  <c r="G556" i="4" a="1"/>
  <c r="G556" i="4"/>
  <c r="I556" i="4" a="1"/>
  <c r="I556" i="4" s="1"/>
  <c r="H556" i="4" s="1"/>
  <c r="G557" i="4" a="1"/>
  <c r="G557" i="4" s="1"/>
  <c r="I557" i="4" a="1"/>
  <c r="I557" i="4" s="1"/>
  <c r="G558" i="4" a="1"/>
  <c r="G558" i="4"/>
  <c r="I558" i="4" a="1"/>
  <c r="I558" i="4" s="1"/>
  <c r="H558" i="4" s="1"/>
  <c r="G559" i="4" a="1"/>
  <c r="G559" i="4" s="1"/>
  <c r="I559" i="4" a="1"/>
  <c r="I559" i="4" s="1"/>
  <c r="H559" i="4" s="1"/>
  <c r="G560" i="4" a="1"/>
  <c r="G560" i="4" s="1"/>
  <c r="I560" i="4" a="1"/>
  <c r="I560" i="4" s="1"/>
  <c r="H560" i="4" s="1"/>
  <c r="G561" i="4" a="1"/>
  <c r="G561" i="4"/>
  <c r="I561" i="4" a="1"/>
  <c r="I561" i="4" s="1"/>
  <c r="H561" i="4" s="1"/>
  <c r="G562" i="4" a="1"/>
  <c r="G562" i="4"/>
  <c r="I562" i="4" a="1"/>
  <c r="I562" i="4" s="1"/>
  <c r="H562" i="4" s="1"/>
  <c r="G563" i="4" a="1"/>
  <c r="G563" i="4"/>
  <c r="I563" i="4" a="1"/>
  <c r="I563" i="4" s="1"/>
  <c r="H563" i="4" s="1"/>
  <c r="G564" i="4" a="1"/>
  <c r="G564" i="4"/>
  <c r="I564" i="4" a="1"/>
  <c r="I564" i="4" s="1"/>
  <c r="H564" i="4" s="1"/>
  <c r="G565" i="4" a="1"/>
  <c r="G565" i="4" s="1"/>
  <c r="I565" i="4" s="1" a="1"/>
  <c r="I565" i="4" s="1"/>
  <c r="H565" i="4" s="1"/>
  <c r="G566" i="4" a="1"/>
  <c r="G566" i="4"/>
  <c r="I566" i="4" a="1"/>
  <c r="I566" i="4" s="1"/>
  <c r="H566" i="4" s="1"/>
  <c r="G567" i="4" a="1"/>
  <c r="G567" i="4" s="1"/>
  <c r="I567" i="4" a="1"/>
  <c r="I567" i="4" s="1"/>
  <c r="H567" i="4" s="1"/>
  <c r="G568" i="4" a="1"/>
  <c r="G568" i="4" s="1"/>
  <c r="I568" i="4" a="1"/>
  <c r="I568" i="4" s="1"/>
  <c r="H568" i="4" s="1"/>
  <c r="G569" i="4" a="1"/>
  <c r="G569" i="4"/>
  <c r="I569" i="4" a="1"/>
  <c r="I569" i="4" s="1"/>
  <c r="H569" i="4" s="1"/>
  <c r="G570" i="4" a="1"/>
  <c r="G570" i="4"/>
  <c r="I570" i="4" s="1" a="1"/>
  <c r="I570" i="4" s="1"/>
  <c r="H570" i="4" s="1"/>
  <c r="G571" i="4" a="1"/>
  <c r="G571" i="4"/>
  <c r="I571" i="4" a="1"/>
  <c r="I571" i="4" s="1"/>
  <c r="H571" i="4" s="1"/>
  <c r="G572" i="4" a="1"/>
  <c r="G572" i="4"/>
  <c r="I572" i="4" a="1"/>
  <c r="I572" i="4" s="1"/>
  <c r="H572" i="4" s="1"/>
  <c r="G573" i="4" a="1"/>
  <c r="G573" i="4" s="1"/>
  <c r="I573" i="4" a="1"/>
  <c r="I573" i="4" s="1"/>
  <c r="G574" i="4" a="1"/>
  <c r="G574" i="4"/>
  <c r="I574" i="4" a="1"/>
  <c r="I574" i="4" s="1"/>
  <c r="H574" i="4" s="1"/>
  <c r="G575" i="4" a="1"/>
  <c r="G575" i="4" s="1"/>
  <c r="I575" i="4" a="1"/>
  <c r="I575" i="4" s="1"/>
  <c r="H575" i="4" s="1"/>
  <c r="G576" i="4" a="1"/>
  <c r="G576" i="4" s="1"/>
  <c r="I576" i="4" a="1"/>
  <c r="I576" i="4" s="1"/>
  <c r="G577" i="4" a="1"/>
  <c r="G577" i="4"/>
  <c r="I577" i="4" a="1"/>
  <c r="I577" i="4" s="1"/>
  <c r="H577" i="4" s="1"/>
  <c r="G578" i="4" a="1"/>
  <c r="G578" i="4"/>
  <c r="I578" i="4" a="1"/>
  <c r="I578" i="4" s="1"/>
  <c r="H578" i="4" s="1"/>
  <c r="G579" i="4" a="1"/>
  <c r="G579" i="4"/>
  <c r="I579" i="4" a="1"/>
  <c r="I579" i="4" s="1"/>
  <c r="H579" i="4" s="1"/>
  <c r="G580" i="4" a="1"/>
  <c r="G580" i="4"/>
  <c r="I580" i="4" a="1"/>
  <c r="I580" i="4" s="1"/>
  <c r="H580" i="4" s="1"/>
  <c r="G581" i="4" a="1"/>
  <c r="G581" i="4" s="1"/>
  <c r="I581" i="4" s="1" a="1"/>
  <c r="I581" i="4" s="1"/>
  <c r="H581" i="4" s="1"/>
  <c r="G582" i="4" a="1"/>
  <c r="G582" i="4"/>
  <c r="I582" i="4" a="1"/>
  <c r="I582" i="4" s="1"/>
  <c r="H582" i="4" s="1"/>
  <c r="G583" i="4" a="1"/>
  <c r="G583" i="4" s="1"/>
  <c r="I583" i="4" s="1" a="1"/>
  <c r="I583" i="4" s="1"/>
  <c r="H583" i="4" s="1"/>
  <c r="G584" i="4" a="1"/>
  <c r="G584" i="4" s="1"/>
  <c r="I584" i="4" a="1"/>
  <c r="I584" i="4" s="1"/>
  <c r="H584" i="4" s="1"/>
  <c r="G585" i="4" a="1"/>
  <c r="G585" i="4"/>
  <c r="I585" i="4" a="1"/>
  <c r="I585" i="4" s="1"/>
  <c r="H585" i="4" s="1"/>
  <c r="G586" i="4" a="1"/>
  <c r="G586" i="4"/>
  <c r="I586" i="4" a="1"/>
  <c r="I586" i="4" s="1"/>
  <c r="H586" i="4" s="1"/>
  <c r="G587" i="4" a="1"/>
  <c r="G587" i="4"/>
  <c r="I587" i="4" a="1"/>
  <c r="I587" i="4" s="1"/>
  <c r="H587" i="4" s="1"/>
  <c r="G588" i="4" a="1"/>
  <c r="G588" i="4"/>
  <c r="I588" i="4" a="1"/>
  <c r="I588" i="4" s="1"/>
  <c r="H588" i="4" s="1"/>
  <c r="G589" i="4" a="1"/>
  <c r="G589" i="4" s="1"/>
  <c r="I589" i="4" a="1"/>
  <c r="I589" i="4" s="1"/>
  <c r="H589" i="4" s="1"/>
  <c r="G590" i="4" a="1"/>
  <c r="G590" i="4"/>
  <c r="I590" i="4" a="1"/>
  <c r="I590" i="4" s="1"/>
  <c r="H590" i="4" s="1"/>
  <c r="G591" i="4" a="1"/>
  <c r="G591" i="4" s="1"/>
  <c r="I591" i="4" a="1"/>
  <c r="I591" i="4" s="1"/>
  <c r="H591" i="4" s="1"/>
  <c r="G592" i="4" a="1"/>
  <c r="G592" i="4" s="1"/>
  <c r="I592" i="4" s="1" a="1"/>
  <c r="I592" i="4" s="1"/>
  <c r="H592" i="4" s="1"/>
  <c r="G593" i="4" a="1"/>
  <c r="G593" i="4"/>
  <c r="I593" i="4" a="1"/>
  <c r="I593" i="4" s="1"/>
  <c r="H593" i="4" s="1"/>
  <c r="G594" i="4" a="1"/>
  <c r="G594" i="4"/>
  <c r="I594" i="4" s="1" a="1"/>
  <c r="I594" i="4" s="1"/>
  <c r="H594" i="4" s="1"/>
  <c r="G595" i="4" a="1"/>
  <c r="G595" i="4"/>
  <c r="I595" i="4" s="1" a="1"/>
  <c r="I595" i="4" s="1"/>
  <c r="H595" i="4" s="1"/>
  <c r="G596" i="4" a="1"/>
  <c r="G596" i="4"/>
  <c r="I596" i="4" a="1"/>
  <c r="I596" i="4" s="1"/>
  <c r="H596" i="4" s="1"/>
  <c r="G597" i="4" a="1"/>
  <c r="G597" i="4" s="1"/>
  <c r="I597" i="4" a="1"/>
  <c r="I597" i="4" s="1"/>
  <c r="H597" i="4" s="1"/>
  <c r="G598" i="4" a="1"/>
  <c r="G598" i="4"/>
  <c r="I598" i="4" a="1"/>
  <c r="I598" i="4" s="1"/>
  <c r="H598" i="4" s="1"/>
  <c r="G599" i="4" a="1"/>
  <c r="G599" i="4" s="1"/>
  <c r="I599" i="4" a="1"/>
  <c r="I599" i="4" s="1"/>
  <c r="H599" i="4" s="1"/>
  <c r="G600" i="4" a="1"/>
  <c r="G600" i="4" s="1"/>
  <c r="I600" i="4" s="1" a="1"/>
  <c r="I600" i="4" s="1"/>
  <c r="H600" i="4" s="1"/>
  <c r="G601" i="4" a="1"/>
  <c r="G601" i="4"/>
  <c r="I601" i="4" a="1"/>
  <c r="I601" i="4" s="1"/>
  <c r="H601" i="4" s="1"/>
  <c r="G602" i="4" a="1"/>
  <c r="G602" i="4"/>
  <c r="I602" i="4" a="1"/>
  <c r="I602" i="4" s="1"/>
  <c r="H602" i="4" s="1"/>
  <c r="G603" i="4" a="1"/>
  <c r="G603" i="4"/>
  <c r="I603" i="4" s="1" a="1"/>
  <c r="I603" i="4" s="1"/>
  <c r="H603" i="4" s="1"/>
  <c r="G604" i="4" a="1"/>
  <c r="G604" i="4"/>
  <c r="I604" i="4" a="1"/>
  <c r="I604" i="4" s="1"/>
  <c r="H604" i="4" s="1"/>
  <c r="G605" i="4" a="1"/>
  <c r="G605" i="4" s="1"/>
  <c r="I605" i="4" a="1"/>
  <c r="I605" i="4" s="1"/>
  <c r="H605" i="4" s="1"/>
  <c r="G606" i="4" a="1"/>
  <c r="G606" i="4"/>
  <c r="I606" i="4" a="1"/>
  <c r="I606" i="4" s="1"/>
  <c r="H606" i="4" s="1"/>
  <c r="G607" i="4" a="1"/>
  <c r="G607" i="4" s="1"/>
  <c r="I607" i="4" a="1"/>
  <c r="I607" i="4" s="1"/>
  <c r="H607" i="4" s="1"/>
  <c r="G608" i="4" a="1"/>
  <c r="G608" i="4" s="1"/>
  <c r="I608" i="4" s="1" a="1"/>
  <c r="I608" i="4" s="1"/>
  <c r="H608" i="4" s="1"/>
  <c r="G609" i="4" a="1"/>
  <c r="G609" i="4"/>
  <c r="I609" i="4" a="1"/>
  <c r="I609" i="4" s="1"/>
  <c r="H609" i="4" s="1"/>
  <c r="G610" i="4" a="1"/>
  <c r="G610" i="4"/>
  <c r="I610" i="4" s="1" a="1"/>
  <c r="I610" i="4" s="1"/>
  <c r="H610" i="4" s="1"/>
  <c r="G611" i="4" a="1"/>
  <c r="G611" i="4"/>
  <c r="I611" i="4" a="1"/>
  <c r="I611" i="4" s="1"/>
  <c r="H611" i="4" s="1"/>
  <c r="G612" i="4" a="1"/>
  <c r="G612" i="4"/>
  <c r="I612" i="4" a="1"/>
  <c r="I612" i="4" s="1"/>
  <c r="H612" i="4" s="1"/>
  <c r="G613" i="4" a="1"/>
  <c r="G613" i="4" s="1"/>
  <c r="I613" i="4" a="1"/>
  <c r="I613" i="4" s="1"/>
  <c r="G614" i="4" a="1"/>
  <c r="G614" i="4"/>
  <c r="I614" i="4" a="1"/>
  <c r="I614" i="4" s="1"/>
  <c r="H614" i="4" s="1"/>
  <c r="G615" i="4" a="1"/>
  <c r="G615" i="4" s="1"/>
  <c r="I615" i="4" a="1"/>
  <c r="I615" i="4" s="1"/>
  <c r="G616" i="4" a="1"/>
  <c r="G616" i="4" s="1"/>
  <c r="I616" i="4" s="1" a="1"/>
  <c r="I616" i="4" s="1"/>
  <c r="H616" i="4" s="1"/>
  <c r="G617" i="4" a="1"/>
  <c r="G617" i="4"/>
  <c r="I617" i="4" a="1"/>
  <c r="I617" i="4" s="1"/>
  <c r="H617" i="4" s="1"/>
  <c r="G618" i="4" a="1"/>
  <c r="G618" i="4"/>
  <c r="I618" i="4" s="1" a="1"/>
  <c r="I618" i="4" s="1"/>
  <c r="H618" i="4" s="1"/>
  <c r="G619" i="4" a="1"/>
  <c r="G619" i="4"/>
  <c r="I619" i="4" a="1"/>
  <c r="I619" i="4" s="1"/>
  <c r="H619" i="4" s="1"/>
  <c r="G620" i="4" a="1"/>
  <c r="G620" i="4"/>
  <c r="I620" i="4" a="1"/>
  <c r="I620" i="4" s="1"/>
  <c r="H620" i="4" s="1"/>
  <c r="G621" i="4" a="1"/>
  <c r="G621" i="4" s="1"/>
  <c r="I621" i="4" s="1" a="1"/>
  <c r="I621" i="4" s="1"/>
  <c r="H621" i="4" s="1"/>
  <c r="G622" i="4" a="1"/>
  <c r="G622" i="4"/>
  <c r="I622" i="4" a="1"/>
  <c r="I622" i="4" s="1"/>
  <c r="H622" i="4" s="1"/>
  <c r="G623" i="4" a="1"/>
  <c r="G623" i="4" s="1"/>
  <c r="I623" i="4" s="1" a="1"/>
  <c r="I623" i="4" s="1"/>
  <c r="H623" i="4" s="1"/>
  <c r="G624" i="4" a="1"/>
  <c r="G624" i="4" s="1"/>
  <c r="I624" i="4" s="1" a="1"/>
  <c r="I624" i="4" s="1"/>
  <c r="H624" i="4" s="1"/>
  <c r="G625" i="4" a="1"/>
  <c r="G625" i="4"/>
  <c r="I625" i="4" a="1"/>
  <c r="I625" i="4" s="1"/>
  <c r="H625" i="4" s="1"/>
  <c r="G626" i="4" a="1"/>
  <c r="G626" i="4"/>
  <c r="I626" i="4" a="1"/>
  <c r="I626" i="4" s="1"/>
  <c r="H626" i="4" s="1"/>
  <c r="G627" i="4" a="1"/>
  <c r="G627" i="4"/>
  <c r="I627" i="4" a="1"/>
  <c r="I627" i="4" s="1"/>
  <c r="H627" i="4" s="1"/>
  <c r="G628" i="4" a="1"/>
  <c r="G628" i="4"/>
  <c r="I628" i="4" a="1"/>
  <c r="I628" i="4" s="1"/>
  <c r="H628" i="4" s="1"/>
  <c r="G629" i="4" a="1"/>
  <c r="G629" i="4" s="1"/>
  <c r="I629" i="4" a="1"/>
  <c r="I629" i="4" s="1"/>
  <c r="G630" i="4" a="1"/>
  <c r="G630" i="4"/>
  <c r="I630" i="4" a="1"/>
  <c r="I630" i="4" s="1"/>
  <c r="H630" i="4" s="1"/>
  <c r="G631" i="4" a="1"/>
  <c r="G631" i="4" s="1"/>
  <c r="I631" i="4" a="1"/>
  <c r="I631" i="4" s="1"/>
  <c r="H631" i="4" s="1"/>
  <c r="G632" i="4" a="1"/>
  <c r="G632" i="4" s="1"/>
  <c r="I632" i="4" s="1" a="1"/>
  <c r="I632" i="4" s="1"/>
  <c r="H632" i="4" s="1"/>
  <c r="G633" i="4" a="1"/>
  <c r="G633" i="4"/>
  <c r="I633" i="4" a="1"/>
  <c r="I633" i="4" s="1"/>
  <c r="H633" i="4" s="1"/>
  <c r="G634" i="4" a="1"/>
  <c r="G634" i="4"/>
  <c r="I634" i="4" s="1" a="1"/>
  <c r="I634" i="4" s="1"/>
  <c r="H634" i="4" s="1"/>
  <c r="G635" i="4" a="1"/>
  <c r="G635" i="4"/>
  <c r="I635" i="4" s="1" a="1"/>
  <c r="I635" i="4" s="1"/>
  <c r="H635" i="4" s="1"/>
  <c r="G636" i="4" a="1"/>
  <c r="G636" i="4"/>
  <c r="I636" i="4" a="1"/>
  <c r="I636" i="4" s="1"/>
  <c r="H636" i="4" s="1"/>
  <c r="G637" i="4" a="1"/>
  <c r="G637" i="4" s="1"/>
  <c r="I637" i="4" s="1" a="1"/>
  <c r="I637" i="4" s="1"/>
  <c r="H637" i="4" s="1"/>
  <c r="G638" i="4" a="1"/>
  <c r="G638" i="4"/>
  <c r="I638" i="4" a="1"/>
  <c r="I638" i="4" s="1"/>
  <c r="H638" i="4" s="1"/>
  <c r="G639" i="4" a="1"/>
  <c r="G639" i="4" s="1"/>
  <c r="I639" i="4" a="1"/>
  <c r="I639" i="4" s="1"/>
  <c r="G640" i="4" a="1"/>
  <c r="G640" i="4" s="1"/>
  <c r="I640" i="4" s="1" a="1"/>
  <c r="I640" i="4" s="1"/>
  <c r="H640" i="4" s="1"/>
  <c r="G641" i="4" a="1"/>
  <c r="G641" i="4"/>
  <c r="I641" i="4" a="1"/>
  <c r="I641" i="4" s="1"/>
  <c r="H641" i="4" s="1"/>
  <c r="G642" i="4" a="1"/>
  <c r="G642" i="4"/>
  <c r="I642" i="4" a="1"/>
  <c r="I642" i="4" s="1"/>
  <c r="H642" i="4" s="1"/>
  <c r="G643" i="4" a="1"/>
  <c r="G643" i="4"/>
  <c r="I643" i="4" s="1" a="1"/>
  <c r="I643" i="4" s="1"/>
  <c r="H643" i="4" s="1"/>
  <c r="G644" i="4" a="1"/>
  <c r="G644" i="4"/>
  <c r="I644" i="4" a="1"/>
  <c r="I644" i="4" s="1"/>
  <c r="H644" i="4" s="1"/>
  <c r="G645" i="4" a="1"/>
  <c r="G645" i="4" s="1"/>
  <c r="I645" i="4" s="1" a="1"/>
  <c r="I645" i="4" s="1"/>
  <c r="H645" i="4" s="1"/>
  <c r="G646" i="4" a="1"/>
  <c r="G646" i="4"/>
  <c r="I646" i="4" a="1"/>
  <c r="I646" i="4" s="1"/>
  <c r="H646" i="4" s="1"/>
  <c r="G647" i="4" a="1"/>
  <c r="G647" i="4" s="1"/>
  <c r="I647" i="4" a="1"/>
  <c r="I647" i="4" s="1"/>
  <c r="G648" i="4" a="1"/>
  <c r="G648" i="4" s="1"/>
  <c r="I648" i="4" a="1"/>
  <c r="I648" i="4" s="1"/>
  <c r="H648" i="4" s="1"/>
  <c r="G649" i="4" a="1"/>
  <c r="G649" i="4"/>
  <c r="I649" i="4" a="1"/>
  <c r="I649" i="4" s="1"/>
  <c r="H649" i="4" s="1"/>
  <c r="G650" i="4" a="1"/>
  <c r="G650" i="4"/>
  <c r="I650" i="4" a="1"/>
  <c r="I650" i="4" s="1"/>
  <c r="H650" i="4" s="1"/>
  <c r="G651" i="4" a="1"/>
  <c r="G651" i="4"/>
  <c r="I651" i="4" a="1"/>
  <c r="I651" i="4" s="1"/>
  <c r="H651" i="4" s="1"/>
  <c r="G652" i="4" a="1"/>
  <c r="G652" i="4"/>
  <c r="I652" i="4" a="1"/>
  <c r="I652" i="4" s="1"/>
  <c r="H652" i="4" s="1"/>
  <c r="G653" i="4" a="1"/>
  <c r="G653" i="4" s="1"/>
  <c r="I653" i="4" a="1"/>
  <c r="I653" i="4" s="1"/>
  <c r="H653" i="4" s="1"/>
  <c r="G654" i="4" a="1"/>
  <c r="G654" i="4"/>
  <c r="I654" i="4" a="1"/>
  <c r="I654" i="4" s="1"/>
  <c r="H654" i="4" s="1"/>
  <c r="G655" i="4" a="1"/>
  <c r="G655" i="4" s="1"/>
  <c r="I655" i="4" a="1"/>
  <c r="I655" i="4" s="1"/>
  <c r="G656" i="4" a="1"/>
  <c r="G656" i="4" s="1"/>
  <c r="I656" i="4" a="1"/>
  <c r="I656" i="4" s="1"/>
  <c r="H656" i="4" s="1"/>
  <c r="G657" i="4" a="1"/>
  <c r="G657" i="4"/>
  <c r="I657" i="4" a="1"/>
  <c r="I657" i="4" s="1"/>
  <c r="H657" i="4" s="1"/>
  <c r="G658" i="4" a="1"/>
  <c r="G658" i="4"/>
  <c r="I658" i="4" s="1" a="1"/>
  <c r="I658" i="4" s="1"/>
  <c r="H658" i="4" s="1"/>
  <c r="G659" i="4" a="1"/>
  <c r="G659" i="4"/>
  <c r="I659" i="4" a="1"/>
  <c r="I659" i="4" s="1"/>
  <c r="H659" i="4" s="1"/>
  <c r="G660" i="4" a="1"/>
  <c r="G660" i="4"/>
  <c r="I660" i="4" a="1"/>
  <c r="I660" i="4" s="1"/>
  <c r="H660" i="4" s="1"/>
  <c r="G661" i="4" a="1"/>
  <c r="G661" i="4" s="1"/>
  <c r="I661" i="4" a="1"/>
  <c r="I661" i="4" s="1"/>
  <c r="G662" i="4" a="1"/>
  <c r="G662" i="4"/>
  <c r="I662" i="4" a="1"/>
  <c r="I662" i="4" s="1"/>
  <c r="H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/>
  <c r="I665" i="4" a="1"/>
  <c r="I665" i="4" s="1"/>
  <c r="H665" i="4" s="1"/>
  <c r="G666" i="4" a="1"/>
  <c r="G666" i="4"/>
  <c r="I666" i="4" a="1"/>
  <c r="I666" i="4" s="1"/>
  <c r="H666" i="4" s="1"/>
  <c r="G667" i="4" a="1"/>
  <c r="G667" i="4"/>
  <c r="I667" i="4" s="1" a="1"/>
  <c r="I667" i="4" s="1"/>
  <c r="H667" i="4" s="1"/>
  <c r="G668" i="4" a="1"/>
  <c r="G668" i="4"/>
  <c r="I668" i="4" a="1"/>
  <c r="I668" i="4" s="1"/>
  <c r="H668" i="4" s="1"/>
  <c r="G669" i="4" a="1"/>
  <c r="G669" i="4" s="1"/>
  <c r="I669" i="4" a="1"/>
  <c r="I669" i="4" s="1"/>
  <c r="G670" i="4" a="1"/>
  <c r="G670" i="4"/>
  <c r="I670" i="4" a="1"/>
  <c r="I670" i="4" s="1"/>
  <c r="H670" i="4" s="1"/>
  <c r="G671" i="4" a="1"/>
  <c r="G671" i="4" s="1"/>
  <c r="I671" i="4" a="1"/>
  <c r="I671" i="4" s="1"/>
  <c r="H671" i="4" s="1"/>
  <c r="G672" i="4" a="1"/>
  <c r="G672" i="4" s="1"/>
  <c r="I672" i="4" a="1"/>
  <c r="I672" i="4" s="1"/>
  <c r="G673" i="4" a="1"/>
  <c r="G673" i="4"/>
  <c r="I673" i="4" a="1"/>
  <c r="I673" i="4" s="1"/>
  <c r="H673" i="4" s="1"/>
  <c r="G674" i="4" a="1"/>
  <c r="G674" i="4"/>
  <c r="I674" i="4" a="1"/>
  <c r="I674" i="4" s="1"/>
  <c r="H674" i="4" s="1"/>
  <c r="G675" i="4" a="1"/>
  <c r="G675" i="4"/>
  <c r="I675" i="4" a="1"/>
  <c r="I675" i="4" s="1"/>
  <c r="H675" i="4" s="1"/>
  <c r="G676" i="4" a="1"/>
  <c r="G676" i="4"/>
  <c r="I676" i="4" a="1"/>
  <c r="I676" i="4" s="1"/>
  <c r="H676" i="4" s="1"/>
  <c r="G677" i="4" a="1"/>
  <c r="G677" i="4" s="1"/>
  <c r="I677" i="4" a="1"/>
  <c r="I677" i="4" s="1"/>
  <c r="G678" i="4" a="1"/>
  <c r="G678" i="4"/>
  <c r="I678" i="4" a="1"/>
  <c r="I678" i="4" s="1"/>
  <c r="H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/>
  <c r="I681" i="4" a="1"/>
  <c r="I681" i="4" s="1"/>
  <c r="H681" i="4" s="1"/>
  <c r="G682" i="4" a="1"/>
  <c r="G682" i="4"/>
  <c r="I682" i="4" a="1"/>
  <c r="I682" i="4" s="1"/>
  <c r="H682" i="4" s="1"/>
  <c r="G683" i="4" a="1"/>
  <c r="G683" i="4"/>
  <c r="I683" i="4" a="1"/>
  <c r="I683" i="4" s="1"/>
  <c r="G684" i="4" a="1"/>
  <c r="G684" i="4"/>
  <c r="I684" i="4" a="1"/>
  <c r="I684" i="4" s="1"/>
  <c r="H684" i="4" s="1"/>
  <c r="G685" i="4" a="1"/>
  <c r="G685" i="4" s="1"/>
  <c r="I685" i="4" a="1"/>
  <c r="I685" i="4" s="1"/>
  <c r="G686" i="4" a="1"/>
  <c r="G686" i="4"/>
  <c r="I686" i="4" a="1"/>
  <c r="I686" i="4" s="1"/>
  <c r="H686" i="4" s="1"/>
  <c r="G687" i="4" a="1"/>
  <c r="G687" i="4" s="1"/>
  <c r="I687" i="4" a="1"/>
  <c r="I687" i="4" s="1"/>
  <c r="G688" i="4" a="1"/>
  <c r="G688" i="4" s="1"/>
  <c r="I688" i="4" a="1"/>
  <c r="I688" i="4" s="1"/>
  <c r="H688" i="4" s="1"/>
  <c r="G689" i="4" a="1"/>
  <c r="G689" i="4"/>
  <c r="I689" i="4" a="1"/>
  <c r="I689" i="4" s="1"/>
  <c r="H689" i="4" s="1"/>
  <c r="G690" i="4" a="1"/>
  <c r="G690" i="4"/>
  <c r="I690" i="4" a="1"/>
  <c r="I690" i="4" s="1"/>
  <c r="H690" i="4" s="1"/>
  <c r="G691" i="4" a="1"/>
  <c r="G691" i="4"/>
  <c r="I691" i="4" a="1"/>
  <c r="I691" i="4" s="1"/>
  <c r="G692" i="4" a="1"/>
  <c r="G692" i="4"/>
  <c r="I692" i="4" a="1"/>
  <c r="I692" i="4" s="1"/>
  <c r="H692" i="4" s="1"/>
  <c r="G693" i="4" a="1"/>
  <c r="G693" i="4" s="1"/>
  <c r="I693" i="4" a="1"/>
  <c r="I693" i="4" s="1"/>
  <c r="H693" i="4" s="1"/>
  <c r="G694" i="4" a="1"/>
  <c r="G694" i="4"/>
  <c r="I694" i="4" a="1"/>
  <c r="I694" i="4" s="1"/>
  <c r="H694" i="4" s="1"/>
  <c r="G695" i="4" a="1"/>
  <c r="G695" i="4" s="1"/>
  <c r="I695" i="4" a="1"/>
  <c r="I695" i="4" s="1"/>
  <c r="H695" i="4" s="1"/>
  <c r="G696" i="4" a="1"/>
  <c r="G696" i="4" s="1"/>
  <c r="I696" i="4" a="1"/>
  <c r="I696" i="4" s="1"/>
  <c r="G697" i="4" a="1"/>
  <c r="G697" i="4"/>
  <c r="I697" i="4" a="1"/>
  <c r="I697" i="4" s="1"/>
  <c r="H697" i="4" s="1"/>
  <c r="G698" i="4" a="1"/>
  <c r="G698" i="4"/>
  <c r="I698" i="4" a="1"/>
  <c r="I698" i="4" s="1"/>
  <c r="H698" i="4" s="1"/>
  <c r="G699" i="4" a="1"/>
  <c r="G699" i="4"/>
  <c r="I699" i="4" a="1"/>
  <c r="I699" i="4" s="1"/>
  <c r="H699" i="4" s="1"/>
  <c r="G700" i="4" a="1"/>
  <c r="G700" i="4"/>
  <c r="I700" i="4" a="1"/>
  <c r="I700" i="4" s="1"/>
  <c r="H700" i="4" s="1"/>
  <c r="G701" i="4" a="1"/>
  <c r="G701" i="4" s="1"/>
  <c r="I701" i="4" a="1"/>
  <c r="I701" i="4" s="1"/>
  <c r="G702" i="4" a="1"/>
  <c r="G702" i="4"/>
  <c r="I702" i="4" a="1"/>
  <c r="I702" i="4" s="1"/>
  <c r="H702" i="4" s="1"/>
  <c r="G703" i="4" a="1"/>
  <c r="G703" i="4" s="1"/>
  <c r="I703" i="4" a="1"/>
  <c r="I703" i="4" s="1"/>
  <c r="H703" i="4" s="1"/>
  <c r="G704" i="4" a="1"/>
  <c r="G704" i="4"/>
  <c r="I704" i="4" a="1"/>
  <c r="I704" i="4" s="1"/>
  <c r="H704" i="4" s="1"/>
  <c r="G705" i="4" a="1"/>
  <c r="G705" i="4"/>
  <c r="I705" i="4" a="1"/>
  <c r="I705" i="4" s="1"/>
  <c r="H705" i="4" s="1"/>
  <c r="G706" i="4" a="1"/>
  <c r="G706" i="4"/>
  <c r="I706" i="4" a="1"/>
  <c r="I706" i="4" s="1"/>
  <c r="H706" i="4" s="1"/>
  <c r="G707" i="4" a="1"/>
  <c r="G707" i="4"/>
  <c r="I707" i="4" a="1"/>
  <c r="I707" i="4" s="1"/>
  <c r="H707" i="4" s="1"/>
  <c r="G708" i="4" a="1"/>
  <c r="G708" i="4"/>
  <c r="I708" i="4" a="1"/>
  <c r="I708" i="4" s="1"/>
  <c r="H708" i="4" s="1"/>
  <c r="G709" i="4" a="1"/>
  <c r="G709" i="4" s="1"/>
  <c r="I709" i="4" a="1"/>
  <c r="I709" i="4" s="1"/>
  <c r="H709" i="4" s="1"/>
  <c r="G710" i="4" a="1"/>
  <c r="G710" i="4"/>
  <c r="I710" i="4" a="1"/>
  <c r="I710" i="4" s="1"/>
  <c r="H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/>
  <c r="I713" i="4" a="1"/>
  <c r="I713" i="4" s="1"/>
  <c r="H713" i="4" s="1"/>
  <c r="G714" i="4" a="1"/>
  <c r="G714" i="4"/>
  <c r="I714" i="4" a="1"/>
  <c r="I714" i="4" s="1"/>
  <c r="G715" i="4" a="1"/>
  <c r="G715" i="4"/>
  <c r="I715" i="4" a="1"/>
  <c r="I715" i="4" s="1"/>
  <c r="H715" i="4" s="1"/>
  <c r="G716" i="4" a="1"/>
  <c r="G716" i="4"/>
  <c r="I716" i="4" a="1"/>
  <c r="I716" i="4" s="1"/>
  <c r="H716" i="4" s="1"/>
  <c r="G717" i="4" a="1"/>
  <c r="G717" i="4"/>
  <c r="I717" i="4" s="1" a="1"/>
  <c r="I717" i="4" s="1"/>
  <c r="H717" i="4" s="1"/>
  <c r="G718" i="4" a="1"/>
  <c r="G718" i="4"/>
  <c r="I718" i="4" a="1"/>
  <c r="I718" i="4" s="1"/>
  <c r="H718" i="4" s="1"/>
  <c r="G719" i="4" a="1"/>
  <c r="G719" i="4" s="1"/>
  <c r="I719" i="4" s="1" a="1"/>
  <c r="I719" i="4" s="1"/>
  <c r="H719" i="4" s="1"/>
  <c r="G720" i="4" a="1"/>
  <c r="G720" i="4" s="1"/>
  <c r="I720" i="4" a="1"/>
  <c r="I720" i="4" s="1"/>
  <c r="H720" i="4" s="1"/>
  <c r="G721" i="4" a="1"/>
  <c r="G721" i="4"/>
  <c r="I721" i="4" a="1"/>
  <c r="I721" i="4" s="1"/>
  <c r="H721" i="4" s="1"/>
  <c r="G722" i="4" a="1"/>
  <c r="G722" i="4" s="1"/>
  <c r="I722" i="4" s="1" a="1"/>
  <c r="I722" i="4" s="1"/>
  <c r="H722" i="4" s="1"/>
  <c r="G723" i="4" a="1"/>
  <c r="G723" i="4"/>
  <c r="I723" i="4" a="1"/>
  <c r="I723" i="4" s="1"/>
  <c r="H723" i="4" s="1"/>
  <c r="G724" i="4" a="1"/>
  <c r="G724" i="4" s="1"/>
  <c r="I724" i="4" s="1" a="1"/>
  <c r="I724" i="4" s="1"/>
  <c r="H724" i="4" s="1"/>
  <c r="G725" i="4" a="1"/>
  <c r="G725" i="4" s="1"/>
  <c r="I725" i="4" a="1"/>
  <c r="I725" i="4" s="1"/>
  <c r="H725" i="4" s="1"/>
  <c r="G726" i="4" a="1"/>
  <c r="G726" i="4"/>
  <c r="I726" i="4" a="1"/>
  <c r="I726" i="4" s="1"/>
  <c r="H726" i="4" s="1"/>
  <c r="G727" i="4" a="1"/>
  <c r="G727" i="4"/>
  <c r="I727" i="4" a="1"/>
  <c r="I727" i="4" s="1"/>
  <c r="H727" i="4" s="1"/>
  <c r="G728" i="4" a="1"/>
  <c r="G728" i="4"/>
  <c r="I728" i="4" s="1" a="1"/>
  <c r="I728" i="4" s="1"/>
  <c r="H728" i="4" s="1"/>
  <c r="G729" i="4" a="1"/>
  <c r="G729" i="4"/>
  <c r="I729" i="4" a="1"/>
  <c r="I729" i="4" s="1"/>
  <c r="H729" i="4" s="1"/>
  <c r="G730" i="4" a="1"/>
  <c r="G730" i="4" s="1"/>
  <c r="I730" i="4" a="1"/>
  <c r="I730" i="4" s="1"/>
  <c r="G731" i="4" a="1"/>
  <c r="G731" i="4"/>
  <c r="I731" i="4" a="1"/>
  <c r="I731" i="4" s="1"/>
  <c r="H731" i="4" s="1"/>
  <c r="G732" i="4" a="1"/>
  <c r="G732" i="4" s="1"/>
  <c r="I732" i="4" a="1"/>
  <c r="I732" i="4" s="1"/>
  <c r="H732" i="4" s="1"/>
  <c r="G733" i="4" a="1"/>
  <c r="G733" i="4" s="1"/>
  <c r="I733" i="4" a="1"/>
  <c r="I733" i="4" s="1"/>
  <c r="H733" i="4" s="1"/>
  <c r="G734" i="4" a="1"/>
  <c r="G734" i="4"/>
  <c r="I734" i="4" a="1"/>
  <c r="I734" i="4" s="1"/>
  <c r="H734" i="4" s="1"/>
  <c r="G735" i="4" a="1"/>
  <c r="G735" i="4"/>
  <c r="I735" i="4" a="1"/>
  <c r="I735" i="4" s="1"/>
  <c r="H735" i="4" s="1"/>
  <c r="G736" i="4" a="1"/>
  <c r="G736" i="4"/>
  <c r="I736" i="4" a="1"/>
  <c r="I736" i="4" s="1"/>
  <c r="H736" i="4" s="1"/>
  <c r="G737" i="4" a="1"/>
  <c r="G737" i="4"/>
  <c r="I737" i="4" a="1"/>
  <c r="I737" i="4" s="1"/>
  <c r="H737" i="4" s="1"/>
  <c r="G738" i="4" a="1"/>
  <c r="G738" i="4" s="1"/>
  <c r="I738" i="4" a="1"/>
  <c r="I738" i="4" s="1"/>
  <c r="G739" i="4" a="1"/>
  <c r="G739" i="4"/>
  <c r="I739" i="4" a="1"/>
  <c r="I739" i="4" s="1"/>
  <c r="H739" i="4" s="1"/>
  <c r="G740" i="4" a="1"/>
  <c r="G740" i="4" s="1"/>
  <c r="I740" i="4" a="1"/>
  <c r="I740" i="4" s="1"/>
  <c r="H740" i="4" s="1"/>
  <c r="G741" i="4" a="1"/>
  <c r="G741" i="4" s="1"/>
  <c r="I741" i="4" a="1"/>
  <c r="I741" i="4" s="1"/>
  <c r="H741" i="4" s="1"/>
  <c r="G742" i="4" a="1"/>
  <c r="G742" i="4"/>
  <c r="I742" i="4" a="1"/>
  <c r="I742" i="4" s="1"/>
  <c r="H742" i="4" s="1"/>
  <c r="G743" i="4" a="1"/>
  <c r="G743" i="4"/>
  <c r="I743" i="4" a="1"/>
  <c r="I743" i="4" s="1"/>
  <c r="H743" i="4" s="1"/>
  <c r="G744" i="4" a="1"/>
  <c r="G744" i="4"/>
  <c r="I744" i="4" a="1"/>
  <c r="I744" i="4" s="1"/>
  <c r="H744" i="4" s="1"/>
  <c r="G745" i="4" a="1"/>
  <c r="G745" i="4"/>
  <c r="I745" i="4" a="1"/>
  <c r="I745" i="4" s="1"/>
  <c r="H745" i="4" s="1"/>
  <c r="G746" i="4" a="1"/>
  <c r="G746" i="4" s="1"/>
  <c r="I746" i="4" a="1"/>
  <c r="I746" i="4" s="1"/>
  <c r="G747" i="4" a="1"/>
  <c r="G747" i="4"/>
  <c r="I747" i="4" a="1"/>
  <c r="I747" i="4" s="1"/>
  <c r="H747" i="4" s="1"/>
  <c r="G748" i="4" a="1"/>
  <c r="G748" i="4" s="1"/>
  <c r="I748" i="4" a="1"/>
  <c r="I748" i="4" s="1"/>
  <c r="H748" i="4" s="1"/>
  <c r="G749" i="4" a="1"/>
  <c r="G749" i="4" s="1"/>
  <c r="I749" i="4" a="1"/>
  <c r="I749" i="4" s="1"/>
  <c r="H749" i="4" s="1"/>
  <c r="G750" i="4" a="1"/>
  <c r="G750" i="4"/>
  <c r="I750" i="4" a="1"/>
  <c r="I750" i="4" s="1"/>
  <c r="H750" i="4" s="1"/>
  <c r="G751" i="4" a="1"/>
  <c r="G751" i="4"/>
  <c r="I751" i="4" a="1"/>
  <c r="I751" i="4" s="1"/>
  <c r="H751" i="4" s="1"/>
  <c r="G752" i="4" a="1"/>
  <c r="G752" i="4"/>
  <c r="I752" i="4" a="1"/>
  <c r="I752" i="4" s="1"/>
  <c r="G753" i="4" a="1"/>
  <c r="G753" i="4"/>
  <c r="I753" i="4" a="1"/>
  <c r="I753" i="4" s="1"/>
  <c r="H753" i="4" s="1"/>
  <c r="G754" i="4" a="1"/>
  <c r="G754" i="4" s="1"/>
  <c r="I754" i="4" a="1"/>
  <c r="I754" i="4" s="1"/>
  <c r="G755" i="4" a="1"/>
  <c r="G755" i="4"/>
  <c r="I755" i="4" a="1"/>
  <c r="I755" i="4" s="1"/>
  <c r="H755" i="4" s="1"/>
  <c r="G756" i="4" a="1"/>
  <c r="G756" i="4" s="1"/>
  <c r="I756" i="4" a="1"/>
  <c r="I756" i="4" s="1"/>
  <c r="H756" i="4" s="1"/>
  <c r="G757" i="4" a="1"/>
  <c r="G757" i="4" s="1"/>
  <c r="I757" i="4" a="1"/>
  <c r="I757" i="4" s="1"/>
  <c r="H757" i="4" s="1"/>
  <c r="G758" i="4" a="1"/>
  <c r="G758" i="4"/>
  <c r="I758" i="4" a="1"/>
  <c r="I758" i="4" s="1"/>
  <c r="H758" i="4" s="1"/>
  <c r="G759" i="4" a="1"/>
  <c r="G759" i="4"/>
  <c r="I759" i="4" a="1"/>
  <c r="I759" i="4" s="1"/>
  <c r="H759" i="4" s="1"/>
  <c r="G760" i="4" a="1"/>
  <c r="G760" i="4"/>
  <c r="I760" i="4" a="1"/>
  <c r="I760" i="4" s="1"/>
  <c r="G761" i="4" a="1"/>
  <c r="G761" i="4"/>
  <c r="I761" i="4" a="1"/>
  <c r="I761" i="4" s="1"/>
  <c r="H761" i="4" s="1"/>
  <c r="G762" i="4" a="1"/>
  <c r="G762" i="4" s="1"/>
  <c r="I762" i="4" a="1"/>
  <c r="I762" i="4" s="1"/>
  <c r="G763" i="4" a="1"/>
  <c r="G763" i="4"/>
  <c r="I763" i="4" a="1"/>
  <c r="I763" i="4" s="1"/>
  <c r="H763" i="4" s="1"/>
  <c r="G764" i="4" a="1"/>
  <c r="G764" i="4" s="1"/>
  <c r="I764" i="4" a="1"/>
  <c r="I764" i="4" s="1"/>
  <c r="H764" i="4" s="1"/>
  <c r="G765" i="4" a="1"/>
  <c r="G765" i="4" s="1"/>
  <c r="I765" i="4" a="1"/>
  <c r="I765" i="4" s="1"/>
  <c r="H765" i="4" s="1"/>
  <c r="G766" i="4" a="1"/>
  <c r="G766" i="4"/>
  <c r="I766" i="4" a="1"/>
  <c r="I766" i="4" s="1"/>
  <c r="H766" i="4" s="1"/>
  <c r="G767" i="4" a="1"/>
  <c r="G767" i="4"/>
  <c r="I767" i="4" a="1"/>
  <c r="I767" i="4" s="1"/>
  <c r="H767" i="4" s="1"/>
  <c r="G768" i="4" a="1"/>
  <c r="G768" i="4"/>
  <c r="I768" i="4" a="1"/>
  <c r="I768" i="4" s="1"/>
  <c r="G769" i="4" a="1"/>
  <c r="G769" i="4"/>
  <c r="I769" i="4" a="1"/>
  <c r="I769" i="4" s="1"/>
  <c r="H769" i="4" s="1"/>
  <c r="G770" i="4" a="1"/>
  <c r="G770" i="4" s="1"/>
  <c r="I770" i="4" a="1"/>
  <c r="I770" i="4" s="1"/>
  <c r="G771" i="4" a="1"/>
  <c r="G771" i="4"/>
  <c r="I771" i="4" a="1"/>
  <c r="I771" i="4" s="1"/>
  <c r="H771" i="4" s="1"/>
  <c r="G772" i="4" a="1"/>
  <c r="G772" i="4" s="1"/>
  <c r="I772" i="4" a="1"/>
  <c r="I772" i="4" s="1"/>
  <c r="H772" i="4" s="1"/>
  <c r="G773" i="4" a="1"/>
  <c r="G773" i="4" s="1"/>
  <c r="I773" i="4" a="1"/>
  <c r="I773" i="4" s="1"/>
  <c r="H773" i="4" s="1"/>
  <c r="G774" i="4" a="1"/>
  <c r="G774" i="4"/>
  <c r="I774" i="4" a="1"/>
  <c r="I774" i="4" s="1"/>
  <c r="H774" i="4" s="1"/>
  <c r="G775" i="4" a="1"/>
  <c r="G775" i="4"/>
  <c r="I775" i="4" a="1"/>
  <c r="I775" i="4" s="1"/>
  <c r="H775" i="4" s="1"/>
  <c r="G776" i="4" a="1"/>
  <c r="G776" i="4"/>
  <c r="I776" i="4" a="1"/>
  <c r="I776" i="4" s="1"/>
  <c r="G777" i="4" a="1"/>
  <c r="G777" i="4"/>
  <c r="I777" i="4" a="1"/>
  <c r="I777" i="4" s="1"/>
  <c r="H777" i="4" s="1"/>
  <c r="G778" i="4" a="1"/>
  <c r="G778" i="4" s="1"/>
  <c r="I778" i="4" a="1"/>
  <c r="I778" i="4" s="1"/>
  <c r="G779" i="4" a="1"/>
  <c r="G779" i="4"/>
  <c r="I779" i="4" a="1"/>
  <c r="I779" i="4" s="1"/>
  <c r="H779" i="4" s="1"/>
  <c r="G780" i="4" a="1"/>
  <c r="G780" i="4" s="1"/>
  <c r="I780" i="4" a="1"/>
  <c r="I780" i="4" s="1"/>
  <c r="H780" i="4" s="1"/>
  <c r="G781" i="4" a="1"/>
  <c r="G781" i="4" s="1"/>
  <c r="I781" i="4" s="1" a="1"/>
  <c r="I781" i="4" s="1"/>
  <c r="H781" i="4" s="1"/>
  <c r="G782" i="4" a="1"/>
  <c r="G782" i="4"/>
  <c r="I782" i="4" a="1"/>
  <c r="I782" i="4" s="1"/>
  <c r="H782" i="4" s="1"/>
  <c r="G783" i="4" a="1"/>
  <c r="G783" i="4"/>
  <c r="I783" i="4" a="1"/>
  <c r="I783" i="4" s="1"/>
  <c r="H783" i="4" s="1"/>
  <c r="G784" i="4" a="1"/>
  <c r="G784" i="4"/>
  <c r="I784" i="4" a="1"/>
  <c r="I784" i="4" s="1"/>
  <c r="G785" i="4" a="1"/>
  <c r="G785" i="4"/>
  <c r="I785" i="4" a="1"/>
  <c r="I785" i="4" s="1"/>
  <c r="H785" i="4" s="1"/>
  <c r="G786" i="4" a="1"/>
  <c r="G786" i="4" s="1"/>
  <c r="I786" i="4" a="1"/>
  <c r="I786" i="4" s="1"/>
  <c r="G787" i="4" a="1"/>
  <c r="G787" i="4"/>
  <c r="I787" i="4" a="1"/>
  <c r="I787" i="4" s="1"/>
  <c r="H787" i="4" s="1"/>
  <c r="G788" i="4" a="1"/>
  <c r="G788" i="4" s="1"/>
  <c r="I788" i="4" a="1"/>
  <c r="I788" i="4" s="1"/>
  <c r="G789" i="4" a="1"/>
  <c r="G789" i="4" s="1"/>
  <c r="I789" i="4" a="1"/>
  <c r="I789" i="4" s="1"/>
  <c r="H789" i="4" s="1"/>
  <c r="G790" i="4" a="1"/>
  <c r="G790" i="4"/>
  <c r="I790" i="4" a="1"/>
  <c r="I790" i="4" s="1"/>
  <c r="H790" i="4" s="1"/>
  <c r="G791" i="4" a="1"/>
  <c r="G791" i="4"/>
  <c r="I791" i="4" a="1"/>
  <c r="I791" i="4" s="1"/>
  <c r="H791" i="4" s="1"/>
  <c r="G792" i="4" a="1"/>
  <c r="G792" i="4"/>
  <c r="I792" i="4" a="1"/>
  <c r="I792" i="4" s="1"/>
  <c r="G793" i="4" a="1"/>
  <c r="G793" i="4"/>
  <c r="I793" i="4" a="1"/>
  <c r="I793" i="4" s="1"/>
  <c r="H793" i="4" s="1"/>
  <c r="G794" i="4" a="1"/>
  <c r="G794" i="4" s="1"/>
  <c r="I794" i="4" a="1"/>
  <c r="I794" i="4" s="1"/>
  <c r="G795" i="4" a="1"/>
  <c r="G795" i="4"/>
  <c r="I795" i="4" a="1"/>
  <c r="I795" i="4" s="1"/>
  <c r="H795" i="4" s="1"/>
  <c r="G796" i="4" a="1"/>
  <c r="G796" i="4" s="1"/>
  <c r="I796" i="4" a="1"/>
  <c r="I796" i="4" s="1"/>
  <c r="G797" i="4" a="1"/>
  <c r="G797" i="4" s="1"/>
  <c r="I797" i="4" s="1" a="1"/>
  <c r="I797" i="4" s="1"/>
  <c r="H797" i="4" s="1"/>
  <c r="G798" i="4" a="1"/>
  <c r="G798" i="4"/>
  <c r="I798" i="4" a="1"/>
  <c r="I798" i="4" s="1"/>
  <c r="H798" i="4" s="1"/>
  <c r="G799" i="4" a="1"/>
  <c r="G799" i="4"/>
  <c r="I799" i="4" a="1"/>
  <c r="I799" i="4" s="1"/>
  <c r="H799" i="4" s="1"/>
  <c r="G800" i="4" a="1"/>
  <c r="G800" i="4"/>
  <c r="I800" i="4" a="1"/>
  <c r="I800" i="4" s="1"/>
  <c r="G801" i="4" a="1"/>
  <c r="G801" i="4"/>
  <c r="I801" i="4" a="1"/>
  <c r="I801" i="4" s="1"/>
  <c r="H801" i="4" s="1"/>
  <c r="G802" i="4" a="1"/>
  <c r="G802" i="4" s="1"/>
  <c r="I802" i="4" a="1"/>
  <c r="I802" i="4" s="1"/>
  <c r="H802" i="4" s="1"/>
  <c r="G803" i="4" a="1"/>
  <c r="G803" i="4"/>
  <c r="I803" i="4" a="1"/>
  <c r="I803" i="4" s="1"/>
  <c r="H803" i="4" s="1"/>
  <c r="G804" i="4" a="1"/>
  <c r="G804" i="4" s="1"/>
  <c r="I804" i="4" a="1"/>
  <c r="I804" i="4" s="1"/>
  <c r="H804" i="4" s="1"/>
  <c r="G805" i="4" a="1"/>
  <c r="G805" i="4" s="1"/>
  <c r="I805" i="4" a="1"/>
  <c r="I805" i="4" s="1"/>
  <c r="H805" i="4" s="1"/>
  <c r="G806" i="4" a="1"/>
  <c r="G806" i="4"/>
  <c r="I806" i="4" a="1"/>
  <c r="I806" i="4" s="1"/>
  <c r="H806" i="4" s="1"/>
  <c r="G807" i="4" a="1"/>
  <c r="G807" i="4"/>
  <c r="I807" i="4" a="1"/>
  <c r="I807" i="4" s="1"/>
  <c r="H807" i="4" s="1"/>
  <c r="G808" i="4" a="1"/>
  <c r="G808" i="4"/>
  <c r="I808" i="4" a="1"/>
  <c r="I808" i="4" s="1"/>
  <c r="G809" i="4" a="1"/>
  <c r="G809" i="4"/>
  <c r="I809" i="4" a="1"/>
  <c r="I809" i="4" s="1"/>
  <c r="H809" i="4" s="1"/>
  <c r="G810" i="4" a="1"/>
  <c r="G810" i="4" s="1"/>
  <c r="I810" i="4" a="1"/>
  <c r="I810" i="4" s="1"/>
  <c r="G811" i="4" a="1"/>
  <c r="G811" i="4"/>
  <c r="I811" i="4" a="1"/>
  <c r="I811" i="4" s="1"/>
  <c r="H811" i="4" s="1"/>
  <c r="G812" i="4" a="1"/>
  <c r="G812" i="4" s="1"/>
  <c r="I812" i="4" a="1"/>
  <c r="I812" i="4" s="1"/>
  <c r="H812" i="4" s="1"/>
  <c r="G813" i="4" a="1"/>
  <c r="G813" i="4" s="1"/>
  <c r="I813" i="4" a="1"/>
  <c r="I813" i="4" s="1"/>
  <c r="H813" i="4" s="1"/>
  <c r="G814" i="4" a="1"/>
  <c r="G814" i="4"/>
  <c r="I814" i="4" a="1"/>
  <c r="I814" i="4" s="1"/>
  <c r="H814" i="4" s="1"/>
  <c r="G815" i="4" a="1"/>
  <c r="G815" i="4"/>
  <c r="I815" i="4" a="1"/>
  <c r="I815" i="4" s="1"/>
  <c r="H815" i="4" s="1"/>
  <c r="G816" i="4" a="1"/>
  <c r="G816" i="4"/>
  <c r="I816" i="4" a="1"/>
  <c r="I816" i="4" s="1"/>
  <c r="G817" i="4" a="1"/>
  <c r="G817" i="4"/>
  <c r="I817" i="4" a="1"/>
  <c r="I817" i="4" s="1"/>
  <c r="H817" i="4" s="1"/>
  <c r="G818" i="4" a="1"/>
  <c r="G818" i="4" s="1"/>
  <c r="I818" i="4" a="1"/>
  <c r="I818" i="4" s="1"/>
  <c r="H818" i="4" s="1"/>
  <c r="G819" i="4" a="1"/>
  <c r="G819" i="4"/>
  <c r="I819" i="4" a="1"/>
  <c r="I819" i="4" s="1"/>
  <c r="H819" i="4" s="1"/>
  <c r="G820" i="4" a="1"/>
  <c r="G820" i="4" s="1"/>
  <c r="I820" i="4" a="1"/>
  <c r="I820" i="4" s="1"/>
  <c r="H820" i="4" s="1"/>
  <c r="G821" i="4" a="1"/>
  <c r="G821" i="4" s="1"/>
  <c r="I821" i="4" a="1"/>
  <c r="I821" i="4" s="1"/>
  <c r="H821" i="4" s="1"/>
  <c r="G822" i="4" a="1"/>
  <c r="G822" i="4"/>
  <c r="I822" i="4" a="1"/>
  <c r="I822" i="4" s="1"/>
  <c r="H822" i="4" s="1"/>
  <c r="G823" i="4" a="1"/>
  <c r="G823" i="4"/>
  <c r="I823" i="4" a="1"/>
  <c r="I823" i="4" s="1"/>
  <c r="H823" i="4" s="1"/>
  <c r="G824" i="4" a="1"/>
  <c r="G824" i="4"/>
  <c r="I824" i="4" a="1"/>
  <c r="I824" i="4" s="1"/>
  <c r="G825" i="4" a="1"/>
  <c r="G825" i="4"/>
  <c r="I825" i="4" a="1"/>
  <c r="I825" i="4" s="1"/>
  <c r="H825" i="4" s="1"/>
  <c r="G826" i="4" a="1"/>
  <c r="G826" i="4" s="1"/>
  <c r="I826" i="4" a="1"/>
  <c r="I826" i="4" s="1"/>
  <c r="H826" i="4" s="1"/>
  <c r="G827" i="4" a="1"/>
  <c r="G827" i="4"/>
  <c r="I827" i="4" a="1"/>
  <c r="I827" i="4" s="1"/>
  <c r="H827" i="4" s="1"/>
  <c r="G828" i="4" a="1"/>
  <c r="G828" i="4" s="1"/>
  <c r="I828" i="4" a="1"/>
  <c r="I828" i="4" s="1"/>
  <c r="H828" i="4" s="1"/>
  <c r="G829" i="4" a="1"/>
  <c r="G829" i="4" s="1"/>
  <c r="I829" i="4" a="1"/>
  <c r="I829" i="4" s="1"/>
  <c r="H829" i="4" s="1"/>
  <c r="G830" i="4" a="1"/>
  <c r="G830" i="4"/>
  <c r="I830" i="4" a="1"/>
  <c r="I830" i="4" s="1"/>
  <c r="H830" i="4" s="1"/>
  <c r="G831" i="4" a="1"/>
  <c r="G831" i="4"/>
  <c r="I831" i="4" a="1"/>
  <c r="I831" i="4" s="1"/>
  <c r="H831" i="4" s="1"/>
  <c r="G832" i="4" a="1"/>
  <c r="G832" i="4"/>
  <c r="I832" i="4" a="1"/>
  <c r="I832" i="4" s="1"/>
  <c r="G833" i="4" a="1"/>
  <c r="G833" i="4"/>
  <c r="I833" i="4" a="1"/>
  <c r="I833" i="4" s="1"/>
  <c r="H833" i="4" s="1"/>
  <c r="G834" i="4" a="1"/>
  <c r="G834" i="4" s="1"/>
  <c r="I834" i="4" a="1"/>
  <c r="I834" i="4" s="1"/>
  <c r="H834" i="4" s="1"/>
  <c r="G835" i="4" a="1"/>
  <c r="G835" i="4"/>
  <c r="I835" i="4" a="1"/>
  <c r="I835" i="4" s="1"/>
  <c r="H835" i="4" s="1"/>
  <c r="G836" i="4" a="1"/>
  <c r="G836" i="4" s="1"/>
  <c r="I836" i="4" a="1"/>
  <c r="I836" i="4" s="1"/>
  <c r="H836" i="4" s="1"/>
  <c r="G837" i="4" a="1"/>
  <c r="G837" i="4" s="1"/>
  <c r="I837" i="4" a="1"/>
  <c r="I837" i="4" s="1"/>
  <c r="H837" i="4" s="1"/>
  <c r="G838" i="4" a="1"/>
  <c r="G838" i="4"/>
  <c r="I838" i="4" a="1"/>
  <c r="I838" i="4" s="1"/>
  <c r="H838" i="4" s="1"/>
  <c r="G839" i="4" a="1"/>
  <c r="G839" i="4"/>
  <c r="I839" i="4" a="1"/>
  <c r="I839" i="4" s="1"/>
  <c r="H839" i="4" s="1"/>
  <c r="G840" i="4" a="1"/>
  <c r="G840" i="4"/>
  <c r="I840" i="4" a="1"/>
  <c r="I840" i="4" s="1"/>
  <c r="G841" i="4" a="1"/>
  <c r="G841" i="4"/>
  <c r="I841" i="4" a="1"/>
  <c r="I841" i="4" s="1"/>
  <c r="H841" i="4" s="1"/>
  <c r="G842" i="4" a="1"/>
  <c r="G842" i="4" s="1"/>
  <c r="I842" i="4" a="1"/>
  <c r="I842" i="4" s="1"/>
  <c r="H842" i="4" s="1"/>
  <c r="G843" i="4" a="1"/>
  <c r="G843" i="4"/>
  <c r="I843" i="4" a="1"/>
  <c r="I843" i="4" s="1"/>
  <c r="H843" i="4" s="1"/>
  <c r="G844" i="4" a="1"/>
  <c r="G844" i="4" s="1"/>
  <c r="I844" i="4" a="1"/>
  <c r="I844" i="4" s="1"/>
  <c r="H844" i="4" s="1"/>
  <c r="G845" i="4" a="1"/>
  <c r="G845" i="4" s="1"/>
  <c r="I845" i="4" a="1"/>
  <c r="I845" i="4" s="1"/>
  <c r="H845" i="4" s="1"/>
  <c r="G846" i="4" a="1"/>
  <c r="G846" i="4"/>
  <c r="I846" i="4" a="1"/>
  <c r="I846" i="4" s="1"/>
  <c r="H846" i="4" s="1"/>
  <c r="G847" i="4" a="1"/>
  <c r="G847" i="4"/>
  <c r="I847" i="4" a="1"/>
  <c r="I847" i="4" s="1"/>
  <c r="H847" i="4" s="1"/>
  <c r="G848" i="4" a="1"/>
  <c r="G848" i="4"/>
  <c r="I848" i="4" a="1"/>
  <c r="I848" i="4" s="1"/>
  <c r="G849" i="4" a="1"/>
  <c r="G849" i="4"/>
  <c r="I849" i="4" a="1"/>
  <c r="I849" i="4" s="1"/>
  <c r="H849" i="4" s="1"/>
  <c r="G850" i="4" a="1"/>
  <c r="G850" i="4" s="1"/>
  <c r="I850" i="4" a="1"/>
  <c r="I850" i="4" s="1"/>
  <c r="H850" i="4" s="1"/>
  <c r="G851" i="4" a="1"/>
  <c r="G851" i="4"/>
  <c r="I851" i="4" a="1"/>
  <c r="I851" i="4" s="1"/>
  <c r="H851" i="4" s="1"/>
  <c r="G852" i="4" a="1"/>
  <c r="G852" i="4" s="1"/>
  <c r="I852" i="4" a="1"/>
  <c r="I852" i="4" s="1"/>
  <c r="H852" i="4" s="1"/>
  <c r="G853" i="4" a="1"/>
  <c r="G853" i="4" s="1"/>
  <c r="I853" i="4" a="1"/>
  <c r="I853" i="4" s="1"/>
  <c r="H853" i="4" s="1"/>
  <c r="G854" i="4" a="1"/>
  <c r="G854" i="4"/>
  <c r="I854" i="4" a="1"/>
  <c r="I854" i="4" s="1"/>
  <c r="H854" i="4" s="1"/>
  <c r="G855" i="4" a="1"/>
  <c r="G855" i="4"/>
  <c r="I855" i="4" a="1"/>
  <c r="I855" i="4" s="1"/>
  <c r="H855" i="4" s="1"/>
  <c r="G856" i="4" a="1"/>
  <c r="G856" i="4"/>
  <c r="I856" i="4" a="1"/>
  <c r="I856" i="4" s="1"/>
  <c r="G857" i="4" a="1"/>
  <c r="G857" i="4"/>
  <c r="I857" i="4" a="1"/>
  <c r="I857" i="4" s="1"/>
  <c r="H857" i="4" s="1"/>
  <c r="G858" i="4" a="1"/>
  <c r="G858" i="4" s="1"/>
  <c r="I858" i="4" a="1"/>
  <c r="I858" i="4" s="1"/>
  <c r="H858" i="4" s="1"/>
  <c r="G859" i="4" a="1"/>
  <c r="G859" i="4"/>
  <c r="I859" i="4" a="1"/>
  <c r="I859" i="4" s="1"/>
  <c r="H859" i="4" s="1"/>
  <c r="G860" i="4" a="1"/>
  <c r="G860" i="4" s="1"/>
  <c r="I860" i="4" a="1"/>
  <c r="I860" i="4" s="1"/>
  <c r="H860" i="4" s="1"/>
  <c r="G861" i="4" a="1"/>
  <c r="G861" i="4"/>
  <c r="I861" i="4" a="1"/>
  <c r="I861" i="4" s="1"/>
  <c r="H861" i="4" s="1"/>
  <c r="G862" i="4" a="1"/>
  <c r="G862" i="4"/>
  <c r="I862" i="4" a="1"/>
  <c r="I862" i="4" s="1"/>
  <c r="H862" i="4" s="1"/>
  <c r="G863" i="4" a="1"/>
  <c r="G863" i="4"/>
  <c r="I863" i="4" a="1"/>
  <c r="I863" i="4" s="1"/>
  <c r="H863" i="4" s="1"/>
  <c r="G864" i="4" a="1"/>
  <c r="G864" i="4"/>
  <c r="I864" i="4" a="1"/>
  <c r="I864" i="4" s="1"/>
  <c r="H864" i="4" s="1"/>
  <c r="G865" i="4" a="1"/>
  <c r="G865" i="4"/>
  <c r="I865" i="4" a="1"/>
  <c r="I865" i="4" s="1"/>
  <c r="H865" i="4" s="1"/>
  <c r="G866" i="4" a="1"/>
  <c r="G866" i="4" s="1"/>
  <c r="I866" i="4" a="1"/>
  <c r="I866" i="4" s="1"/>
  <c r="H866" i="4" s="1"/>
  <c r="G867" i="4" a="1"/>
  <c r="G867" i="4"/>
  <c r="I867" i="4" a="1"/>
  <c r="I867" i="4" s="1"/>
  <c r="H867" i="4" s="1"/>
  <c r="G868" i="4" a="1"/>
  <c r="G868" i="4" s="1"/>
  <c r="I868" i="4" a="1"/>
  <c r="I868" i="4" s="1"/>
  <c r="G869" i="4" a="1"/>
  <c r="G869" i="4"/>
  <c r="I869" i="4" a="1"/>
  <c r="I869" i="4" s="1"/>
  <c r="H869" i="4" s="1"/>
  <c r="G870" i="4" a="1"/>
  <c r="G870" i="4"/>
  <c r="I870" i="4" a="1"/>
  <c r="I870" i="4" s="1"/>
  <c r="H870" i="4" s="1"/>
  <c r="G871" i="4" a="1"/>
  <c r="G871" i="4"/>
  <c r="I871" i="4" a="1"/>
  <c r="I871" i="4" s="1"/>
  <c r="H871" i="4" s="1"/>
  <c r="G872" i="4" a="1"/>
  <c r="G872" i="4"/>
  <c r="I872" i="4" a="1"/>
  <c r="I872" i="4" s="1"/>
  <c r="H872" i="4" s="1"/>
  <c r="G873" i="4" a="1"/>
  <c r="G873" i="4"/>
  <c r="I873" i="4" a="1"/>
  <c r="I873" i="4" s="1"/>
  <c r="H873" i="4" s="1"/>
  <c r="G874" i="4" a="1"/>
  <c r="G874" i="4" s="1"/>
  <c r="I874" i="4" a="1"/>
  <c r="I874" i="4" s="1"/>
  <c r="G875" i="4" a="1"/>
  <c r="G875" i="4"/>
  <c r="I875" i="4" a="1"/>
  <c r="I875" i="4" s="1"/>
  <c r="H875" i="4" s="1"/>
  <c r="G876" i="4" a="1"/>
  <c r="G876" i="4" s="1"/>
  <c r="I876" i="4" a="1"/>
  <c r="I876" i="4" s="1"/>
  <c r="H876" i="4" s="1"/>
  <c r="G877" i="4" a="1"/>
  <c r="G877" i="4"/>
  <c r="I877" i="4" a="1"/>
  <c r="I877" i="4" s="1"/>
  <c r="H877" i="4" s="1"/>
  <c r="G878" i="4" a="1"/>
  <c r="G878" i="4"/>
  <c r="I878" i="4" a="1"/>
  <c r="I878" i="4" s="1"/>
  <c r="H878" i="4" s="1"/>
  <c r="G879" i="4" a="1"/>
  <c r="G879" i="4"/>
  <c r="I879" i="4" a="1"/>
  <c r="I879" i="4" s="1"/>
  <c r="H879" i="4" s="1"/>
  <c r="G880" i="4" a="1"/>
  <c r="G880" i="4"/>
  <c r="I880" i="4" a="1"/>
  <c r="I880" i="4" s="1"/>
  <c r="H880" i="4" s="1"/>
  <c r="G881" i="4" a="1"/>
  <c r="G881" i="4"/>
  <c r="I881" i="4" a="1"/>
  <c r="I881" i="4" s="1"/>
  <c r="H881" i="4" s="1"/>
  <c r="G882" i="4" a="1"/>
  <c r="G882" i="4" s="1"/>
  <c r="I882" i="4" a="1"/>
  <c r="I882" i="4" s="1"/>
  <c r="G883" i="4" a="1"/>
  <c r="G883" i="4"/>
  <c r="I883" i="4" a="1"/>
  <c r="I883" i="4" s="1"/>
  <c r="H883" i="4" s="1"/>
  <c r="G884" i="4" a="1"/>
  <c r="G884" i="4" s="1"/>
  <c r="I884" i="4" a="1"/>
  <c r="I884" i="4" s="1"/>
  <c r="G885" i="4" a="1"/>
  <c r="G885" i="4"/>
  <c r="I885" i="4" a="1"/>
  <c r="I885" i="4" s="1"/>
  <c r="G886" i="4" a="1"/>
  <c r="G886" i="4"/>
  <c r="I886" i="4" a="1"/>
  <c r="I886" i="4" s="1"/>
  <c r="H886" i="4" s="1"/>
  <c r="G887" i="4" a="1"/>
  <c r="G887" i="4"/>
  <c r="I887" i="4" a="1"/>
  <c r="I887" i="4" s="1"/>
  <c r="H887" i="4" s="1"/>
  <c r="G888" i="4" a="1"/>
  <c r="G888" i="4"/>
  <c r="I888" i="4" a="1"/>
  <c r="I888" i="4" s="1"/>
  <c r="H888" i="4" s="1"/>
  <c r="G889" i="4" a="1"/>
  <c r="G889" i="4"/>
  <c r="I889" i="4" a="1"/>
  <c r="I889" i="4" s="1"/>
  <c r="H889" i="4" s="1"/>
  <c r="G890" i="4" a="1"/>
  <c r="G890" i="4" s="1"/>
  <c r="I890" i="4" a="1"/>
  <c r="I890" i="4" s="1"/>
  <c r="G891" i="4" a="1"/>
  <c r="G891" i="4"/>
  <c r="I891" i="4" a="1"/>
  <c r="I891" i="4" s="1"/>
  <c r="H891" i="4" s="1"/>
  <c r="G892" i="4" a="1"/>
  <c r="G892" i="4" s="1"/>
  <c r="I892" i="4" a="1"/>
  <c r="I892" i="4" s="1"/>
  <c r="G893" i="4" a="1"/>
  <c r="G893" i="4"/>
  <c r="I893" i="4" a="1"/>
  <c r="I893" i="4" s="1"/>
  <c r="G894" i="4" a="1"/>
  <c r="G894" i="4"/>
  <c r="I894" i="4" a="1"/>
  <c r="I894" i="4" s="1"/>
  <c r="H894" i="4" s="1"/>
  <c r="G895" i="4" a="1"/>
  <c r="G895" i="4"/>
  <c r="I895" i="4" a="1"/>
  <c r="I895" i="4" s="1"/>
  <c r="H895" i="4" s="1"/>
  <c r="G896" i="4" a="1"/>
  <c r="G896" i="4"/>
  <c r="I896" i="4" a="1"/>
  <c r="I896" i="4" s="1"/>
  <c r="H896" i="4" s="1"/>
  <c r="G897" i="4" a="1"/>
  <c r="G897" i="4"/>
  <c r="I897" i="4" a="1"/>
  <c r="I897" i="4" s="1"/>
  <c r="H897" i="4" s="1"/>
  <c r="G898" i="4" a="1"/>
  <c r="G898" i="4" s="1"/>
  <c r="I898" i="4" a="1"/>
  <c r="I898" i="4" s="1"/>
  <c r="H898" i="4" s="1"/>
  <c r="G899" i="4" a="1"/>
  <c r="G899" i="4"/>
  <c r="I899" i="4" a="1"/>
  <c r="I899" i="4" s="1"/>
  <c r="H899" i="4" s="1"/>
  <c r="G900" i="4" a="1"/>
  <c r="G900" i="4" s="1"/>
  <c r="I900" i="4" a="1"/>
  <c r="I900" i="4" s="1"/>
  <c r="G901" i="4" a="1"/>
  <c r="G901" i="4"/>
  <c r="I901" i="4" a="1"/>
  <c r="I901" i="4" s="1"/>
  <c r="H901" i="4" s="1"/>
  <c r="G902" i="4" a="1"/>
  <c r="G902" i="4"/>
  <c r="I902" i="4" a="1"/>
  <c r="I902" i="4" s="1"/>
  <c r="H902" i="4" s="1"/>
  <c r="G903" i="4" a="1"/>
  <c r="G903" i="4"/>
  <c r="I903" i="4" a="1"/>
  <c r="I903" i="4" s="1"/>
  <c r="H903" i="4" s="1"/>
  <c r="G904" i="4" a="1"/>
  <c r="G904" i="4"/>
  <c r="I904" i="4" a="1"/>
  <c r="I904" i="4" s="1"/>
  <c r="G905" i="4" a="1"/>
  <c r="G905" i="4"/>
  <c r="I905" i="4" a="1"/>
  <c r="I905" i="4" s="1"/>
  <c r="H905" i="4" s="1"/>
  <c r="G906" i="4" a="1"/>
  <c r="G906" i="4" s="1"/>
  <c r="I906" i="4" a="1"/>
  <c r="I906" i="4" s="1"/>
  <c r="G907" i="4" a="1"/>
  <c r="G907" i="4"/>
  <c r="I907" i="4" a="1"/>
  <c r="I907" i="4" s="1"/>
  <c r="H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/>
  <c r="I910" i="4" a="1"/>
  <c r="I910" i="4" s="1"/>
  <c r="H910" i="4" s="1"/>
  <c r="G911" i="4" a="1"/>
  <c r="G911" i="4"/>
  <c r="I911" i="4" a="1"/>
  <c r="I911" i="4" s="1"/>
  <c r="H911" i="4" s="1"/>
  <c r="G912" i="4" a="1"/>
  <c r="G912" i="4"/>
  <c r="I912" i="4" a="1"/>
  <c r="I912" i="4" s="1"/>
  <c r="H912" i="4" s="1"/>
  <c r="G913" i="4" a="1"/>
  <c r="G913" i="4"/>
  <c r="I913" i="4" a="1"/>
  <c r="I913" i="4" s="1"/>
  <c r="H913" i="4" s="1"/>
  <c r="G914" i="4" a="1"/>
  <c r="G914" i="4" s="1"/>
  <c r="I914" i="4" a="1"/>
  <c r="I914" i="4" s="1"/>
  <c r="H914" i="4" s="1"/>
  <c r="G915" i="4" a="1"/>
  <c r="G915" i="4"/>
  <c r="I915" i="4" a="1"/>
  <c r="I915" i="4" s="1"/>
  <c r="H915" i="4" s="1"/>
  <c r="G916" i="4" a="1"/>
  <c r="G916" i="4" s="1"/>
  <c r="I916" i="4" s="1" a="1"/>
  <c r="I916" i="4" s="1"/>
  <c r="H916" i="4" s="1"/>
  <c r="G917" i="4" a="1"/>
  <c r="G917" i="4"/>
  <c r="I917" i="4" s="1" a="1"/>
  <c r="I917" i="4" s="1"/>
  <c r="H917" i="4" s="1"/>
  <c r="G918" i="4" a="1"/>
  <c r="G918" i="4"/>
  <c r="I918" i="4" a="1"/>
  <c r="I918" i="4" s="1"/>
  <c r="H918" i="4" s="1"/>
  <c r="G919" i="4" a="1"/>
  <c r="G919" i="4"/>
  <c r="I919" i="4" a="1"/>
  <c r="I919" i="4" s="1"/>
  <c r="H919" i="4" s="1"/>
  <c r="G920" i="4" a="1"/>
  <c r="G920" i="4"/>
  <c r="I920" i="4" s="1" a="1"/>
  <c r="I920" i="4" s="1"/>
  <c r="H920" i="4" s="1"/>
  <c r="G921" i="4" a="1"/>
  <c r="G921" i="4"/>
  <c r="I921" i="4" a="1"/>
  <c r="I921" i="4" s="1"/>
  <c r="H921" i="4" s="1"/>
  <c r="G922" i="4" a="1"/>
  <c r="G922" i="4" s="1"/>
  <c r="I922" i="4" s="1" a="1"/>
  <c r="I922" i="4" s="1"/>
  <c r="H922" i="4" s="1"/>
  <c r="G923" i="4" a="1"/>
  <c r="G923" i="4" s="1"/>
  <c r="I923" i="4" a="1"/>
  <c r="I923" i="4" s="1"/>
  <c r="G924" i="4" a="1"/>
  <c r="G924" i="4"/>
  <c r="I924" i="4" s="1" a="1"/>
  <c r="I924" i="4" s="1"/>
  <c r="H924" i="4" s="1"/>
  <c r="G925" i="4" a="1"/>
  <c r="G925" i="4" s="1"/>
  <c r="I925" i="4" a="1"/>
  <c r="I925" i="4" s="1"/>
  <c r="H925" i="4" s="1"/>
  <c r="G926" i="4" a="1"/>
  <c r="G926" i="4" s="1"/>
  <c r="I926" i="4" s="1" a="1"/>
  <c r="I926" i="4" s="1"/>
  <c r="H926" i="4" s="1"/>
  <c r="G927" i="4" a="1"/>
  <c r="G927" i="4"/>
  <c r="I927" i="4" a="1"/>
  <c r="I927" i="4" s="1"/>
  <c r="H927" i="4" s="1"/>
  <c r="G928" i="4" a="1"/>
  <c r="G928" i="4"/>
  <c r="I928" i="4" s="1" a="1"/>
  <c r="I928" i="4" s="1"/>
  <c r="H928" i="4" s="1"/>
  <c r="G929" i="4" a="1"/>
  <c r="G929" i="4" s="1"/>
  <c r="I929" i="4" s="1" a="1"/>
  <c r="I929" i="4" s="1"/>
  <c r="H929" i="4" s="1"/>
  <c r="G930" i="4" a="1"/>
  <c r="G930" i="4" s="1"/>
  <c r="I930" i="4" a="1"/>
  <c r="I930" i="4" s="1"/>
  <c r="H930" i="4" s="1"/>
  <c r="G931" i="4" a="1"/>
  <c r="G931" i="4"/>
  <c r="I931" i="4" s="1" a="1"/>
  <c r="I931" i="4" s="1"/>
  <c r="H931" i="4" s="1"/>
  <c r="G932" i="4" a="1"/>
  <c r="G932" i="4" s="1"/>
  <c r="I932" i="4" a="1"/>
  <c r="I932" i="4" s="1"/>
  <c r="H932" i="4" s="1"/>
  <c r="G933" i="4" a="1"/>
  <c r="G933" i="4" s="1"/>
  <c r="I933" i="4" s="1" a="1"/>
  <c r="I933" i="4" s="1"/>
  <c r="H933" i="4" s="1"/>
  <c r="G934" i="4" a="1"/>
  <c r="G934" i="4" s="1"/>
  <c r="I934" i="4" a="1"/>
  <c r="I934" i="4" s="1"/>
  <c r="H934" i="4" s="1"/>
  <c r="G935" i="4" a="1"/>
  <c r="G935" i="4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s="1" a="1"/>
  <c r="I938" i="4" s="1"/>
  <c r="H938" i="4" s="1"/>
  <c r="G939" i="4" a="1"/>
  <c r="G939" i="4"/>
  <c r="I939" i="4" a="1"/>
  <c r="I939" i="4" s="1"/>
  <c r="H939" i="4" s="1"/>
  <c r="G940" i="4" a="1"/>
  <c r="G940" i="4"/>
  <c r="I940" i="4" s="1" a="1"/>
  <c r="I940" i="4" s="1"/>
  <c r="H940" i="4" s="1"/>
  <c r="G941" i="4" a="1"/>
  <c r="G941" i="4"/>
  <c r="I941" i="4" s="1" a="1"/>
  <c r="I941" i="4" s="1"/>
  <c r="H941" i="4" s="1"/>
  <c r="G942" i="4" a="1"/>
  <c r="G942" i="4" s="1"/>
  <c r="I942" i="4" s="1" a="1"/>
  <c r="I942" i="4" s="1"/>
  <c r="H942" i="4" s="1"/>
  <c r="G943" i="4" a="1"/>
  <c r="G943" i="4"/>
  <c r="I943" i="4" s="1" a="1"/>
  <c r="I943" i="4" s="1"/>
  <c r="H943" i="4" s="1"/>
  <c r="G944" i="4" a="1"/>
  <c r="G944" i="4" s="1"/>
  <c r="I944" i="4" s="1" a="1"/>
  <c r="I944" i="4" s="1"/>
  <c r="H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/>
  <c r="I947" i="4" a="1"/>
  <c r="I947" i="4" s="1"/>
  <c r="H947" i="4" s="1"/>
  <c r="G948" i="4" a="1"/>
  <c r="G948" i="4"/>
  <c r="I948" i="4" a="1"/>
  <c r="I948" i="4" s="1"/>
  <c r="H948" i="4" s="1"/>
  <c r="G949" i="4" a="1"/>
  <c r="G949" i="4"/>
  <c r="I949" i="4" s="1" a="1"/>
  <c r="I949" i="4" s="1"/>
  <c r="H949" i="4" s="1"/>
  <c r="G950" i="4" a="1"/>
  <c r="G950" i="4" s="1"/>
  <c r="I950" i="4" a="1"/>
  <c r="I950" i="4" s="1"/>
  <c r="G951" i="4" a="1"/>
  <c r="G951" i="4"/>
  <c r="I951" i="4" s="1" a="1"/>
  <c r="I951" i="4" s="1"/>
  <c r="H951" i="4" s="1"/>
  <c r="G952" i="4" a="1"/>
  <c r="G952" i="4" s="1"/>
  <c r="I952" i="4" a="1"/>
  <c r="I952" i="4" s="1"/>
  <c r="G953" i="4" a="1"/>
  <c r="G953" i="4" s="1"/>
  <c r="I953" i="4" s="1" a="1"/>
  <c r="I953" i="4" s="1"/>
  <c r="H953" i="4" s="1"/>
  <c r="G954" i="4" a="1"/>
  <c r="G954" i="4" s="1"/>
  <c r="I954" i="4" s="1" a="1"/>
  <c r="I954" i="4" s="1"/>
  <c r="H954" i="4" s="1"/>
  <c r="G955" i="4" a="1"/>
  <c r="G955" i="4"/>
  <c r="I955" i="4" a="1"/>
  <c r="I955" i="4" s="1"/>
  <c r="H955" i="4" s="1"/>
  <c r="G956" i="4" a="1"/>
  <c r="G956" i="4"/>
  <c r="I956" i="4" s="1" a="1"/>
  <c r="I956" i="4" s="1"/>
  <c r="H956" i="4" s="1"/>
  <c r="G957" i="4" a="1"/>
  <c r="G957" i="4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/>
  <c r="I963" i="4" a="1"/>
  <c r="I963" i="4" s="1"/>
  <c r="H963" i="4" s="1"/>
  <c r="G964" i="4" a="1"/>
  <c r="G964" i="4"/>
  <c r="I964" i="4" s="1" a="1"/>
  <c r="I964" i="4" s="1"/>
  <c r="H964" i="4" s="1"/>
  <c r="G965" i="4" a="1"/>
  <c r="G965" i="4"/>
  <c r="I965" i="4" s="1" a="1"/>
  <c r="I965" i="4" s="1"/>
  <c r="H965" i="4" s="1"/>
  <c r="G966" i="4" a="1"/>
  <c r="G966" i="4" s="1"/>
  <c r="I966" i="4" s="1" a="1"/>
  <c r="I966" i="4" s="1"/>
  <c r="H966" i="4" s="1"/>
  <c r="G967" i="4" a="1"/>
  <c r="G967" i="4"/>
  <c r="I967" i="4" s="1" a="1"/>
  <c r="I967" i="4" s="1"/>
  <c r="H967" i="4" s="1"/>
  <c r="G968" i="4" a="1"/>
  <c r="G968" i="4" s="1"/>
  <c r="I968" i="4" s="1" a="1"/>
  <c r="I968" i="4" s="1"/>
  <c r="H968" i="4" s="1"/>
  <c r="G969" i="4" a="1"/>
  <c r="G969" i="4" s="1"/>
  <c r="I969" i="4" a="1"/>
  <c r="I969" i="4" s="1"/>
  <c r="H969" i="4" s="1"/>
  <c r="G970" i="4" a="1"/>
  <c r="G970" i="4" s="1"/>
  <c r="I970" i="4" a="1"/>
  <c r="I970" i="4" s="1"/>
  <c r="H970" i="4" s="1"/>
  <c r="G971" i="4" a="1"/>
  <c r="G971" i="4"/>
  <c r="I971" i="4" a="1"/>
  <c r="I971" i="4" s="1"/>
  <c r="H971" i="4" s="1"/>
  <c r="G972" i="4" a="1"/>
  <c r="G972" i="4"/>
  <c r="I972" i="4" a="1"/>
  <c r="I972" i="4" s="1"/>
  <c r="H972" i="4" s="1"/>
  <c r="G973" i="4" a="1"/>
  <c r="G973" i="4"/>
  <c r="I973" i="4" a="1"/>
  <c r="I973" i="4" s="1"/>
  <c r="H973" i="4" s="1"/>
  <c r="G974" i="4" a="1"/>
  <c r="G974" i="4" s="1"/>
  <c r="I974" i="4" a="1"/>
  <c r="I974" i="4" s="1"/>
  <c r="G975" i="4" a="1"/>
  <c r="G975" i="4"/>
  <c r="I975" i="4" a="1"/>
  <c r="I975" i="4" s="1"/>
  <c r="H975" i="4" s="1"/>
  <c r="G976" i="4" a="1"/>
  <c r="G976" i="4" s="1"/>
  <c r="I976" i="4" a="1"/>
  <c r="I976" i="4" s="1"/>
  <c r="G977" i="4" a="1"/>
  <c r="G977" i="4" s="1"/>
  <c r="I977" i="4" a="1"/>
  <c r="I977" i="4" s="1"/>
  <c r="H977" i="4" s="1"/>
  <c r="G978" i="4" a="1"/>
  <c r="G978" i="4" s="1"/>
  <c r="I978" i="4" a="1"/>
  <c r="I978" i="4" s="1"/>
  <c r="H978" i="4" s="1"/>
  <c r="G979" i="4" a="1"/>
  <c r="G979" i="4"/>
  <c r="I979" i="4" a="1"/>
  <c r="I979" i="4" s="1"/>
  <c r="H979" i="4" s="1"/>
  <c r="G980" i="4" a="1"/>
  <c r="G980" i="4"/>
  <c r="I980" i="4" s="1" a="1"/>
  <c r="I980" i="4" s="1"/>
  <c r="H980" i="4" s="1"/>
  <c r="G981" i="4" a="1"/>
  <c r="G981" i="4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/>
  <c r="I983" i="4" s="1" a="1"/>
  <c r="I983" i="4" s="1"/>
  <c r="H983" i="4" s="1"/>
  <c r="G984" i="4" a="1"/>
  <c r="G984" i="4" s="1"/>
  <c r="I984" i="4" a="1"/>
  <c r="I984" i="4" s="1"/>
  <c r="G985" i="4" a="1"/>
  <c r="G985" i="4" s="1"/>
  <c r="I985" i="4" a="1"/>
  <c r="I985" i="4" s="1"/>
  <c r="H985" i="4" s="1"/>
  <c r="G986" i="4" a="1"/>
  <c r="G986" i="4" s="1"/>
  <c r="I986" i="4" a="1"/>
  <c r="I986" i="4" s="1"/>
  <c r="G987" i="4" a="1"/>
  <c r="G987" i="4"/>
  <c r="I987" i="4" a="1"/>
  <c r="I987" i="4" s="1"/>
  <c r="H987" i="4" s="1"/>
  <c r="G988" i="4" a="1"/>
  <c r="G988" i="4"/>
  <c r="I988" i="4" a="1"/>
  <c r="I988" i="4" s="1"/>
  <c r="H988" i="4" s="1"/>
  <c r="G989" i="4" a="1"/>
  <c r="G989" i="4"/>
  <c r="I989" i="4" a="1"/>
  <c r="I989" i="4" s="1"/>
  <c r="H989" i="4" s="1"/>
  <c r="G990" i="4" a="1"/>
  <c r="G990" i="4" s="1"/>
  <c r="I990" i="4" s="1" a="1"/>
  <c r="I990" i="4" s="1"/>
  <c r="H990" i="4" s="1"/>
  <c r="G991" i="4" a="1"/>
  <c r="G991" i="4"/>
  <c r="I991" i="4" s="1" a="1"/>
  <c r="I991" i="4" s="1"/>
  <c r="H991" i="4" s="1"/>
  <c r="G992" i="4" a="1"/>
  <c r="G992" i="4" s="1"/>
  <c r="I992" i="4" s="1" a="1"/>
  <c r="I992" i="4" s="1"/>
  <c r="H992" i="4" s="1"/>
  <c r="G993" i="4" a="1"/>
  <c r="G993" i="4" s="1"/>
  <c r="I993" i="4" s="1" a="1"/>
  <c r="I993" i="4" s="1"/>
  <c r="H993" i="4" s="1"/>
  <c r="G994" i="4" a="1"/>
  <c r="G994" i="4" s="1"/>
  <c r="I994" i="4" s="1" a="1"/>
  <c r="I994" i="4" s="1"/>
  <c r="H994" i="4" s="1"/>
  <c r="G995" i="4" a="1"/>
  <c r="G995" i="4"/>
  <c r="I995" i="4" a="1"/>
  <c r="I995" i="4" s="1"/>
  <c r="H995" i="4" s="1"/>
  <c r="G996" i="4" a="1"/>
  <c r="G996" i="4"/>
  <c r="I996" i="4" s="1" a="1"/>
  <c r="I996" i="4" s="1"/>
  <c r="H996" i="4" s="1"/>
  <c r="G997" i="4" a="1"/>
  <c r="G997" i="4"/>
  <c r="I997" i="4" s="1" a="1"/>
  <c r="I997" i="4" s="1"/>
  <c r="H997" i="4" s="1"/>
  <c r="G998" i="4" a="1"/>
  <c r="G998" i="4" s="1"/>
  <c r="I998" i="4" s="1" a="1"/>
  <c r="I998" i="4" s="1"/>
  <c r="H998" i="4" s="1"/>
  <c r="G999" i="4" a="1"/>
  <c r="G999" i="4"/>
  <c r="I999" i="4" s="1" a="1"/>
  <c r="I999" i="4" s="1"/>
  <c r="H999" i="4" s="1"/>
  <c r="G1000" i="4" a="1"/>
  <c r="G1000" i="4" s="1"/>
  <c r="I1000" i="4" s="1" a="1"/>
  <c r="I1000" i="4" s="1"/>
  <c r="H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/>
  <c r="I1003" i="4" a="1"/>
  <c r="I1003" i="4" s="1"/>
  <c r="H1003" i="4" s="1"/>
  <c r="G1004" i="4" a="1"/>
  <c r="G1004" i="4"/>
  <c r="I1004" i="4" s="1" a="1"/>
  <c r="I1004" i="4" s="1"/>
  <c r="H1004" i="4" s="1"/>
  <c r="G1005" i="4" a="1"/>
  <c r="G1005" i="4"/>
  <c r="I1005" i="4" s="1" a="1"/>
  <c r="I1005" i="4" s="1"/>
  <c r="H1005" i="4" s="1"/>
  <c r="G1006" i="4" a="1"/>
  <c r="G1006" i="4" s="1"/>
  <c r="I1006" i="4" a="1"/>
  <c r="I1006" i="4" s="1"/>
  <c r="G1007" i="4" a="1"/>
  <c r="G1007" i="4"/>
  <c r="I1007" i="4" a="1"/>
  <c r="I1007" i="4" s="1"/>
  <c r="H1007" i="4" s="1"/>
  <c r="G1008" i="4" a="1"/>
  <c r="G1008" i="4" s="1"/>
  <c r="I1008" i="4" s="1" a="1"/>
  <c r="I1008" i="4" s="1"/>
  <c r="H1008" i="4" s="1"/>
  <c r="G1009" i="4" a="1"/>
  <c r="G1009" i="4" s="1"/>
  <c r="I1009" i="4" s="1" a="1"/>
  <c r="I1009" i="4" s="1"/>
  <c r="H1009" i="4" s="1"/>
  <c r="G1010" i="4" a="1"/>
  <c r="G1010" i="4" s="1"/>
  <c r="I1010" i="4" s="1" a="1"/>
  <c r="I1010" i="4" s="1"/>
  <c r="H1010" i="4" s="1"/>
  <c r="G1011" i="4" a="1"/>
  <c r="G1011" i="4"/>
  <c r="I1011" i="4" a="1"/>
  <c r="I1011" i="4" s="1"/>
  <c r="H1011" i="4" s="1"/>
  <c r="G1012" i="4" a="1"/>
  <c r="G1012" i="4"/>
  <c r="I1012" i="4" a="1"/>
  <c r="I1012" i="4" s="1"/>
  <c r="H1012" i="4" s="1"/>
  <c r="G1013" i="4" a="1"/>
  <c r="G1013" i="4"/>
  <c r="I1013" i="4" a="1"/>
  <c r="I1013" i="4" s="1"/>
  <c r="H1013" i="4" s="1"/>
  <c r="G1014" i="4" a="1"/>
  <c r="G1014" i="4" s="1"/>
  <c r="I1014" i="4" a="1"/>
  <c r="I1014" i="4" s="1"/>
  <c r="G1015" i="4" a="1"/>
  <c r="G1015" i="4"/>
  <c r="I1015" i="4" a="1"/>
  <c r="I1015" i="4" s="1"/>
  <c r="H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/>
  <c r="I1019" i="4" a="1"/>
  <c r="I1019" i="4" s="1"/>
  <c r="H1019" i="4" s="1"/>
  <c r="G1020" i="4" a="1"/>
  <c r="G1020" i="4"/>
  <c r="I1020" i="4" s="1" a="1"/>
  <c r="I1020" i="4" s="1"/>
  <c r="H1020" i="4" s="1"/>
  <c r="G1021" i="4" a="1"/>
  <c r="G1021" i="4"/>
  <c r="I1021" i="4" s="1" a="1"/>
  <c r="I1021" i="4" s="1"/>
  <c r="H1021" i="4" s="1"/>
  <c r="G1022" i="4" a="1"/>
  <c r="G1022" i="4" s="1"/>
  <c r="I1022" i="4" a="1"/>
  <c r="I1022" i="4" s="1"/>
  <c r="G1023" i="4" a="1"/>
  <c r="G1023" i="4"/>
  <c r="I1023" i="4" a="1"/>
  <c r="I1023" i="4" s="1"/>
  <c r="H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/>
  <c r="I1027" i="4" a="1"/>
  <c r="I1027" i="4" s="1"/>
  <c r="H1027" i="4" s="1"/>
  <c r="G1028" i="4" a="1"/>
  <c r="G1028" i="4"/>
  <c r="I1028" i="4" a="1"/>
  <c r="I1028" i="4" s="1"/>
  <c r="H1028" i="4" s="1"/>
  <c r="G1029" i="4" a="1"/>
  <c r="G1029" i="4"/>
  <c r="I1029" i="4" s="1" a="1"/>
  <c r="I1029" i="4" s="1"/>
  <c r="H1029" i="4" s="1"/>
  <c r="G1030" i="4" a="1"/>
  <c r="G1030" i="4" s="1"/>
  <c r="I1030" i="4" a="1"/>
  <c r="I1030" i="4" s="1"/>
  <c r="H1030" i="4" s="1"/>
  <c r="G1031" i="4" a="1"/>
  <c r="G1031" i="4"/>
  <c r="I1031" i="4" a="1"/>
  <c r="I1031" i="4" s="1"/>
  <c r="H1031" i="4" s="1"/>
  <c r="G1032" i="4" a="1"/>
  <c r="G1032" i="4" s="1"/>
  <c r="I1032" i="4" a="1"/>
  <c r="I1032" i="4" s="1"/>
  <c r="G1033" i="4" a="1"/>
  <c r="G1033" i="4" s="1"/>
  <c r="I1033" i="4" a="1"/>
  <c r="I1033" i="4" s="1"/>
  <c r="H1033" i="4" s="1"/>
  <c r="G1034" i="4" a="1"/>
  <c r="G1034" i="4" s="1"/>
  <c r="I1034" i="4" s="1" a="1"/>
  <c r="I1034" i="4" s="1"/>
  <c r="H1034" i="4" s="1"/>
  <c r="G1035" i="4" a="1"/>
  <c r="G1035" i="4"/>
  <c r="I1035" i="4" a="1"/>
  <c r="I1035" i="4" s="1"/>
  <c r="H1035" i="4" s="1"/>
  <c r="G1036" i="4" a="1"/>
  <c r="G1036" i="4"/>
  <c r="I1036" i="4" s="1" a="1"/>
  <c r="I1036" i="4" s="1"/>
  <c r="H1036" i="4" s="1"/>
  <c r="G1037" i="4" a="1"/>
  <c r="G1037" i="4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/>
  <c r="I1039" i="4" s="1" a="1"/>
  <c r="I1039" i="4" s="1"/>
  <c r="H1039" i="4" s="1"/>
  <c r="G1040" i="4" a="1"/>
  <c r="G1040" i="4" s="1"/>
  <c r="I1040" i="4" a="1"/>
  <c r="I1040" i="4" s="1"/>
  <c r="G1041" i="4" a="1"/>
  <c r="G1041" i="4" s="1"/>
  <c r="I1041" i="4" s="1" a="1"/>
  <c r="I1041" i="4" s="1"/>
  <c r="H1041" i="4" s="1"/>
  <c r="G1042" i="4" a="1"/>
  <c r="G1042" i="4" s="1"/>
  <c r="I1042" i="4" a="1"/>
  <c r="I1042" i="4" s="1"/>
  <c r="H1042" i="4" s="1"/>
  <c r="G1043" i="4" a="1"/>
  <c r="G1043" i="4"/>
  <c r="I1043" i="4" a="1"/>
  <c r="I1043" i="4" s="1"/>
  <c r="H1043" i="4" s="1"/>
  <c r="G1044" i="4" a="1"/>
  <c r="G1044" i="4"/>
  <c r="I1044" i="4" a="1"/>
  <c r="I1044" i="4" s="1"/>
  <c r="H1044" i="4" s="1"/>
  <c r="G1045" i="4" a="1"/>
  <c r="G1045" i="4"/>
  <c r="I1045" i="4" s="1" a="1"/>
  <c r="I1045" i="4" s="1"/>
  <c r="H1045" i="4" s="1"/>
  <c r="G1046" i="4" a="1"/>
  <c r="G1046" i="4" s="1"/>
  <c r="I1046" i="4" a="1"/>
  <c r="I1046" i="4" s="1"/>
  <c r="G1047" i="4" a="1"/>
  <c r="G1047" i="4"/>
  <c r="I1047" i="4" s="1" a="1"/>
  <c r="I1047" i="4" s="1"/>
  <c r="H1047" i="4" s="1"/>
  <c r="G1048" i="4" a="1"/>
  <c r="G1048" i="4" s="1"/>
  <c r="I1048" i="4" a="1"/>
  <c r="I1048" i="4" s="1"/>
  <c r="G1049" i="4" a="1"/>
  <c r="G1049" i="4" s="1"/>
  <c r="I1049" i="4" s="1" a="1"/>
  <c r="I1049" i="4" s="1"/>
  <c r="H1049" i="4" s="1"/>
  <c r="G1050" i="4" a="1"/>
  <c r="G1050" i="4" s="1"/>
  <c r="I1050" i="4" a="1"/>
  <c r="I1050" i="4" s="1"/>
  <c r="G1051" i="4" a="1"/>
  <c r="G1051" i="4"/>
  <c r="I1051" i="4" a="1"/>
  <c r="I1051" i="4" s="1"/>
  <c r="H1051" i="4" s="1"/>
  <c r="G1052" i="4" a="1"/>
  <c r="G1052" i="4"/>
  <c r="I1052" i="4" a="1"/>
  <c r="I1052" i="4" s="1"/>
  <c r="H1052" i="4" s="1"/>
  <c r="G1053" i="4" a="1"/>
  <c r="G1053" i="4"/>
  <c r="I1053" i="4" s="1" a="1"/>
  <c r="I1053" i="4" s="1"/>
  <c r="H1053" i="4" s="1"/>
  <c r="G1054" i="4" a="1"/>
  <c r="G1054" i="4" s="1"/>
  <c r="I1054" i="4" a="1"/>
  <c r="I1054" i="4" s="1"/>
  <c r="H1054" i="4" s="1"/>
  <c r="G1055" i="4" a="1"/>
  <c r="G1055" i="4"/>
  <c r="I1055" i="4" s="1" a="1"/>
  <c r="I1055" i="4" s="1"/>
  <c r="H1055" i="4" s="1"/>
  <c r="G1056" i="4" a="1"/>
  <c r="G1056" i="4" s="1"/>
  <c r="I1056" i="4" a="1"/>
  <c r="I1056" i="4" s="1"/>
  <c r="G1057" i="4" a="1"/>
  <c r="G1057" i="4" s="1"/>
  <c r="I1057" i="4" s="1" a="1"/>
  <c r="I1057" i="4" s="1"/>
  <c r="H1057" i="4" s="1"/>
  <c r="G1058" i="4" a="1"/>
  <c r="G1058" i="4" s="1"/>
  <c r="I1058" i="4" a="1"/>
  <c r="I1058" i="4" s="1"/>
  <c r="H1058" i="4" s="1"/>
  <c r="G1059" i="4" a="1"/>
  <c r="G1059" i="4"/>
  <c r="I1059" i="4" a="1"/>
  <c r="I1059" i="4" s="1"/>
  <c r="H1059" i="4" s="1"/>
  <c r="G1060" i="4" a="1"/>
  <c r="G1060" i="4"/>
  <c r="I1060" i="4" a="1"/>
  <c r="I1060" i="4" s="1"/>
  <c r="H1060" i="4" s="1"/>
  <c r="G1061" i="4" a="1"/>
  <c r="G1061" i="4"/>
  <c r="I1061" i="4" a="1"/>
  <c r="I1061" i="4" s="1"/>
  <c r="H1061" i="4" s="1"/>
  <c r="G1062" i="4" a="1"/>
  <c r="G1062" i="4" s="1"/>
  <c r="I1062" i="4" a="1"/>
  <c r="I1062" i="4" s="1"/>
  <c r="H1062" i="4" s="1"/>
  <c r="G1063" i="4" a="1"/>
  <c r="G1063" i="4"/>
  <c r="I1063" i="4" a="1"/>
  <c r="I1063" i="4" s="1"/>
  <c r="H1063" i="4" s="1"/>
  <c r="G1064" i="4" a="1"/>
  <c r="G1064" i="4" s="1"/>
  <c r="I1064" i="4" a="1"/>
  <c r="I1064" i="4" s="1"/>
  <c r="G1065" i="4" a="1"/>
  <c r="G1065" i="4" s="1"/>
  <c r="I1065" i="4" a="1"/>
  <c r="I1065" i="4" s="1"/>
  <c r="H1065" i="4" s="1"/>
  <c r="G1066" i="4" a="1"/>
  <c r="G1066" i="4" s="1"/>
  <c r="I1066" i="4" a="1"/>
  <c r="I1066" i="4" s="1"/>
  <c r="H1066" i="4" s="1"/>
  <c r="G1067" i="4" a="1"/>
  <c r="G1067" i="4"/>
  <c r="I1067" i="4" a="1"/>
  <c r="I1067" i="4" s="1"/>
  <c r="H1067" i="4" s="1"/>
  <c r="G1068" i="4" a="1"/>
  <c r="G1068" i="4"/>
  <c r="I1068" i="4" a="1"/>
  <c r="I1068" i="4" s="1"/>
  <c r="H1068" i="4" s="1"/>
  <c r="G1069" i="4" a="1"/>
  <c r="G1069" i="4"/>
  <c r="I1069" i="4" s="1" a="1"/>
  <c r="I1069" i="4" s="1"/>
  <c r="H1069" i="4" s="1"/>
  <c r="G1070" i="4" a="1"/>
  <c r="G1070" i="4" s="1"/>
  <c r="I1070" i="4" a="1"/>
  <c r="I1070" i="4" s="1"/>
  <c r="G1071" i="4" a="1"/>
  <c r="G1071" i="4"/>
  <c r="I1071" i="4" s="1" a="1"/>
  <c r="I1071" i="4" s="1"/>
  <c r="H1071" i="4" s="1"/>
  <c r="G1072" i="4" a="1"/>
  <c r="G1072" i="4" s="1"/>
  <c r="I1072" i="4" a="1"/>
  <c r="I1072" i="4" s="1"/>
  <c r="G1073" i="4" a="1"/>
  <c r="G1073" i="4" s="1"/>
  <c r="I1073" i="4" s="1" a="1"/>
  <c r="I1073" i="4" s="1"/>
  <c r="H1073" i="4" s="1"/>
  <c r="G1074" i="4" a="1"/>
  <c r="G1074" i="4" s="1"/>
  <c r="I1074" i="4" a="1"/>
  <c r="I1074" i="4" s="1"/>
  <c r="G1075" i="4" a="1"/>
  <c r="G1075" i="4"/>
  <c r="I1075" i="4" a="1"/>
  <c r="I1075" i="4" s="1"/>
  <c r="H1075" i="4" s="1"/>
  <c r="G1076" i="4" a="1"/>
  <c r="G1076" i="4"/>
  <c r="I1076" i="4" a="1"/>
  <c r="I1076" i="4" s="1"/>
  <c r="H1076" i="4" s="1"/>
  <c r="G1077" i="4" a="1"/>
  <c r="G1077" i="4"/>
  <c r="I1077" i="4" s="1" a="1"/>
  <c r="I1077" i="4" s="1"/>
  <c r="H1077" i="4" s="1"/>
  <c r="G1078" i="4" a="1"/>
  <c r="G1078" i="4" s="1"/>
  <c r="I1078" i="4" a="1"/>
  <c r="I1078" i="4" s="1"/>
  <c r="H1078" i="4" s="1"/>
  <c r="G1079" i="4" a="1"/>
  <c r="G1079" i="4"/>
  <c r="I1079" i="4" s="1" a="1"/>
  <c r="I1079" i="4" s="1"/>
  <c r="H1079" i="4" s="1"/>
  <c r="G1080" i="4" a="1"/>
  <c r="G1080" i="4" s="1"/>
  <c r="I1080" i="4" a="1"/>
  <c r="I1080" i="4" s="1"/>
  <c r="G1081" i="4" a="1"/>
  <c r="G1081" i="4" s="1"/>
  <c r="I1081" i="4" s="1" a="1"/>
  <c r="I1081" i="4" s="1"/>
  <c r="H1081" i="4" s="1"/>
  <c r="G1082" i="4" a="1"/>
  <c r="G1082" i="4" s="1"/>
  <c r="I1082" i="4" a="1"/>
  <c r="I1082" i="4" s="1"/>
  <c r="G1083" i="4" a="1"/>
  <c r="G1083" i="4"/>
  <c r="I1083" i="4" a="1"/>
  <c r="I1083" i="4" s="1"/>
  <c r="H1083" i="4" s="1"/>
  <c r="G1084" i="4" a="1"/>
  <c r="G1084" i="4"/>
  <c r="I1084" i="4" a="1"/>
  <c r="I1084" i="4" s="1"/>
  <c r="H1084" i="4" s="1"/>
  <c r="G1085" i="4" a="1"/>
  <c r="G1085" i="4"/>
  <c r="I1085" i="4" s="1" a="1"/>
  <c r="I1085" i="4" s="1"/>
  <c r="H1085" i="4" s="1"/>
  <c r="G1086" i="4" a="1"/>
  <c r="G1086" i="4" s="1"/>
  <c r="I1086" i="4" a="1"/>
  <c r="I1086" i="4" s="1"/>
  <c r="H1086" i="4" s="1"/>
  <c r="G1087" i="4" a="1"/>
  <c r="G1087" i="4"/>
  <c r="I1087" i="4" s="1" a="1"/>
  <c r="I1087" i="4" s="1"/>
  <c r="H1087" i="4" s="1"/>
  <c r="G1088" i="4" a="1"/>
  <c r="G1088" i="4" s="1"/>
  <c r="I1088" i="4" a="1"/>
  <c r="I1088" i="4" s="1"/>
  <c r="G1089" i="4" a="1"/>
  <c r="G1089" i="4" s="1"/>
  <c r="I1089" i="4" s="1" a="1"/>
  <c r="I1089" i="4" s="1"/>
  <c r="H1089" i="4" s="1"/>
  <c r="G1090" i="4" a="1"/>
  <c r="G1090" i="4" s="1"/>
  <c r="I1090" i="4" a="1"/>
  <c r="I1090" i="4" s="1"/>
  <c r="H1090" i="4" s="1"/>
  <c r="G1091" i="4" a="1"/>
  <c r="G1091" i="4"/>
  <c r="I1091" i="4" s="1" a="1"/>
  <c r="I1091" i="4" s="1"/>
  <c r="H1091" i="4" s="1"/>
  <c r="G1092" i="4" a="1"/>
  <c r="G1092" i="4"/>
  <c r="I1092" i="4" a="1"/>
  <c r="I1092" i="4" s="1"/>
  <c r="H1092" i="4" s="1"/>
  <c r="G1093" i="4" a="1"/>
  <c r="G1093" i="4"/>
  <c r="I1093" i="4" s="1" a="1"/>
  <c r="I1093" i="4" s="1"/>
  <c r="H1093" i="4" s="1"/>
  <c r="G1094" i="4" a="1"/>
  <c r="G1094" i="4" s="1"/>
  <c r="I1094" i="4" a="1"/>
  <c r="I1094" i="4" s="1"/>
  <c r="H1094" i="4" s="1"/>
  <c r="G1095" i="4" a="1"/>
  <c r="G1095" i="4"/>
  <c r="I1095" i="4" s="1" a="1"/>
  <c r="I1095" i="4" s="1"/>
  <c r="H1095" i="4" s="1"/>
  <c r="G1096" i="4" a="1"/>
  <c r="G1096" i="4" s="1"/>
  <c r="I1096" i="4" a="1"/>
  <c r="I1096" i="4" s="1"/>
  <c r="G1097" i="4" a="1"/>
  <c r="G1097" i="4" s="1"/>
  <c r="I1097" i="4" a="1"/>
  <c r="I1097" i="4" s="1"/>
  <c r="H1097" i="4" s="1"/>
  <c r="G1098" i="4" a="1"/>
  <c r="G1098" i="4" s="1"/>
  <c r="I1098" i="4" a="1"/>
  <c r="I1098" i="4" s="1"/>
  <c r="H1098" i="4" s="1"/>
  <c r="G1099" i="4" a="1"/>
  <c r="G1099" i="4"/>
  <c r="I1099" i="4" a="1"/>
  <c r="I1099" i="4" s="1"/>
  <c r="H1099" i="4" s="1"/>
  <c r="G1100" i="4" a="1"/>
  <c r="G1100" i="4"/>
  <c r="I1100" i="4" a="1"/>
  <c r="I1100" i="4" s="1"/>
  <c r="H1100" i="4" s="1"/>
  <c r="G1101" i="4" a="1"/>
  <c r="G1101" i="4"/>
  <c r="I1101" i="4" s="1" a="1"/>
  <c r="I1101" i="4" s="1"/>
  <c r="H1101" i="4" s="1"/>
  <c r="G1102" i="4" a="1"/>
  <c r="G1102" i="4" s="1"/>
  <c r="I1102" i="4" a="1"/>
  <c r="I1102" i="4" s="1"/>
  <c r="H1102" i="4" s="1"/>
  <c r="G1103" i="4" a="1"/>
  <c r="G1103" i="4"/>
  <c r="I1103" i="4" s="1" a="1"/>
  <c r="I1103" i="4" s="1"/>
  <c r="H1103" i="4" s="1"/>
  <c r="G1104" i="4" a="1"/>
  <c r="G1104" i="4"/>
  <c r="I1104" i="4" a="1"/>
  <c r="I1104" i="4" s="1"/>
  <c r="H1104" i="4" s="1"/>
  <c r="G1105" i="4" a="1"/>
  <c r="G1105" i="4"/>
  <c r="I1105" i="4" s="1" a="1"/>
  <c r="I1105" i="4" s="1"/>
  <c r="H1105" i="4" s="1"/>
  <c r="G1106" i="4" a="1"/>
  <c r="G1106" i="4" s="1"/>
  <c r="I1106" i="4" a="1"/>
  <c r="I1106" i="4" s="1"/>
  <c r="H1106" i="4" s="1"/>
  <c r="G1107" i="4" a="1"/>
  <c r="G1107" i="4"/>
  <c r="I1107" i="4" s="1" a="1"/>
  <c r="I1107" i="4" s="1"/>
  <c r="H1107" i="4" s="1"/>
  <c r="G1108" i="4" a="1"/>
  <c r="G1108" i="4" s="1"/>
  <c r="I1108" i="4" s="1" a="1"/>
  <c r="I1108" i="4" s="1"/>
  <c r="H1108" i="4" s="1"/>
  <c r="G1109" i="4" a="1"/>
  <c r="G1109" i="4"/>
  <c r="I1109" i="4" a="1"/>
  <c r="I1109" i="4" s="1"/>
  <c r="H1109" i="4" s="1"/>
  <c r="G1110" i="4" a="1"/>
  <c r="G1110" i="4" s="1"/>
  <c r="I1110" i="4" s="1" a="1"/>
  <c r="I1110" i="4" s="1"/>
  <c r="H1110" i="4" s="1"/>
  <c r="G1111" i="4" a="1"/>
  <c r="G1111" i="4"/>
  <c r="I1111" i="4" a="1"/>
  <c r="I1111" i="4" s="1"/>
  <c r="H1111" i="4" s="1"/>
  <c r="G1112" i="4" a="1"/>
  <c r="G1112" i="4" s="1"/>
  <c r="I1112" i="4" s="1" a="1"/>
  <c r="I1112" i="4" s="1"/>
  <c r="H1112" i="4" s="1"/>
  <c r="G1113" i="4" a="1"/>
  <c r="G1113" i="4" s="1"/>
  <c r="I1113" i="4" a="1"/>
  <c r="I1113" i="4" s="1"/>
  <c r="G1114" i="4" a="1"/>
  <c r="G1114" i="4"/>
  <c r="I1114" i="4" a="1"/>
  <c r="I1114" i="4" s="1"/>
  <c r="H1114" i="4" s="1"/>
  <c r="G1115" i="4" a="1"/>
  <c r="G1115" i="4"/>
  <c r="I1115" i="4" a="1"/>
  <c r="I1115" i="4" s="1"/>
  <c r="H1115" i="4" s="1"/>
  <c r="G1116" i="4" a="1"/>
  <c r="G1116" i="4"/>
  <c r="I1116" i="4" a="1"/>
  <c r="I1116" i="4" s="1"/>
  <c r="H1116" i="4" s="1"/>
  <c r="G1117" i="4" a="1"/>
  <c r="G1117" i="4" s="1"/>
  <c r="I1117" i="4" a="1"/>
  <c r="I1117" i="4" s="1"/>
  <c r="H1117" i="4" s="1"/>
  <c r="G1118" i="4" a="1"/>
  <c r="G1118" i="4" s="1"/>
  <c r="I1118" i="4" s="1" a="1"/>
  <c r="I1118" i="4" s="1"/>
  <c r="H1118" i="4" s="1"/>
  <c r="G1119" i="4" a="1"/>
  <c r="G1119" i="4"/>
  <c r="I1119" i="4" a="1"/>
  <c r="I1119" i="4" s="1"/>
  <c r="H1119" i="4" s="1"/>
  <c r="G1120" i="4" a="1"/>
  <c r="G1120" i="4"/>
  <c r="I1120" i="4" s="1" a="1"/>
  <c r="I1120" i="4" s="1"/>
  <c r="H1120" i="4" s="1"/>
  <c r="G1121" i="4" a="1"/>
  <c r="G1121" i="4"/>
  <c r="I1121" i="4" a="1"/>
  <c r="I1121" i="4" s="1"/>
  <c r="H1121" i="4" s="1"/>
  <c r="G1122" i="4" a="1"/>
  <c r="G1122" i="4"/>
  <c r="I1122" i="4" a="1"/>
  <c r="I1122" i="4" s="1"/>
  <c r="H1122" i="4" s="1"/>
  <c r="G1123" i="4" a="1"/>
  <c r="G1123" i="4" s="1"/>
  <c r="I1123" i="4" a="1"/>
  <c r="I1123" i="4" s="1"/>
  <c r="G1124" i="4" a="1"/>
  <c r="G1124" i="4"/>
  <c r="I1124" i="4" a="1"/>
  <c r="I1124" i="4" s="1"/>
  <c r="H1124" i="4" s="1"/>
  <c r="G1125" i="4" a="1"/>
  <c r="G1125" i="4" s="1"/>
  <c r="I1125" i="4" a="1"/>
  <c r="I1125" i="4" s="1"/>
  <c r="G1126" i="4" a="1"/>
  <c r="G1126" i="4" s="1"/>
  <c r="I1126" i="4" s="1" a="1"/>
  <c r="I1126" i="4" s="1"/>
  <c r="H1126" i="4" s="1"/>
  <c r="G1127" i="4" a="1"/>
  <c r="G1127" i="4"/>
  <c r="I1127" i="4" a="1"/>
  <c r="I1127" i="4" s="1"/>
  <c r="H1127" i="4" s="1"/>
  <c r="G1128" i="4" a="1"/>
  <c r="G1128" i="4"/>
  <c r="I1128" i="4" s="1" a="1"/>
  <c r="I1128" i="4" s="1"/>
  <c r="H1128" i="4" s="1"/>
  <c r="G1129" i="4" a="1"/>
  <c r="G1129" i="4"/>
  <c r="I1129" i="4" s="1" a="1"/>
  <c r="I1129" i="4" s="1"/>
  <c r="H1129" i="4" s="1"/>
  <c r="G1130" i="4" a="1"/>
  <c r="G1130" i="4"/>
  <c r="I1130" i="4" a="1"/>
  <c r="I1130" i="4" s="1"/>
  <c r="H1130" i="4" s="1"/>
  <c r="G1131" i="4" a="1"/>
  <c r="G1131" i="4" s="1"/>
  <c r="I1131" i="4" s="1" a="1"/>
  <c r="I1131" i="4" s="1"/>
  <c r="H1131" i="4" s="1"/>
  <c r="G1132" i="4" a="1"/>
  <c r="G1132" i="4"/>
  <c r="I1132" i="4" a="1"/>
  <c r="I1132" i="4" s="1"/>
  <c r="H1132" i="4" s="1"/>
  <c r="G1133" i="4" a="1"/>
  <c r="G1133" i="4" s="1"/>
  <c r="I1133" i="4" s="1" a="1"/>
  <c r="I1133" i="4" s="1"/>
  <c r="H1133" i="4" s="1"/>
  <c r="G1134" i="4" a="1"/>
  <c r="G1134" i="4" s="1"/>
  <c r="I1134" i="4" s="1" a="1"/>
  <c r="I1134" i="4" s="1"/>
  <c r="H1134" i="4" s="1"/>
  <c r="G1135" i="4" a="1"/>
  <c r="G1135" i="4"/>
  <c r="I1135" i="4" a="1"/>
  <c r="I1135" i="4" s="1"/>
  <c r="H1135" i="4" s="1"/>
  <c r="G1136" i="4" a="1"/>
  <c r="G1136" i="4"/>
  <c r="I1136" i="4" s="1" a="1"/>
  <c r="I1136" i="4" s="1"/>
  <c r="H1136" i="4" s="1"/>
  <c r="G1137" i="4" a="1"/>
  <c r="G1137" i="4"/>
  <c r="I1137" i="4" s="1" a="1"/>
  <c r="I1137" i="4" s="1"/>
  <c r="H1137" i="4" s="1"/>
  <c r="G1138" i="4" a="1"/>
  <c r="G1138" i="4"/>
  <c r="I1138" i="4" a="1"/>
  <c r="I1138" i="4" s="1"/>
  <c r="H1138" i="4" s="1"/>
  <c r="G1139" i="4" a="1"/>
  <c r="G1139" i="4" s="1"/>
  <c r="I1139" i="4" a="1"/>
  <c r="I1139" i="4" s="1"/>
  <c r="G1140" i="4" a="1"/>
  <c r="G1140" i="4"/>
  <c r="I1140" i="4" a="1"/>
  <c r="I1140" i="4" s="1"/>
  <c r="H1140" i="4" s="1"/>
  <c r="G1141" i="4" a="1"/>
  <c r="G1141" i="4" s="1"/>
  <c r="I1141" i="4" a="1"/>
  <c r="I1141" i="4" s="1"/>
  <c r="H1141" i="4" s="1"/>
  <c r="G1142" i="4" a="1"/>
  <c r="G1142" i="4" s="1"/>
  <c r="I1142" i="4" s="1" a="1"/>
  <c r="I1142" i="4" s="1"/>
  <c r="H1142" i="4" s="1"/>
  <c r="G1143" i="4" a="1"/>
  <c r="G1143" i="4"/>
  <c r="I1143" i="4" a="1"/>
  <c r="I1143" i="4" s="1"/>
  <c r="H1143" i="4" s="1"/>
  <c r="G1144" i="4" a="1"/>
  <c r="G1144" i="4"/>
  <c r="I1144" i="4" s="1" a="1"/>
  <c r="I1144" i="4" s="1"/>
  <c r="H1144" i="4" s="1"/>
  <c r="G1145" i="4" a="1"/>
  <c r="G1145" i="4"/>
  <c r="I1145" i="4" a="1"/>
  <c r="I1145" i="4" s="1"/>
  <c r="H1145" i="4" s="1"/>
  <c r="G1146" i="4" a="1"/>
  <c r="G1146" i="4"/>
  <c r="I1146" i="4" a="1"/>
  <c r="I1146" i="4" s="1"/>
  <c r="H1146" i="4" s="1"/>
  <c r="G1147" i="4" a="1"/>
  <c r="G1147" i="4" s="1"/>
  <c r="I1147" i="4" a="1"/>
  <c r="I1147" i="4" s="1"/>
  <c r="G1148" i="4" a="1"/>
  <c r="G1148" i="4"/>
  <c r="I1148" i="4" a="1"/>
  <c r="I1148" i="4" s="1"/>
  <c r="H1148" i="4" s="1"/>
  <c r="G1149" i="4" a="1"/>
  <c r="G1149" i="4" s="1"/>
  <c r="I1149" i="4" a="1"/>
  <c r="I1149" i="4" s="1"/>
  <c r="H1149" i="4" s="1"/>
  <c r="G1150" i="4" a="1"/>
  <c r="G1150" i="4" s="1"/>
  <c r="I1150" i="4" s="1" a="1"/>
  <c r="I1150" i="4" s="1"/>
  <c r="H1150" i="4" s="1"/>
  <c r="G1151" i="4" a="1"/>
  <c r="G1151" i="4"/>
  <c r="I1151" i="4" a="1"/>
  <c r="I1151" i="4" s="1"/>
  <c r="H1151" i="4" s="1"/>
  <c r="G1152" i="4" a="1"/>
  <c r="G1152" i="4"/>
  <c r="I1152" i="4" s="1" a="1"/>
  <c r="I1152" i="4" s="1"/>
  <c r="H1152" i="4" s="1"/>
  <c r="G1153" i="4" a="1"/>
  <c r="G1153" i="4"/>
  <c r="I1153" i="4" a="1"/>
  <c r="I1153" i="4" s="1"/>
  <c r="H1153" i="4" s="1"/>
  <c r="G1154" i="4" a="1"/>
  <c r="G1154" i="4"/>
  <c r="I1154" i="4" a="1"/>
  <c r="I1154" i="4" s="1"/>
  <c r="H1154" i="4" s="1"/>
  <c r="G1155" i="4" a="1"/>
  <c r="G1155" i="4" s="1"/>
  <c r="I1155" i="4" a="1"/>
  <c r="I1155" i="4" s="1"/>
  <c r="G1156" i="4" a="1"/>
  <c r="G1156" i="4"/>
  <c r="I1156" i="4" a="1"/>
  <c r="I1156" i="4" s="1"/>
  <c r="H1156" i="4" s="1"/>
  <c r="G1157" i="4" a="1"/>
  <c r="G1157" i="4" s="1"/>
  <c r="I1157" i="4" a="1"/>
  <c r="I1157" i="4" s="1"/>
  <c r="G1158" i="4" a="1"/>
  <c r="G1158" i="4" s="1"/>
  <c r="I1158" i="4" s="1" a="1"/>
  <c r="I1158" i="4" s="1"/>
  <c r="H1158" i="4" s="1"/>
  <c r="G1159" i="4" a="1"/>
  <c r="G1159" i="4"/>
  <c r="I1159" i="4" a="1"/>
  <c r="I1159" i="4" s="1"/>
  <c r="H1159" i="4" s="1"/>
  <c r="G1160" i="4" a="1"/>
  <c r="G1160" i="4"/>
  <c r="I1160" i="4" a="1"/>
  <c r="I1160" i="4" s="1"/>
  <c r="H1160" i="4" s="1"/>
  <c r="G1161" i="4" a="1"/>
  <c r="G1161" i="4"/>
  <c r="I1161" i="4" a="1"/>
  <c r="I1161" i="4" s="1"/>
  <c r="H1161" i="4" s="1"/>
  <c r="G1162" i="4" a="1"/>
  <c r="G1162" i="4"/>
  <c r="I1162" i="4" a="1"/>
  <c r="I1162" i="4" s="1"/>
  <c r="H1162" i="4" s="1"/>
  <c r="G1163" i="4" a="1"/>
  <c r="G1163" i="4" s="1"/>
  <c r="I1163" i="4" s="1" a="1"/>
  <c r="I1163" i="4" s="1"/>
  <c r="H1163" i="4" s="1"/>
  <c r="G1164" i="4" a="1"/>
  <c r="G1164" i="4"/>
  <c r="I1164" i="4" a="1"/>
  <c r="I1164" i="4" s="1"/>
  <c r="H1164" i="4" s="1"/>
  <c r="G1165" i="4" a="1"/>
  <c r="G1165" i="4" s="1"/>
  <c r="I1165" i="4" s="1" a="1"/>
  <c r="I1165" i="4" s="1"/>
  <c r="H1165" i="4" s="1"/>
  <c r="G1166" i="4" a="1"/>
  <c r="G1166" i="4" s="1"/>
  <c r="I1166" i="4" s="1" a="1"/>
  <c r="I1166" i="4" s="1"/>
  <c r="H1166" i="4" s="1"/>
  <c r="G1167" i="4" a="1"/>
  <c r="G1167" i="4"/>
  <c r="I1167" i="4" a="1"/>
  <c r="I1167" i="4" s="1"/>
  <c r="H1167" i="4" s="1"/>
  <c r="G1168" i="4" a="1"/>
  <c r="G1168" i="4"/>
  <c r="I1168" i="4" s="1" a="1"/>
  <c r="I1168" i="4" s="1"/>
  <c r="H1168" i="4" s="1"/>
  <c r="G1169" i="4" a="1"/>
  <c r="G1169" i="4"/>
  <c r="I1169" i="4" s="1" a="1"/>
  <c r="I1169" i="4" s="1"/>
  <c r="H1169" i="4" s="1"/>
  <c r="G1170" i="4" a="1"/>
  <c r="G1170" i="4"/>
  <c r="I1170" i="4" a="1"/>
  <c r="I1170" i="4" s="1"/>
  <c r="H1170" i="4" s="1"/>
  <c r="G1171" i="4" a="1"/>
  <c r="G1171" i="4" s="1"/>
  <c r="I1171" i="4" s="1" a="1"/>
  <c r="I1171" i="4" s="1"/>
  <c r="H1171" i="4" s="1"/>
  <c r="G1172" i="4" a="1"/>
  <c r="G1172" i="4"/>
  <c r="I1172" i="4" a="1"/>
  <c r="I1172" i="4" s="1"/>
  <c r="H1172" i="4" s="1"/>
  <c r="G1173" i="4" a="1"/>
  <c r="G1173" i="4" s="1"/>
  <c r="I1173" i="4" s="1" a="1"/>
  <c r="I1173" i="4" s="1"/>
  <c r="H1173" i="4" s="1"/>
  <c r="G1174" i="4" a="1"/>
  <c r="G1174" i="4" s="1"/>
  <c r="I1174" i="4" s="1" a="1"/>
  <c r="I1174" i="4" s="1"/>
  <c r="H1174" i="4" s="1"/>
  <c r="G1175" i="4" a="1"/>
  <c r="G1175" i="4"/>
  <c r="I1175" i="4" a="1"/>
  <c r="I1175" i="4" s="1"/>
  <c r="H1175" i="4" s="1"/>
  <c r="G1176" i="4" a="1"/>
  <c r="G1176" i="4"/>
  <c r="I1176" i="4" s="1" a="1"/>
  <c r="I1176" i="4" s="1"/>
  <c r="H1176" i="4" s="1"/>
  <c r="G1177" i="4" a="1"/>
  <c r="G1177" i="4"/>
  <c r="I1177" i="4" s="1" a="1"/>
  <c r="I1177" i="4" s="1"/>
  <c r="H1177" i="4" s="1"/>
  <c r="G1178" i="4" a="1"/>
  <c r="G1178" i="4"/>
  <c r="I1178" i="4" a="1"/>
  <c r="I1178" i="4" s="1"/>
  <c r="H1178" i="4" s="1"/>
  <c r="G1179" i="4" a="1"/>
  <c r="G1179" i="4" s="1"/>
  <c r="I1179" i="4" s="1" a="1"/>
  <c r="I1179" i="4" s="1"/>
  <c r="H1179" i="4" s="1"/>
  <c r="G1180" i="4" a="1"/>
  <c r="G1180" i="4"/>
  <c r="I1180" i="4" a="1"/>
  <c r="I1180" i="4" s="1"/>
  <c r="H1180" i="4" s="1"/>
  <c r="G1181" i="4" a="1"/>
  <c r="G1181" i="4" s="1"/>
  <c r="I1181" i="4" a="1"/>
  <c r="I1181" i="4" s="1"/>
  <c r="G1182" i="4" a="1"/>
  <c r="G1182" i="4" s="1"/>
  <c r="I1182" i="4" a="1"/>
  <c r="I1182" i="4" s="1"/>
  <c r="H1182" i="4" s="1"/>
  <c r="G1183" i="4" a="1"/>
  <c r="G1183" i="4"/>
  <c r="I1183" i="4" a="1"/>
  <c r="I1183" i="4" s="1"/>
  <c r="H1183" i="4" s="1"/>
  <c r="G1184" i="4" a="1"/>
  <c r="G1184" i="4"/>
  <c r="I1184" i="4" s="1" a="1"/>
  <c r="I1184" i="4" s="1"/>
  <c r="H1184" i="4" s="1"/>
  <c r="G1185" i="4" a="1"/>
  <c r="G1185" i="4"/>
  <c r="I1185" i="4" s="1" a="1"/>
  <c r="I1185" i="4" s="1"/>
  <c r="H1185" i="4" s="1"/>
  <c r="G1186" i="4" a="1"/>
  <c r="G1186" i="4"/>
  <c r="I1186" i="4" a="1"/>
  <c r="I1186" i="4" s="1"/>
  <c r="H1186" i="4" s="1"/>
  <c r="G1187" i="4" a="1"/>
  <c r="G1187" i="4" s="1"/>
  <c r="I1187" i="4" s="1" a="1"/>
  <c r="I1187" i="4" s="1"/>
  <c r="H1187" i="4" s="1"/>
  <c r="G1188" i="4" a="1"/>
  <c r="G1188" i="4"/>
  <c r="I1188" i="4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a="1"/>
  <c r="I1190" i="4" s="1"/>
  <c r="G1191" i="4" a="1"/>
  <c r="G1191" i="4"/>
  <c r="I1191" i="4" a="1"/>
  <c r="I1191" i="4" s="1"/>
  <c r="H1191" i="4" s="1"/>
  <c r="G1192" i="4" a="1"/>
  <c r="G1192" i="4"/>
  <c r="I1192" i="4" a="1"/>
  <c r="I1192" i="4" s="1"/>
  <c r="H1192" i="4" s="1"/>
  <c r="G1193" i="4" a="1"/>
  <c r="G1193" i="4"/>
  <c r="I1193" i="4" s="1" a="1"/>
  <c r="I1193" i="4" s="1"/>
  <c r="H1193" i="4" s="1"/>
  <c r="G1194" i="4" a="1"/>
  <c r="G1194" i="4"/>
  <c r="I1194" i="4" a="1"/>
  <c r="I1194" i="4" s="1"/>
  <c r="H1194" i="4" s="1"/>
  <c r="G1195" i="4" a="1"/>
  <c r="G1195" i="4" s="1"/>
  <c r="I1195" i="4" s="1" a="1"/>
  <c r="I1195" i="4" s="1"/>
  <c r="H1195" i="4" s="1"/>
  <c r="G1196" i="4" a="1"/>
  <c r="G1196" i="4"/>
  <c r="I1196" i="4" a="1"/>
  <c r="I1196" i="4" s="1"/>
  <c r="H1196" i="4" s="1"/>
  <c r="G1197" i="4" a="1"/>
  <c r="G1197" i="4" s="1"/>
  <c r="I1197" i="4" s="1" a="1"/>
  <c r="I1197" i="4" s="1"/>
  <c r="H1197" i="4" s="1"/>
  <c r="G1198" i="4" a="1"/>
  <c r="G1198" i="4" s="1"/>
  <c r="I1198" i="4" a="1"/>
  <c r="I1198" i="4" s="1"/>
  <c r="G1199" i="4" a="1"/>
  <c r="G1199" i="4"/>
  <c r="I1199" i="4" a="1"/>
  <c r="I1199" i="4" s="1"/>
  <c r="H1199" i="4" s="1"/>
  <c r="G1200" i="4" a="1"/>
  <c r="G1200" i="4"/>
  <c r="I1200" i="4" a="1"/>
  <c r="I1200" i="4" s="1"/>
  <c r="H1200" i="4" s="1"/>
  <c r="G1201" i="4" a="1"/>
  <c r="G1201" i="4"/>
  <c r="I1201" i="4" s="1" a="1"/>
  <c r="I1201" i="4" s="1"/>
  <c r="H1201" i="4" s="1"/>
  <c r="G1202" i="4" a="1"/>
  <c r="G1202" i="4"/>
  <c r="I1202" i="4" a="1"/>
  <c r="I1202" i="4" s="1"/>
  <c r="H1202" i="4" s="1"/>
  <c r="G1203" i="4" a="1"/>
  <c r="G1203" i="4" s="1"/>
  <c r="I1203" i="4" s="1" a="1"/>
  <c r="I1203" i="4" s="1"/>
  <c r="H1203" i="4" s="1"/>
  <c r="G1204" i="4" a="1"/>
  <c r="G1204" i="4"/>
  <c r="I1204" i="4" a="1"/>
  <c r="I1204" i="4" s="1"/>
  <c r="H1204" i="4" s="1"/>
  <c r="G1205" i="4" a="1"/>
  <c r="G1205" i="4" s="1"/>
  <c r="I1205" i="4" s="1" a="1"/>
  <c r="I1205" i="4" s="1"/>
  <c r="H1205" i="4" s="1"/>
  <c r="G1206" i="4" a="1"/>
  <c r="G1206" i="4" s="1"/>
  <c r="I1206" i="4" a="1"/>
  <c r="I1206" i="4" s="1"/>
  <c r="H1206" i="4" s="1"/>
  <c r="G1207" i="4" a="1"/>
  <c r="G1207" i="4"/>
  <c r="I1207" i="4" a="1"/>
  <c r="I1207" i="4" s="1"/>
  <c r="H1207" i="4" s="1"/>
  <c r="G1208" i="4" a="1"/>
  <c r="G1208" i="4"/>
  <c r="I1208" i="4" a="1"/>
  <c r="I1208" i="4" s="1"/>
  <c r="H1208" i="4" s="1"/>
  <c r="G1209" i="4" a="1"/>
  <c r="G1209" i="4"/>
  <c r="I1209" i="4" s="1" a="1"/>
  <c r="I1209" i="4" s="1"/>
  <c r="H1209" i="4" s="1"/>
  <c r="G1210" i="4" a="1"/>
  <c r="G1210" i="4"/>
  <c r="I1210" i="4" a="1"/>
  <c r="I1210" i="4" s="1"/>
  <c r="H1210" i="4" s="1"/>
  <c r="G1211" i="4" a="1"/>
  <c r="G1211" i="4" s="1"/>
  <c r="I1211" i="4" s="1" a="1"/>
  <c r="I1211" i="4" s="1"/>
  <c r="H1211" i="4" s="1"/>
  <c r="G1212" i="4" a="1"/>
  <c r="G1212" i="4"/>
  <c r="I1212" i="4" a="1"/>
  <c r="I1212" i="4" s="1"/>
  <c r="H1212" i="4" s="1"/>
  <c r="G1213" i="4" a="1"/>
  <c r="G1213" i="4" s="1"/>
  <c r="I1213" i="4" a="1"/>
  <c r="I1213" i="4" s="1"/>
  <c r="H1213" i="4" s="1"/>
  <c r="G1214" i="4" a="1"/>
  <c r="G1214" i="4" s="1"/>
  <c r="I1214" i="4" a="1"/>
  <c r="I1214" i="4" s="1"/>
  <c r="G1215" i="4" a="1"/>
  <c r="G1215" i="4"/>
  <c r="I1215" i="4" a="1"/>
  <c r="I1215" i="4" s="1"/>
  <c r="H1215" i="4" s="1"/>
  <c r="G1216" i="4" a="1"/>
  <c r="G1216" i="4"/>
  <c r="I1216" i="4" a="1"/>
  <c r="I1216" i="4" s="1"/>
  <c r="H1216" i="4" s="1"/>
  <c r="G1217" i="4" a="1"/>
  <c r="G1217" i="4"/>
  <c r="I1217" i="4" a="1"/>
  <c r="I1217" i="4" s="1"/>
  <c r="H1217" i="4" s="1"/>
  <c r="G1218" i="4" a="1"/>
  <c r="G1218" i="4"/>
  <c r="I1218" i="4" a="1"/>
  <c r="I1218" i="4" s="1"/>
  <c r="H1218" i="4" s="1"/>
  <c r="G1219" i="4" a="1"/>
  <c r="G1219" i="4" s="1"/>
  <c r="I1219" i="4" a="1"/>
  <c r="I1219" i="4" s="1"/>
  <c r="G1220" i="4" a="1"/>
  <c r="G1220" i="4"/>
  <c r="I1220" i="4" a="1"/>
  <c r="I1220" i="4" s="1"/>
  <c r="H1220" i="4" s="1"/>
  <c r="G1221" i="4" a="1"/>
  <c r="G1221" i="4" s="1"/>
  <c r="I1221" i="4" a="1"/>
  <c r="I1221" i="4" s="1"/>
  <c r="G1222" i="4" a="1"/>
  <c r="G1222" i="4" s="1"/>
  <c r="I1222" i="4" a="1"/>
  <c r="I1222" i="4" s="1"/>
  <c r="G1223" i="4" a="1"/>
  <c r="G1223" i="4"/>
  <c r="I1223" i="4" a="1"/>
  <c r="I1223" i="4" s="1"/>
  <c r="H1223" i="4" s="1"/>
  <c r="G1224" i="4" a="1"/>
  <c r="G1224" i="4"/>
  <c r="I1224" i="4" a="1"/>
  <c r="I1224" i="4" s="1"/>
  <c r="H1224" i="4" s="1"/>
  <c r="G1225" i="4" a="1"/>
  <c r="G1225" i="4"/>
  <c r="I1225" i="4" s="1" a="1"/>
  <c r="I1225" i="4" s="1"/>
  <c r="H1225" i="4" s="1"/>
  <c r="G1226" i="4" a="1"/>
  <c r="G1226" i="4"/>
  <c r="I1226" i="4" a="1"/>
  <c r="I1226" i="4" s="1"/>
  <c r="H1226" i="4" s="1"/>
  <c r="G1227" i="4" a="1"/>
  <c r="G1227" i="4" s="1"/>
  <c r="I1227" i="4" s="1" a="1"/>
  <c r="I1227" i="4" s="1"/>
  <c r="H1227" i="4" s="1"/>
  <c r="G1228" i="4" a="1"/>
  <c r="G1228" i="4"/>
  <c r="I1228" i="4" a="1"/>
  <c r="I1228" i="4" s="1"/>
  <c r="H1228" i="4" s="1"/>
  <c r="G1229" i="4" a="1"/>
  <c r="G1229" i="4" s="1"/>
  <c r="I1229" i="4" s="1" a="1"/>
  <c r="I1229" i="4" s="1"/>
  <c r="H1229" i="4" s="1"/>
  <c r="G1230" i="4" a="1"/>
  <c r="G1230" i="4" s="1"/>
  <c r="I1230" i="4" s="1" a="1"/>
  <c r="I1230" i="4" s="1"/>
  <c r="H1230" i="4" s="1"/>
  <c r="G1231" i="4" a="1"/>
  <c r="G1231" i="4"/>
  <c r="I1231" i="4" a="1"/>
  <c r="I1231" i="4" s="1"/>
  <c r="H1231" i="4" s="1"/>
  <c r="G1232" i="4" a="1"/>
  <c r="G1232" i="4"/>
  <c r="I1232" i="4" s="1" a="1"/>
  <c r="I1232" i="4" s="1"/>
  <c r="H1232" i="4" s="1"/>
  <c r="G1233" i="4" a="1"/>
  <c r="G1233" i="4"/>
  <c r="I1233" i="4" a="1"/>
  <c r="I1233" i="4" s="1"/>
  <c r="H1233" i="4" s="1"/>
  <c r="G1234" i="4" a="1"/>
  <c r="G1234" i="4"/>
  <c r="I1234" i="4" a="1"/>
  <c r="I1234" i="4" s="1"/>
  <c r="H1234" i="4" s="1"/>
  <c r="G1235" i="4" a="1"/>
  <c r="G1235" i="4" s="1"/>
  <c r="I1235" i="4" a="1"/>
  <c r="I1235" i="4" s="1"/>
  <c r="G1236" i="4" a="1"/>
  <c r="G1236" i="4"/>
  <c r="I1236" i="4" a="1"/>
  <c r="I1236" i="4" s="1"/>
  <c r="H1236" i="4" s="1"/>
  <c r="G1237" i="4" a="1"/>
  <c r="G1237" i="4" s="1"/>
  <c r="I1237" i="4" s="1" a="1"/>
  <c r="I1237" i="4" s="1"/>
  <c r="H1237" i="4" s="1"/>
  <c r="G1238" i="4" a="1"/>
  <c r="G1238" i="4" s="1"/>
  <c r="I1238" i="4" a="1"/>
  <c r="I1238" i="4" s="1"/>
  <c r="G1239" i="4" a="1"/>
  <c r="G1239" i="4"/>
  <c r="I1239" i="4" a="1"/>
  <c r="I1239" i="4" s="1"/>
  <c r="H1239" i="4" s="1"/>
  <c r="G1240" i="4" a="1"/>
  <c r="G1240" i="4"/>
  <c r="I1240" i="4" s="1" a="1"/>
  <c r="I1240" i="4" s="1"/>
  <c r="H1240" i="4" s="1"/>
  <c r="G1241" i="4" a="1"/>
  <c r="G1241" i="4"/>
  <c r="I1241" i="4" s="1" a="1"/>
  <c r="I1241" i="4" s="1"/>
  <c r="H1241" i="4" s="1"/>
  <c r="G1242" i="4" a="1"/>
  <c r="G1242" i="4"/>
  <c r="I1242" i="4" a="1"/>
  <c r="I1242" i="4" s="1"/>
  <c r="H1242" i="4" s="1"/>
  <c r="G1243" i="4" a="1"/>
  <c r="G1243" i="4" s="1"/>
  <c r="I1243" i="4" s="1" a="1"/>
  <c r="I1243" i="4" s="1"/>
  <c r="H1243" i="4" s="1"/>
  <c r="G1244" i="4" a="1"/>
  <c r="G1244" i="4"/>
  <c r="I1244" i="4" a="1"/>
  <c r="I1244" i="4" s="1"/>
  <c r="H1244" i="4" s="1"/>
  <c r="G1245" i="4" a="1"/>
  <c r="G1245" i="4" s="1"/>
  <c r="I1245" i="4" s="1" a="1"/>
  <c r="I1245" i="4" s="1"/>
  <c r="H1245" i="4" s="1"/>
  <c r="G1246" i="4" a="1"/>
  <c r="G1246" i="4" s="1"/>
  <c r="I1246" i="4" a="1"/>
  <c r="I1246" i="4" s="1"/>
  <c r="H1246" i="4" s="1"/>
  <c r="G1247" i="4" a="1"/>
  <c r="G1247" i="4"/>
  <c r="I1247" i="4" a="1"/>
  <c r="I1247" i="4" s="1"/>
  <c r="H1247" i="4" s="1"/>
  <c r="G1248" i="4" a="1"/>
  <c r="G1248" i="4"/>
  <c r="I1248" i="4" s="1" a="1"/>
  <c r="I1248" i="4" s="1"/>
  <c r="H1248" i="4" s="1"/>
  <c r="G1249" i="4" a="1"/>
  <c r="G1249" i="4"/>
  <c r="I1249" i="4" a="1"/>
  <c r="I1249" i="4" s="1"/>
  <c r="H1249" i="4" s="1"/>
  <c r="G1250" i="4" a="1"/>
  <c r="G1250" i="4"/>
  <c r="I1250" i="4" a="1"/>
  <c r="I1250" i="4" s="1"/>
  <c r="H1250" i="4" s="1"/>
  <c r="G1251" i="4" a="1"/>
  <c r="G1251" i="4" s="1"/>
  <c r="I1251" i="4" a="1"/>
  <c r="I1251" i="4" s="1"/>
  <c r="G1252" i="4" a="1"/>
  <c r="G1252" i="4"/>
  <c r="I1252" i="4" a="1"/>
  <c r="I1252" i="4" s="1"/>
  <c r="H1252" i="4" s="1"/>
  <c r="G1253" i="4" a="1"/>
  <c r="G1253" i="4" s="1"/>
  <c r="I1253" i="4" s="1" a="1"/>
  <c r="I1253" i="4" s="1"/>
  <c r="H1253" i="4" s="1"/>
  <c r="G1254" i="4" a="1"/>
  <c r="G1254" i="4" s="1"/>
  <c r="I1254" i="4" a="1"/>
  <c r="I1254" i="4" s="1"/>
  <c r="G1255" i="4" a="1"/>
  <c r="G1255" i="4"/>
  <c r="I1255" i="4" a="1"/>
  <c r="I1255" i="4" s="1"/>
  <c r="H1255" i="4" s="1"/>
  <c r="G1256" i="4" a="1"/>
  <c r="G1256" i="4"/>
  <c r="I1256" i="4" s="1" a="1"/>
  <c r="I1256" i="4" s="1"/>
  <c r="H1256" i="4" s="1"/>
  <c r="G1257" i="4" a="1"/>
  <c r="G1257" i="4"/>
  <c r="I1257" i="4" a="1"/>
  <c r="I1257" i="4" s="1"/>
  <c r="H1257" i="4" s="1"/>
  <c r="G1258" i="4" a="1"/>
  <c r="G1258" i="4"/>
  <c r="I1258" i="4" a="1"/>
  <c r="I1258" i="4" s="1"/>
  <c r="H1258" i="4" s="1"/>
  <c r="G1259" i="4" a="1"/>
  <c r="G1259" i="4" s="1"/>
  <c r="I1259" i="4" a="1"/>
  <c r="I1259" i="4" s="1"/>
  <c r="G1260" i="4" a="1"/>
  <c r="G1260" i="4"/>
  <c r="I1260" i="4" a="1"/>
  <c r="I1260" i="4" s="1"/>
  <c r="H1260" i="4" s="1"/>
  <c r="G1261" i="4" a="1"/>
  <c r="G1261" i="4" s="1"/>
  <c r="I1261" i="4" a="1"/>
  <c r="I1261" i="4" s="1"/>
  <c r="H1261" i="4" s="1"/>
  <c r="G1262" i="4" a="1"/>
  <c r="G1262" i="4" s="1"/>
  <c r="I1262" i="4" a="1"/>
  <c r="I1262" i="4" s="1"/>
  <c r="G1263" i="4" a="1"/>
  <c r="G1263" i="4"/>
  <c r="I1263" i="4" a="1"/>
  <c r="I1263" i="4" s="1"/>
  <c r="H1263" i="4" s="1"/>
  <c r="G1264" i="4" a="1"/>
  <c r="G1264" i="4"/>
  <c r="I1264" i="4" s="1" a="1"/>
  <c r="I1264" i="4" s="1"/>
  <c r="H1264" i="4" s="1"/>
  <c r="G1265" i="4" a="1"/>
  <c r="G1265" i="4"/>
  <c r="I1265" i="4" a="1"/>
  <c r="I1265" i="4" s="1"/>
  <c r="H1265" i="4" s="1"/>
  <c r="G1266" i="4" a="1"/>
  <c r="G1266" i="4"/>
  <c r="I1266" i="4" a="1"/>
  <c r="I1266" i="4" s="1"/>
  <c r="H1266" i="4" s="1"/>
  <c r="G1267" i="4" a="1"/>
  <c r="G1267" i="4" s="1"/>
  <c r="I1267" i="4" s="1" a="1"/>
  <c r="I1267" i="4" s="1"/>
  <c r="H1267" i="4" s="1"/>
  <c r="G1268" i="4" a="1"/>
  <c r="G1268" i="4"/>
  <c r="I1268" i="4" a="1"/>
  <c r="I1268" i="4" s="1"/>
  <c r="H1268" i="4" s="1"/>
  <c r="G1269" i="4" a="1"/>
  <c r="G1269" i="4" s="1"/>
  <c r="I1269" i="4" s="1" a="1"/>
  <c r="I1269" i="4" s="1"/>
  <c r="H1269" i="4" s="1"/>
  <c r="G1270" i="4" a="1"/>
  <c r="G1270" i="4" s="1"/>
  <c r="I1270" i="4" s="1" a="1"/>
  <c r="I1270" i="4" s="1"/>
  <c r="H1270" i="4" s="1"/>
  <c r="G1271" i="4" a="1"/>
  <c r="G1271" i="4"/>
  <c r="I1271" i="4" a="1"/>
  <c r="I1271" i="4" s="1"/>
  <c r="H1271" i="4" s="1"/>
  <c r="G1272" i="4" a="1"/>
  <c r="G1272" i="4"/>
  <c r="I1272" i="4" a="1"/>
  <c r="I1272" i="4" s="1"/>
  <c r="H1272" i="4" s="1"/>
  <c r="G1273" i="4" a="1"/>
  <c r="G1273" i="4"/>
  <c r="I1273" i="4" a="1"/>
  <c r="I1273" i="4" s="1"/>
  <c r="H1273" i="4" s="1"/>
  <c r="G1274" i="4" a="1"/>
  <c r="G1274" i="4"/>
  <c r="I1274" i="4" a="1"/>
  <c r="I1274" i="4" s="1"/>
  <c r="H1274" i="4" s="1"/>
  <c r="G1275" i="4" a="1"/>
  <c r="G1275" i="4" s="1"/>
  <c r="I1275" i="4" a="1"/>
  <c r="I1275" i="4" s="1"/>
  <c r="G1276" i="4" a="1"/>
  <c r="G1276" i="4"/>
  <c r="I1276" i="4" a="1"/>
  <c r="I1276" i="4" s="1"/>
  <c r="H1276" i="4" s="1"/>
  <c r="G1277" i="4" a="1"/>
  <c r="G1277" i="4" s="1"/>
  <c r="I1277" i="4" a="1"/>
  <c r="I1277" i="4" s="1"/>
  <c r="H1277" i="4" s="1"/>
  <c r="G1278" i="4" a="1"/>
  <c r="G1278" i="4" s="1"/>
  <c r="I1278" i="4" s="1" a="1"/>
  <c r="I1278" i="4" s="1"/>
  <c r="H1278" i="4" s="1"/>
  <c r="G1279" i="4" a="1"/>
  <c r="G1279" i="4"/>
  <c r="I1279" i="4" a="1"/>
  <c r="I1279" i="4" s="1"/>
  <c r="H1279" i="4" s="1"/>
  <c r="G1280" i="4" a="1"/>
  <c r="G1280" i="4"/>
  <c r="I1280" i="4" a="1"/>
  <c r="I1280" i="4" s="1"/>
  <c r="H1280" i="4" s="1"/>
  <c r="G1281" i="4" a="1"/>
  <c r="G1281" i="4"/>
  <c r="I1281" i="4" a="1"/>
  <c r="I1281" i="4" s="1"/>
  <c r="H1281" i="4" s="1"/>
  <c r="G1282" i="4" a="1"/>
  <c r="G1282" i="4"/>
  <c r="I1282" i="4" a="1"/>
  <c r="I1282" i="4" s="1"/>
  <c r="H1282" i="4" s="1"/>
  <c r="G1283" i="4" a="1"/>
  <c r="G1283" i="4" s="1"/>
  <c r="I1283" i="4" a="1"/>
  <c r="I1283" i="4" s="1"/>
  <c r="G1284" i="4" a="1"/>
  <c r="G1284" i="4"/>
  <c r="I1284" i="4" a="1"/>
  <c r="I1284" i="4" s="1"/>
  <c r="H1284" i="4" s="1"/>
  <c r="G1285" i="4" a="1"/>
  <c r="G1285" i="4" s="1"/>
  <c r="I1285" i="4" a="1"/>
  <c r="I1285" i="4" s="1"/>
  <c r="H1285" i="4" s="1"/>
  <c r="G1286" i="4" a="1"/>
  <c r="G1286" i="4" s="1"/>
  <c r="I1286" i="4" a="1"/>
  <c r="I1286" i="4" s="1"/>
  <c r="H1286" i="4" s="1"/>
  <c r="G1287" i="4" a="1"/>
  <c r="G1287" i="4"/>
  <c r="I1287" i="4" a="1"/>
  <c r="I1287" i="4" s="1"/>
  <c r="H1287" i="4" s="1"/>
  <c r="G1288" i="4" a="1"/>
  <c r="G1288" i="4"/>
  <c r="I1288" i="4" a="1"/>
  <c r="I1288" i="4" s="1"/>
  <c r="H1288" i="4" s="1"/>
  <c r="G1289" i="4" a="1"/>
  <c r="G1289" i="4"/>
  <c r="I1289" i="4" a="1"/>
  <c r="I1289" i="4" s="1"/>
  <c r="H1289" i="4" s="1"/>
  <c r="G1290" i="4" a="1"/>
  <c r="G1290" i="4"/>
  <c r="I1290" i="4" a="1"/>
  <c r="I1290" i="4" s="1"/>
  <c r="H1290" i="4" s="1"/>
  <c r="G1291" i="4" a="1"/>
  <c r="G1291" i="4" s="1"/>
  <c r="I1291" i="4" a="1"/>
  <c r="I1291" i="4" s="1"/>
  <c r="H1291" i="4" s="1"/>
  <c r="G1292" i="4" a="1"/>
  <c r="G1292" i="4"/>
  <c r="I1292" i="4" a="1"/>
  <c r="I1292" i="4" s="1"/>
  <c r="H1292" i="4" s="1"/>
  <c r="G1293" i="4" a="1"/>
  <c r="G1293" i="4" s="1"/>
  <c r="I1293" i="4" a="1"/>
  <c r="I1293" i="4" s="1"/>
  <c r="G1294" i="4" a="1"/>
  <c r="G1294" i="4" s="1"/>
  <c r="I1294" i="4" a="1"/>
  <c r="I1294" i="4" s="1"/>
  <c r="G1295" i="4" a="1"/>
  <c r="G1295" i="4"/>
  <c r="I1295" i="4" a="1"/>
  <c r="I1295" i="4" s="1"/>
  <c r="H1295" i="4" s="1"/>
  <c r="G1296" i="4" a="1"/>
  <c r="G1296" i="4"/>
  <c r="I1296" i="4" a="1"/>
  <c r="I1296" i="4" s="1"/>
  <c r="H1296" i="4" s="1"/>
  <c r="G1297" i="4" a="1"/>
  <c r="G1297" i="4"/>
  <c r="I1297" i="4" a="1"/>
  <c r="I1297" i="4" s="1"/>
  <c r="H1297" i="4" s="1"/>
  <c r="G1298" i="4" a="1"/>
  <c r="G1298" i="4"/>
  <c r="I1298" i="4" a="1"/>
  <c r="I1298" i="4" s="1"/>
  <c r="H1298" i="4" s="1"/>
  <c r="G1299" i="4" a="1"/>
  <c r="G1299" i="4" s="1"/>
  <c r="I1299" i="4" a="1"/>
  <c r="I1299" i="4" s="1"/>
  <c r="G1300" i="4" a="1"/>
  <c r="G1300" i="4"/>
  <c r="I1300" i="4" a="1"/>
  <c r="I1300" i="4" s="1"/>
  <c r="H1300" i="4" s="1"/>
  <c r="G1301" i="4" a="1"/>
  <c r="G1301" i="4" s="1"/>
  <c r="I1301" i="4" s="1" a="1"/>
  <c r="I1301" i="4" s="1"/>
  <c r="H1301" i="4" s="1"/>
  <c r="G1302" i="4" a="1"/>
  <c r="G1302" i="4" s="1"/>
  <c r="I1302" i="4" a="1"/>
  <c r="I1302" i="4" s="1"/>
  <c r="G1303" i="4" a="1"/>
  <c r="G1303" i="4"/>
  <c r="I1303" i="4" a="1"/>
  <c r="I1303" i="4" s="1"/>
  <c r="H1303" i="4" s="1"/>
  <c r="G1304" i="4" a="1"/>
  <c r="G1304" i="4"/>
  <c r="I1304" i="4" a="1"/>
  <c r="I1304" i="4" s="1"/>
  <c r="H1304" i="4" s="1"/>
  <c r="G1305" i="4" a="1"/>
  <c r="G1305" i="4"/>
  <c r="I1305" i="4" s="1" a="1"/>
  <c r="I1305" i="4" s="1"/>
  <c r="H1305" i="4" s="1"/>
  <c r="G1306" i="4" a="1"/>
  <c r="G1306" i="4"/>
  <c r="I1306" i="4" a="1"/>
  <c r="I1306" i="4" s="1"/>
  <c r="H1306" i="4" s="1"/>
  <c r="G1307" i="4" a="1"/>
  <c r="G1307" i="4" s="1"/>
  <c r="I1307" i="4" a="1"/>
  <c r="I1307" i="4" s="1"/>
  <c r="H1307" i="4" s="1"/>
  <c r="G1308" i="4" a="1"/>
  <c r="G1308" i="4"/>
  <c r="I1308" i="4" a="1"/>
  <c r="I1308" i="4" s="1"/>
  <c r="H1308" i="4" s="1"/>
  <c r="G1309" i="4" a="1"/>
  <c r="G1309" i="4" s="1"/>
  <c r="I1309" i="4" a="1"/>
  <c r="I1309" i="4" s="1"/>
  <c r="H1309" i="4" s="1"/>
  <c r="G1310" i="4" a="1"/>
  <c r="G1310" i="4" s="1"/>
  <c r="I1310" i="4" a="1"/>
  <c r="I1310" i="4" s="1"/>
  <c r="G1311" i="4" a="1"/>
  <c r="G1311" i="4"/>
  <c r="I1311" i="4" a="1"/>
  <c r="I1311" i="4" s="1"/>
  <c r="H1311" i="4" s="1"/>
  <c r="G1312" i="4" a="1"/>
  <c r="G1312" i="4"/>
  <c r="I1312" i="4" a="1"/>
  <c r="I1312" i="4" s="1"/>
  <c r="H1312" i="4" s="1"/>
  <c r="G1313" i="4" a="1"/>
  <c r="G1313" i="4"/>
  <c r="I1313" i="4" a="1"/>
  <c r="I1313" i="4" s="1"/>
  <c r="G1314" i="4" a="1"/>
  <c r="G1314" i="4"/>
  <c r="I1314" i="4" a="1"/>
  <c r="I1314" i="4" s="1"/>
  <c r="H1314" i="4" s="1"/>
  <c r="G1315" i="4" a="1"/>
  <c r="G1315" i="4" s="1"/>
  <c r="I1315" i="4" a="1"/>
  <c r="I1315" i="4" s="1"/>
  <c r="G1316" i="4" a="1"/>
  <c r="G1316" i="4"/>
  <c r="I1316" i="4" a="1"/>
  <c r="I1316" i="4" s="1"/>
  <c r="H1316" i="4" s="1"/>
  <c r="G1317" i="4" a="1"/>
  <c r="G1317" i="4" s="1"/>
  <c r="I1317" i="4" a="1"/>
  <c r="I1317" i="4" s="1"/>
  <c r="G1318" i="4" a="1"/>
  <c r="G1318" i="4" s="1"/>
  <c r="I1318" i="4" a="1"/>
  <c r="I1318" i="4" s="1"/>
  <c r="H1318" i="4" s="1"/>
  <c r="G1319" i="4" a="1"/>
  <c r="G1319" i="4"/>
  <c r="I1319" i="4" a="1"/>
  <c r="I1319" i="4" s="1"/>
  <c r="H1319" i="4" s="1"/>
  <c r="G1320" i="4" a="1"/>
  <c r="G1320" i="4"/>
  <c r="I1320" i="4" s="1" a="1"/>
  <c r="I1320" i="4" s="1"/>
  <c r="H1320" i="4" s="1"/>
  <c r="G1321" i="4" a="1"/>
  <c r="G1321" i="4"/>
  <c r="I1321" i="4" a="1"/>
  <c r="I1321" i="4" s="1"/>
  <c r="H1321" i="4" s="1"/>
  <c r="G1322" i="4" a="1"/>
  <c r="G1322" i="4"/>
  <c r="I1322" i="4" a="1"/>
  <c r="I1322" i="4" s="1"/>
  <c r="H1322" i="4" s="1"/>
  <c r="G1323" i="4" a="1"/>
  <c r="G1323" i="4" s="1"/>
  <c r="I1323" i="4" a="1"/>
  <c r="I1323" i="4" s="1"/>
  <c r="H1323" i="4" s="1"/>
  <c r="G1324" i="4" a="1"/>
  <c r="G1324" i="4"/>
  <c r="I1324" i="4" a="1"/>
  <c r="I1324" i="4" s="1"/>
  <c r="H1324" i="4" s="1"/>
  <c r="G1325" i="4" a="1"/>
  <c r="G1325" i="4" s="1"/>
  <c r="I1325" i="4" s="1" a="1"/>
  <c r="I1325" i="4" s="1"/>
  <c r="H1325" i="4" s="1"/>
  <c r="G1326" i="4" a="1"/>
  <c r="G1326" i="4" s="1"/>
  <c r="I1326" i="4" a="1"/>
  <c r="I1326" i="4" s="1"/>
  <c r="H1326" i="4" s="1"/>
  <c r="G1327" i="4" a="1"/>
  <c r="G1327" i="4"/>
  <c r="I1327" i="4" a="1"/>
  <c r="I1327" i="4" s="1"/>
  <c r="H1327" i="4" s="1"/>
  <c r="G1328" i="4" a="1"/>
  <c r="G1328" i="4"/>
  <c r="I1328" i="4" s="1" a="1"/>
  <c r="I1328" i="4" s="1"/>
  <c r="H1328" i="4" s="1"/>
  <c r="G1329" i="4" a="1"/>
  <c r="G1329" i="4"/>
  <c r="I1329" i="4" s="1" a="1"/>
  <c r="I1329" i="4" s="1"/>
  <c r="H1329" i="4" s="1"/>
  <c r="G1330" i="4" a="1"/>
  <c r="G1330" i="4"/>
  <c r="I1330" i="4" a="1"/>
  <c r="I1330" i="4" s="1"/>
  <c r="H1330" i="4" s="1"/>
  <c r="G1331" i="4" a="1"/>
  <c r="G1331" i="4"/>
  <c r="I1331" i="4" a="1"/>
  <c r="I1331" i="4" s="1"/>
  <c r="G1332" i="4" a="1"/>
  <c r="G1332" i="4"/>
  <c r="I1332" i="4" a="1"/>
  <c r="I1332" i="4" s="1"/>
  <c r="H1332" i="4" s="1"/>
  <c r="G1333" i="4" a="1"/>
  <c r="G1333" i="4" s="1"/>
  <c r="I1333" i="4" a="1"/>
  <c r="I1333" i="4" s="1"/>
  <c r="H1333" i="4" s="1"/>
  <c r="G1334" i="4" a="1"/>
  <c r="G1334" i="4" s="1"/>
  <c r="I1334" i="4" a="1"/>
  <c r="I1334" i="4" s="1"/>
  <c r="G1335" i="4" a="1"/>
  <c r="G1335" i="4"/>
  <c r="I1335" i="4" a="1"/>
  <c r="I1335" i="4" s="1"/>
  <c r="H1335" i="4" s="1"/>
  <c r="G1336" i="4" a="1"/>
  <c r="G1336" i="4" s="1"/>
  <c r="I1336" i="4" s="1" a="1"/>
  <c r="I1336" i="4" s="1"/>
  <c r="H1336" i="4" s="1"/>
  <c r="G1337" i="4" a="1"/>
  <c r="G1337" i="4"/>
  <c r="I1337" i="4" s="1" a="1"/>
  <c r="I1337" i="4" s="1"/>
  <c r="H1337" i="4" s="1"/>
  <c r="G1338" i="4" a="1"/>
  <c r="G1338" i="4"/>
  <c r="I1338" i="4" a="1"/>
  <c r="I1338" i="4" s="1"/>
  <c r="H1338" i="4" s="1"/>
  <c r="G1339" i="4" a="1"/>
  <c r="G1339" i="4" s="1"/>
  <c r="I1339" i="4" s="1" a="1"/>
  <c r="I1339" i="4" s="1"/>
  <c r="H1339" i="4" s="1"/>
  <c r="G1340" i="4" a="1"/>
  <c r="G1340" i="4"/>
  <c r="I1340" i="4" s="1" a="1"/>
  <c r="I1340" i="4" s="1"/>
  <c r="H1340" i="4" s="1"/>
  <c r="G1341" i="4" a="1"/>
  <c r="G1341" i="4" s="1"/>
  <c r="I1341" i="4" s="1" a="1"/>
  <c r="I1341" i="4" s="1"/>
  <c r="H1341" i="4" s="1"/>
  <c r="G1342" i="4" a="1"/>
  <c r="G1342" i="4" s="1"/>
  <c r="I1342" i="4" s="1" a="1"/>
  <c r="I1342" i="4" s="1"/>
  <c r="H1342" i="4" s="1"/>
  <c r="G1343" i="4" a="1"/>
  <c r="G1343" i="4"/>
  <c r="I1343" i="4" s="1" a="1"/>
  <c r="I1343" i="4" s="1"/>
  <c r="H1343" i="4" s="1"/>
  <c r="G1344" i="4" a="1"/>
  <c r="G1344" i="4" s="1"/>
  <c r="I1344" i="4" s="1" a="1"/>
  <c r="I1344" i="4" s="1"/>
  <c r="H1344" i="4" s="1"/>
  <c r="G1345" i="4" a="1"/>
  <c r="G1345" i="4" s="1"/>
  <c r="I1345" i="4" s="1" a="1"/>
  <c r="I1345" i="4" s="1"/>
  <c r="H1345" i="4" s="1"/>
  <c r="G1346" i="4" a="1"/>
  <c r="G1346" i="4"/>
  <c r="I1346" i="4" a="1"/>
  <c r="I1346" i="4" s="1"/>
  <c r="H1346" i="4" s="1"/>
  <c r="G1347" i="4" a="1"/>
  <c r="G1347" i="4"/>
  <c r="I1347" i="4" s="1" a="1"/>
  <c r="I1347" i="4" s="1"/>
  <c r="H1347" i="4" s="1"/>
  <c r="G1348" i="4" a="1"/>
  <c r="G1348" i="4" s="1"/>
  <c r="I1348" i="4" s="1" a="1"/>
  <c r="I1348" i="4" s="1"/>
  <c r="H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/>
  <c r="I1351" i="4" a="1"/>
  <c r="I1351" i="4" s="1"/>
  <c r="H1351" i="4" s="1"/>
  <c r="G1352" i="4" a="1"/>
  <c r="G1352" i="4"/>
  <c r="I1352" i="4" s="1" a="1"/>
  <c r="I1352" i="4" s="1"/>
  <c r="H1352" i="4" s="1"/>
  <c r="G1353" i="4" a="1"/>
  <c r="G1353" i="4"/>
  <c r="I1353" i="4" s="1" a="1"/>
  <c r="I1353" i="4" s="1"/>
  <c r="H1353" i="4" s="1"/>
  <c r="G1354" i="4" a="1"/>
  <c r="G1354" i="4" s="1"/>
  <c r="I1354" i="4" a="1"/>
  <c r="I1354" i="4" s="1"/>
  <c r="G1355" i="4" a="1"/>
  <c r="G1355" i="4"/>
  <c r="I1355" i="4" a="1"/>
  <c r="I1355" i="4" s="1"/>
  <c r="H1355" i="4" s="1"/>
  <c r="G1356" i="4" a="1"/>
  <c r="G1356" i="4" s="1"/>
  <c r="I1356" i="4" a="1"/>
  <c r="I1356" i="4" s="1"/>
  <c r="G1357" i="4" a="1"/>
  <c r="G1357" i="4" s="1"/>
  <c r="I1357" i="4" a="1"/>
  <c r="I1357" i="4" s="1"/>
  <c r="H1357" i="4" s="1"/>
  <c r="G1358" i="4" a="1"/>
  <c r="G1358" i="4" s="1"/>
  <c r="I1358" i="4" a="1"/>
  <c r="I1358" i="4" s="1"/>
  <c r="G1359" i="4" a="1"/>
  <c r="G1359" i="4"/>
  <c r="I1359" i="4" a="1"/>
  <c r="I1359" i="4" s="1"/>
  <c r="H1359" i="4" s="1"/>
  <c r="G1360" i="4" a="1"/>
  <c r="G1360" i="4"/>
  <c r="I1360" i="4" a="1"/>
  <c r="I1360" i="4" s="1"/>
  <c r="G1361" i="4" a="1"/>
  <c r="G1361" i="4"/>
  <c r="I1361" i="4" a="1"/>
  <c r="I1361" i="4" s="1"/>
  <c r="H1361" i="4" s="1"/>
  <c r="G1362" i="4" a="1"/>
  <c r="G1362" i="4" s="1"/>
  <c r="I1362" i="4" a="1"/>
  <c r="I1362" i="4" s="1"/>
  <c r="G1363" i="4" a="1"/>
  <c r="G1363" i="4"/>
  <c r="I1363" i="4" a="1"/>
  <c r="I1363" i="4" s="1"/>
  <c r="H1363" i="4" s="1"/>
  <c r="G1364" i="4" a="1"/>
  <c r="G1364" i="4" s="1"/>
  <c r="I1364" i="4" s="1" a="1"/>
  <c r="I1364" i="4" s="1"/>
  <c r="H1364" i="4" s="1"/>
  <c r="G1365" i="4" a="1"/>
  <c r="G1365" i="4" s="1"/>
  <c r="I1365" i="4" a="1"/>
  <c r="I1365" i="4" s="1"/>
  <c r="H1365" i="4" s="1"/>
  <c r="G1366" i="4" a="1"/>
  <c r="G1366" i="4" s="1"/>
  <c r="I1366" i="4" s="1" a="1"/>
  <c r="I1366" i="4" s="1"/>
  <c r="H1366" i="4" s="1"/>
  <c r="G1367" i="4" a="1"/>
  <c r="G1367" i="4"/>
  <c r="I1367" i="4" a="1"/>
  <c r="I1367" i="4" s="1"/>
  <c r="H1367" i="4" s="1"/>
  <c r="G1368" i="4" a="1"/>
  <c r="G1368" i="4"/>
  <c r="I1368" i="4" s="1" a="1"/>
  <c r="I1368" i="4" s="1"/>
  <c r="H1368" i="4" s="1"/>
  <c r="G1369" i="4" a="1"/>
  <c r="G1369" i="4"/>
  <c r="I1369" i="4" a="1"/>
  <c r="I1369" i="4" s="1"/>
  <c r="H1369" i="4" s="1"/>
  <c r="G1370" i="4" a="1"/>
  <c r="G1370" i="4" s="1"/>
  <c r="I1370" i="4" s="1" a="1"/>
  <c r="I1370" i="4" s="1"/>
  <c r="H1370" i="4" s="1"/>
  <c r="G1371" i="4" a="1"/>
  <c r="G1371" i="4"/>
  <c r="I1371" i="4" a="1"/>
  <c r="I1371" i="4" s="1"/>
  <c r="H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/>
  <c r="I1375" i="4" a="1"/>
  <c r="I1375" i="4" s="1"/>
  <c r="H1375" i="4" s="1"/>
  <c r="G1376" i="4" a="1"/>
  <c r="G1376" i="4"/>
  <c r="I1376" i="4" s="1" a="1"/>
  <c r="I1376" i="4" s="1"/>
  <c r="H1376" i="4" s="1"/>
  <c r="G1377" i="4" a="1"/>
  <c r="G1377" i="4"/>
  <c r="I1377" i="4" s="1" a="1"/>
  <c r="I1377" i="4" s="1"/>
  <c r="H1377" i="4" s="1"/>
  <c r="G1378" i="4" a="1"/>
  <c r="G1378" i="4" s="1"/>
  <c r="I1378" i="4" a="1"/>
  <c r="I1378" i="4" s="1"/>
  <c r="H1378" i="4" s="1"/>
  <c r="G1379" i="4" a="1"/>
  <c r="G1379" i="4"/>
  <c r="I1379" i="4" a="1"/>
  <c r="I1379" i="4" s="1"/>
  <c r="H1379" i="4" s="1"/>
  <c r="G1380" i="4" a="1"/>
  <c r="G1380" i="4" s="1"/>
  <c r="I1380" i="4" s="1" a="1"/>
  <c r="I1380" i="4" s="1"/>
  <c r="H1380" i="4" s="1"/>
  <c r="G1381" i="4" a="1"/>
  <c r="G1381" i="4" s="1"/>
  <c r="I1381" i="4" s="1" a="1"/>
  <c r="I1381" i="4" s="1"/>
  <c r="H1381" i="4" s="1"/>
  <c r="G1382" i="4" a="1"/>
  <c r="G1382" i="4" s="1"/>
  <c r="I1382" i="4" a="1"/>
  <c r="I1382" i="4" s="1"/>
  <c r="G1383" i="4" a="1"/>
  <c r="G1383" i="4"/>
  <c r="I1383" i="4" a="1"/>
  <c r="I1383" i="4" s="1"/>
  <c r="H1383" i="4" s="1"/>
  <c r="G1384" i="4" a="1"/>
  <c r="G1384" i="4"/>
  <c r="I1384" i="4" s="1" a="1"/>
  <c r="I1384" i="4" s="1"/>
  <c r="H1384" i="4" s="1"/>
  <c r="G1385" i="4" a="1"/>
  <c r="G1385" i="4"/>
  <c r="I1385" i="4" s="1" a="1"/>
  <c r="I1385" i="4" s="1"/>
  <c r="H1385" i="4" s="1"/>
  <c r="G1386" i="4" a="1"/>
  <c r="G1386" i="4" s="1"/>
  <c r="I1386" i="4" s="1" a="1"/>
  <c r="I1386" i="4" s="1"/>
  <c r="H1386" i="4" s="1"/>
  <c r="G1387" i="4" a="1"/>
  <c r="G1387" i="4"/>
  <c r="I1387" i="4" a="1"/>
  <c r="I1387" i="4" s="1"/>
  <c r="H1387" i="4" s="1"/>
  <c r="G1388" i="4" a="1"/>
  <c r="G1388" i="4" s="1"/>
  <c r="I1388" i="4" s="1" a="1"/>
  <c r="I1388" i="4" s="1"/>
  <c r="H1388" i="4" s="1"/>
  <c r="G1389" i="4" a="1"/>
  <c r="G1389" i="4" s="1"/>
  <c r="I1389" i="4" a="1"/>
  <c r="I1389" i="4" s="1"/>
  <c r="G1390" i="4" a="1"/>
  <c r="G1390" i="4" s="1"/>
  <c r="I1390" i="4" s="1" a="1"/>
  <c r="I1390" i="4" s="1"/>
  <c r="H1390" i="4" s="1"/>
  <c r="G1391" i="4" a="1"/>
  <c r="G1391" i="4"/>
  <c r="I1391" i="4" a="1"/>
  <c r="I1391" i="4" s="1"/>
  <c r="H1391" i="4" s="1"/>
  <c r="G1392" i="4" a="1"/>
  <c r="G1392" i="4"/>
  <c r="I1392" i="4" a="1"/>
  <c r="I1392" i="4" s="1"/>
  <c r="G1393" i="4" a="1"/>
  <c r="G1393" i="4"/>
  <c r="I1393" i="4" s="1" a="1"/>
  <c r="I1393" i="4" s="1"/>
  <c r="H1393" i="4" s="1"/>
  <c r="G1394" i="4" a="1"/>
  <c r="G1394" i="4" s="1"/>
  <c r="I1394" i="4" a="1"/>
  <c r="I1394" i="4" s="1"/>
  <c r="G1395" i="4" a="1"/>
  <c r="G1395" i="4"/>
  <c r="I1395" i="4" a="1"/>
  <c r="I1395" i="4" s="1"/>
  <c r="H1395" i="4" s="1"/>
  <c r="G1396" i="4" a="1"/>
  <c r="G1396" i="4" s="1"/>
  <c r="I1396" i="4" a="1"/>
  <c r="I1396" i="4" s="1"/>
  <c r="G1397" i="4" a="1"/>
  <c r="G1397" i="4" s="1"/>
  <c r="I1397" i="4" s="1" a="1"/>
  <c r="I1397" i="4" s="1"/>
  <c r="H1397" i="4" s="1"/>
  <c r="G1398" i="4" a="1"/>
  <c r="G1398" i="4" s="1"/>
  <c r="I1398" i="4" a="1"/>
  <c r="I1398" i="4" s="1"/>
  <c r="H1398" i="4" s="1"/>
  <c r="G1399" i="4" a="1"/>
  <c r="G1399" i="4"/>
  <c r="I1399" i="4" a="1"/>
  <c r="I1399" i="4" s="1"/>
  <c r="H1399" i="4" s="1"/>
  <c r="G1400" i="4" a="1"/>
  <c r="G1400" i="4"/>
  <c r="I1400" i="4" s="1" a="1"/>
  <c r="I1400" i="4" s="1"/>
  <c r="H1400" i="4" s="1"/>
  <c r="G1401" i="4" a="1"/>
  <c r="G1401" i="4"/>
  <c r="I1401" i="4" s="1" a="1"/>
  <c r="I1401" i="4" s="1"/>
  <c r="H1401" i="4" s="1"/>
  <c r="G1402" i="4" a="1"/>
  <c r="G1402" i="4" s="1"/>
  <c r="I1402" i="4" s="1" a="1"/>
  <c r="I1402" i="4" s="1"/>
  <c r="H1402" i="4" s="1"/>
  <c r="G1403" i="4" a="1"/>
  <c r="G1403" i="4"/>
  <c r="I1403" i="4" a="1"/>
  <c r="I1403" i="4" s="1"/>
  <c r="H1403" i="4" s="1"/>
  <c r="G1404" i="4" a="1"/>
  <c r="G1404" i="4" s="1"/>
  <c r="I1404" i="4" s="1" a="1"/>
  <c r="I1404" i="4" s="1"/>
  <c r="H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/>
  <c r="I1407" i="4" a="1"/>
  <c r="I1407" i="4" s="1"/>
  <c r="H1407" i="4" s="1"/>
  <c r="G1408" i="4" a="1"/>
  <c r="G1408" i="4"/>
  <c r="I1408" i="4" a="1"/>
  <c r="I1408" i="4" s="1"/>
  <c r="G1409" i="4" a="1"/>
  <c r="G1409" i="4"/>
  <c r="I1409" i="4" s="1" a="1"/>
  <c r="I1409" i="4" s="1"/>
  <c r="H1409" i="4" s="1"/>
  <c r="G1410" i="4" a="1"/>
  <c r="G1410" i="4" s="1"/>
  <c r="I1410" i="4" s="1" a="1"/>
  <c r="I1410" i="4" s="1"/>
  <c r="H1410" i="4" s="1"/>
  <c r="G1411" i="4" a="1"/>
  <c r="G1411" i="4"/>
  <c r="I1411" i="4" a="1"/>
  <c r="I1411" i="4" s="1"/>
  <c r="H1411" i="4" s="1"/>
  <c r="G1412" i="4" a="1"/>
  <c r="G1412" i="4" s="1"/>
  <c r="I1412" i="4" s="1" a="1"/>
  <c r="I1412" i="4" s="1"/>
  <c r="H1412" i="4" s="1"/>
  <c r="G1413" i="4" a="1"/>
  <c r="G1413" i="4" s="1"/>
  <c r="I1413" i="4" s="1" a="1"/>
  <c r="I1413" i="4" s="1"/>
  <c r="H1413" i="4" s="1"/>
  <c r="G1414" i="4" a="1"/>
  <c r="G1414" i="4" s="1"/>
  <c r="I1414" i="4" a="1"/>
  <c r="I1414" i="4" s="1"/>
  <c r="G1415" i="4" a="1"/>
  <c r="G1415" i="4"/>
  <c r="I1415" i="4" a="1"/>
  <c r="I1415" i="4" s="1"/>
  <c r="H1415" i="4" s="1"/>
  <c r="G1416" i="4" a="1"/>
  <c r="G1416" i="4"/>
  <c r="I1416" i="4" s="1" a="1"/>
  <c r="I1416" i="4" s="1"/>
  <c r="H1416" i="4" s="1"/>
  <c r="G1417" i="4" a="1"/>
  <c r="G1417" i="4"/>
  <c r="I1417" i="4" a="1"/>
  <c r="I1417" i="4" s="1"/>
  <c r="H1417" i="4" s="1"/>
  <c r="G1418" i="4" a="1"/>
  <c r="G1418" i="4" s="1"/>
  <c r="I1418" i="4" s="1" a="1"/>
  <c r="I1418" i="4" s="1"/>
  <c r="H1418" i="4" s="1"/>
  <c r="G1419" i="4" a="1"/>
  <c r="G1419" i="4"/>
  <c r="I1419" i="4" a="1"/>
  <c r="I1419" i="4" s="1"/>
  <c r="H1419" i="4" s="1"/>
  <c r="G1420" i="4" a="1"/>
  <c r="G1420" i="4" s="1"/>
  <c r="I1420" i="4" s="1" a="1"/>
  <c r="I1420" i="4" s="1"/>
  <c r="H1420" i="4" s="1"/>
  <c r="G1421" i="4" a="1"/>
  <c r="G1421" i="4" s="1"/>
  <c r="I1421" i="4" a="1"/>
  <c r="I1421" i="4" s="1"/>
  <c r="G1422" i="4" a="1"/>
  <c r="G1422" i="4" s="1"/>
  <c r="I1422" i="4" s="1" a="1"/>
  <c r="I1422" i="4" s="1"/>
  <c r="H1422" i="4" s="1"/>
  <c r="G1423" i="4" a="1"/>
  <c r="G1423" i="4"/>
  <c r="I1423" i="4" a="1"/>
  <c r="I1423" i="4" s="1"/>
  <c r="H1423" i="4" s="1"/>
  <c r="G1424" i="4" a="1"/>
  <c r="G1424" i="4"/>
  <c r="I1424" i="4" s="1" a="1"/>
  <c r="I1424" i="4" s="1"/>
  <c r="H1424" i="4" s="1"/>
  <c r="G1425" i="4" a="1"/>
  <c r="G1425" i="4"/>
  <c r="I1425" i="4" a="1"/>
  <c r="I1425" i="4" s="1"/>
  <c r="H1425" i="4" s="1"/>
  <c r="G1426" i="4" a="1"/>
  <c r="G1426" i="4" s="1"/>
  <c r="I1426" i="4" s="1" a="1"/>
  <c r="I1426" i="4" s="1"/>
  <c r="H1426" i="4" s="1"/>
  <c r="G1427" i="4" a="1"/>
  <c r="G1427" i="4"/>
  <c r="I1427" i="4" a="1"/>
  <c r="I1427" i="4" s="1"/>
  <c r="H1427" i="4" s="1"/>
  <c r="G1428" i="4" a="1"/>
  <c r="G1428" i="4" s="1"/>
  <c r="I1428" i="4" s="1" a="1"/>
  <c r="I1428" i="4" s="1"/>
  <c r="H1428" i="4" s="1"/>
  <c r="G1429" i="4" a="1"/>
  <c r="G1429" i="4" s="1"/>
  <c r="I1429" i="4" a="1"/>
  <c r="I1429" i="4" s="1"/>
  <c r="H1429" i="4" s="1"/>
  <c r="G1430" i="4" a="1"/>
  <c r="G1430" i="4" s="1"/>
  <c r="I1430" i="4" s="1" a="1"/>
  <c r="I1430" i="4" s="1"/>
  <c r="H1430" i="4" s="1"/>
  <c r="G1431" i="4" a="1"/>
  <c r="G1431" i="4"/>
  <c r="I1431" i="4" a="1"/>
  <c r="I1431" i="4" s="1"/>
  <c r="H1431" i="4" s="1"/>
  <c r="G1432" i="4" a="1"/>
  <c r="G1432" i="4"/>
  <c r="I1432" i="4" s="1" a="1"/>
  <c r="I1432" i="4" s="1"/>
  <c r="H1432" i="4" s="1"/>
  <c r="G1433" i="4" a="1"/>
  <c r="G1433" i="4"/>
  <c r="I1433" i="4" a="1"/>
  <c r="I1433" i="4" s="1"/>
  <c r="H1433" i="4" s="1"/>
  <c r="G1434" i="4" a="1"/>
  <c r="G1434" i="4" s="1"/>
  <c r="I1434" i="4" s="1" a="1"/>
  <c r="I1434" i="4" s="1"/>
  <c r="H1434" i="4" s="1"/>
  <c r="G1435" i="4" a="1"/>
  <c r="G1435" i="4"/>
  <c r="I1435" i="4" a="1"/>
  <c r="I1435" i="4" s="1"/>
  <c r="H1435" i="4" s="1"/>
  <c r="G1436" i="4" a="1"/>
  <c r="G1436" i="4" s="1"/>
  <c r="I1436" i="4" s="1" a="1"/>
  <c r="I1436" i="4" s="1"/>
  <c r="H1436" i="4" s="1"/>
  <c r="G1437" i="4" a="1"/>
  <c r="G1437" i="4" s="1"/>
  <c r="I1437" i="4" a="1"/>
  <c r="I1437" i="4" s="1"/>
  <c r="G1438" i="4" a="1"/>
  <c r="G1438" i="4" s="1"/>
  <c r="I1438" i="4" s="1" a="1"/>
  <c r="I1438" i="4" s="1"/>
  <c r="H1438" i="4" s="1"/>
  <c r="G1439" i="4" a="1"/>
  <c r="G1439" i="4"/>
  <c r="I1439" i="4" a="1"/>
  <c r="I1439" i="4" s="1"/>
  <c r="H1439" i="4" s="1"/>
  <c r="G1440" i="4" a="1"/>
  <c r="G1440" i="4"/>
  <c r="I1440" i="4" a="1"/>
  <c r="I1440" i="4" s="1"/>
  <c r="G1441" i="4" a="1"/>
  <c r="G1441" i="4"/>
  <c r="I1441" i="4" a="1"/>
  <c r="I1441" i="4" s="1"/>
  <c r="H1441" i="4" s="1"/>
  <c r="G1442" i="4" a="1"/>
  <c r="G1442" i="4" s="1"/>
  <c r="I1442" i="4" a="1"/>
  <c r="I1442" i="4" s="1"/>
  <c r="H1442" i="4" s="1"/>
  <c r="G1443" i="4" a="1"/>
  <c r="G1443" i="4"/>
  <c r="I1443" i="4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s="1" a="1"/>
  <c r="I1446" i="4" s="1"/>
  <c r="H1446" i="4" s="1"/>
  <c r="G1447" i="4" a="1"/>
  <c r="G1447" i="4"/>
  <c r="I1447" i="4" a="1"/>
  <c r="I1447" i="4" s="1"/>
  <c r="H1447" i="4" s="1"/>
  <c r="G1448" i="4" a="1"/>
  <c r="G1448" i="4"/>
  <c r="I1448" i="4" s="1" a="1"/>
  <c r="I1448" i="4" s="1"/>
  <c r="H1448" i="4" s="1"/>
  <c r="G1449" i="4" a="1"/>
  <c r="G1449" i="4"/>
  <c r="I1449" i="4" a="1"/>
  <c r="I1449" i="4" s="1"/>
  <c r="H1449" i="4" s="1"/>
  <c r="G1450" i="4" a="1"/>
  <c r="G1450" i="4" s="1"/>
  <c r="I1450" i="4" s="1" a="1"/>
  <c r="I1450" i="4" s="1"/>
  <c r="H1450" i="4" s="1"/>
  <c r="G1451" i="4" a="1"/>
  <c r="G1451" i="4"/>
  <c r="I1451" i="4" a="1"/>
  <c r="I1451" i="4" s="1"/>
  <c r="H1451" i="4" s="1"/>
  <c r="G1452" i="4" a="1"/>
  <c r="G1452" i="4" s="1"/>
  <c r="I1452" i="4" s="1" a="1"/>
  <c r="I1452" i="4" s="1"/>
  <c r="H1452" i="4" s="1"/>
  <c r="G1453" i="4" a="1"/>
  <c r="G1453" i="4" s="1"/>
  <c r="I1453" i="4" s="1" a="1"/>
  <c r="I1453" i="4" s="1"/>
  <c r="H1453" i="4" s="1"/>
  <c r="G1454" i="4" a="1"/>
  <c r="G1454" i="4" s="1"/>
  <c r="I1454" i="4" a="1"/>
  <c r="I1454" i="4" s="1"/>
  <c r="G1455" i="4" a="1"/>
  <c r="G1455" i="4"/>
  <c r="I1455" i="4" a="1"/>
  <c r="I1455" i="4" s="1"/>
  <c r="H1455" i="4" s="1"/>
  <c r="G1456" i="4" a="1"/>
  <c r="G1456" i="4"/>
  <c r="I1456" i="4" a="1"/>
  <c r="I1456" i="4" s="1"/>
  <c r="G1457" i="4" a="1"/>
  <c r="G1457" i="4"/>
  <c r="I1457" i="4" s="1" a="1"/>
  <c r="I1457" i="4" s="1"/>
  <c r="H1457" i="4" s="1"/>
  <c r="G1458" i="4" a="1"/>
  <c r="G1458" i="4" s="1"/>
  <c r="I1458" i="4" a="1"/>
  <c r="I1458" i="4" s="1"/>
  <c r="H1458" i="4" s="1"/>
  <c r="G1459" i="4" a="1"/>
  <c r="G1459" i="4"/>
  <c r="I1459" i="4" a="1"/>
  <c r="I1459" i="4" s="1"/>
  <c r="H1459" i="4" s="1"/>
  <c r="G1460" i="4" a="1"/>
  <c r="G1460" i="4" s="1"/>
  <c r="I1460" i="4" a="1"/>
  <c r="I1460" i="4" s="1"/>
  <c r="G1461" i="4" a="1"/>
  <c r="G1461" i="4" s="1"/>
  <c r="I1461" i="4" s="1" a="1"/>
  <c r="I1461" i="4" s="1"/>
  <c r="H1461" i="4" s="1"/>
  <c r="G1462" i="4" a="1"/>
  <c r="G1462" i="4" s="1"/>
  <c r="I1462" i="4" a="1"/>
  <c r="I1462" i="4" s="1"/>
  <c r="G1463" i="4" a="1"/>
  <c r="G1463" i="4"/>
  <c r="I1463" i="4" a="1"/>
  <c r="I1463" i="4" s="1"/>
  <c r="H1463" i="4" s="1"/>
  <c r="G1464" i="4" a="1"/>
  <c r="G1464" i="4"/>
  <c r="I1464" i="4" a="1"/>
  <c r="I1464" i="4" s="1"/>
  <c r="G1465" i="4" a="1"/>
  <c r="G1465" i="4"/>
  <c r="I1465" i="4" s="1" a="1"/>
  <c r="I1465" i="4" s="1"/>
  <c r="H1465" i="4" s="1"/>
  <c r="G1466" i="4" a="1"/>
  <c r="G1466" i="4" s="1"/>
  <c r="I1466" i="4" a="1"/>
  <c r="I1466" i="4" s="1"/>
  <c r="H1466" i="4" s="1"/>
  <c r="G1467" i="4" a="1"/>
  <c r="G1467" i="4"/>
  <c r="I1467" i="4" a="1"/>
  <c r="I1467" i="4" s="1"/>
  <c r="H1467" i="4" s="1"/>
  <c r="G1468" i="4" a="1"/>
  <c r="G1468" i="4" s="1"/>
  <c r="I1468" i="4" a="1"/>
  <c r="I1468" i="4" s="1"/>
  <c r="G1469" i="4" a="1"/>
  <c r="G1469" i="4" s="1"/>
  <c r="I1469" i="4" s="1" a="1"/>
  <c r="I1469" i="4" s="1"/>
  <c r="H1469" i="4" s="1"/>
  <c r="G1470" i="4" a="1"/>
  <c r="G1470" i="4" s="1"/>
  <c r="I1470" i="4" a="1"/>
  <c r="I1470" i="4" s="1"/>
  <c r="G1471" i="4" a="1"/>
  <c r="G1471" i="4"/>
  <c r="I1471" i="4" a="1"/>
  <c r="I1471" i="4" s="1"/>
  <c r="H1471" i="4" s="1"/>
  <c r="G1472" i="4" a="1"/>
  <c r="G1472" i="4"/>
  <c r="I1472" i="4" s="1" a="1"/>
  <c r="I1472" i="4" s="1"/>
  <c r="H1472" i="4" s="1"/>
  <c r="G1473" i="4" a="1"/>
  <c r="G1473" i="4"/>
  <c r="I1473" i="4" a="1"/>
  <c r="I1473" i="4" s="1"/>
  <c r="H1473" i="4" s="1"/>
  <c r="G1474" i="4" a="1"/>
  <c r="G1474" i="4" s="1"/>
  <c r="I1474" i="4" a="1"/>
  <c r="I1474" i="4" s="1"/>
  <c r="G1475" i="4" a="1"/>
  <c r="G1475" i="4"/>
  <c r="I1475" i="4" a="1"/>
  <c r="I1475" i="4" s="1"/>
  <c r="H1475" i="4" s="1"/>
  <c r="G1476" i="4" a="1"/>
  <c r="G1476" i="4" s="1"/>
  <c r="I1476" i="4" a="1"/>
  <c r="I1476" i="4" s="1"/>
  <c r="G1477" i="4" a="1"/>
  <c r="G1477" i="4" s="1"/>
  <c r="I1477" i="4" s="1" a="1"/>
  <c r="I1477" i="4" s="1"/>
  <c r="H1477" i="4" s="1"/>
  <c r="G1478" i="4" a="1"/>
  <c r="G1478" i="4" s="1"/>
  <c r="I1478" i="4" a="1"/>
  <c r="I1478" i="4" s="1"/>
  <c r="H1478" i="4" s="1"/>
  <c r="G1479" i="4" a="1"/>
  <c r="G1479" i="4"/>
  <c r="I1479" i="4" a="1"/>
  <c r="I1479" i="4" s="1"/>
  <c r="H1479" i="4" s="1"/>
  <c r="G1480" i="4" a="1"/>
  <c r="G1480" i="4"/>
  <c r="I1480" i="4" a="1"/>
  <c r="I1480" i="4" s="1"/>
  <c r="G1481" i="4" a="1"/>
  <c r="G1481" i="4"/>
  <c r="I1481" i="4" s="1" a="1"/>
  <c r="I1481" i="4" s="1"/>
  <c r="H1481" i="4" s="1"/>
  <c r="G1482" i="4" a="1"/>
  <c r="G1482" i="4" s="1"/>
  <c r="I1482" i="4" s="1" a="1"/>
  <c r="I1482" i="4" s="1"/>
  <c r="H1482" i="4" s="1"/>
  <c r="G1483" i="4" a="1"/>
  <c r="G1483" i="4"/>
  <c r="I1483" i="4" a="1"/>
  <c r="I1483" i="4" s="1"/>
  <c r="H1483" i="4" s="1"/>
  <c r="G1484" i="4" a="1"/>
  <c r="G1484" i="4" s="1"/>
  <c r="I1484" i="4" a="1"/>
  <c r="I1484" i="4" s="1"/>
  <c r="G1485" i="4" a="1"/>
  <c r="G1485" i="4" s="1"/>
  <c r="I1485" i="4" s="1" a="1"/>
  <c r="I1485" i="4" s="1"/>
  <c r="H1485" i="4" s="1"/>
  <c r="G1486" i="4" a="1"/>
  <c r="G1486" i="4" s="1"/>
  <c r="I1486" i="4" a="1"/>
  <c r="I1486" i="4" s="1"/>
  <c r="G1487" i="4" a="1"/>
  <c r="G1487" i="4"/>
  <c r="I1487" i="4" a="1"/>
  <c r="I1487" i="4" s="1"/>
  <c r="H1487" i="4" s="1"/>
  <c r="G1488" i="4" a="1"/>
  <c r="G1488" i="4"/>
  <c r="I1488" i="4" s="1" a="1"/>
  <c r="I1488" i="4" s="1"/>
  <c r="H1488" i="4" s="1"/>
  <c r="G1489" i="4" a="1"/>
  <c r="G1489" i="4"/>
  <c r="I1489" i="4" a="1"/>
  <c r="I1489" i="4" s="1"/>
  <c r="H1489" i="4" s="1"/>
  <c r="G1490" i="4" a="1"/>
  <c r="G1490" i="4" s="1"/>
  <c r="I1490" i="4" a="1"/>
  <c r="I1490" i="4" s="1"/>
  <c r="G1491" i="4" a="1"/>
  <c r="G1491" i="4"/>
  <c r="I1491" i="4" a="1"/>
  <c r="I1491" i="4" s="1"/>
  <c r="H1491" i="4" s="1"/>
  <c r="G1492" i="4" a="1"/>
  <c r="G1492" i="4" s="1"/>
  <c r="I1492" i="4" s="1" a="1"/>
  <c r="I1492" i="4" s="1"/>
  <c r="H1492" i="4" s="1"/>
  <c r="G1493" i="4" a="1"/>
  <c r="G1493" i="4"/>
  <c r="I1493" i="4" a="1"/>
  <c r="I1493" i="4" s="1"/>
  <c r="H1493" i="4" s="1"/>
  <c r="G1494" i="4" a="1"/>
  <c r="G1494" i="4" s="1"/>
  <c r="I1494" i="4" s="1" a="1"/>
  <c r="I1494" i="4" s="1"/>
  <c r="H1494" i="4" s="1"/>
  <c r="G1495" i="4" a="1"/>
  <c r="G1495" i="4"/>
  <c r="I1495" i="4" a="1"/>
  <c r="I1495" i="4" s="1"/>
  <c r="H1495" i="4" s="1"/>
  <c r="G1496" i="4" a="1"/>
  <c r="G1496" i="4"/>
  <c r="I1496" i="4" s="1" a="1"/>
  <c r="I1496" i="4" s="1"/>
  <c r="H1496" i="4" s="1"/>
  <c r="G1497" i="4" a="1"/>
  <c r="G1497" i="4"/>
  <c r="I1497" i="4" a="1"/>
  <c r="I1497" i="4" s="1"/>
  <c r="H1497" i="4" s="1"/>
  <c r="G1498" i="4" a="1"/>
  <c r="G1498" i="4" s="1"/>
  <c r="I1498" i="4" s="1" a="1"/>
  <c r="I1498" i="4" s="1"/>
  <c r="H1498" i="4" s="1"/>
  <c r="G1499" i="4" a="1"/>
  <c r="G1499" i="4"/>
  <c r="I1499" i="4" a="1"/>
  <c r="I1499" i="4" s="1"/>
  <c r="H1499" i="4" s="1"/>
  <c r="G1500" i="4" a="1"/>
  <c r="G1500" i="4" s="1"/>
  <c r="I1500" i="4" s="1" a="1"/>
  <c r="I1500" i="4" s="1"/>
  <c r="H1500" i="4" s="1"/>
  <c r="G1501" i="4" a="1"/>
  <c r="G1501" i="4"/>
  <c r="I1501" i="4" a="1"/>
  <c r="I1501" i="4" s="1"/>
  <c r="H1501" i="4" s="1"/>
  <c r="G1502" i="4" a="1"/>
  <c r="G1502" i="4" s="1"/>
  <c r="I1502" i="4" s="1" a="1"/>
  <c r="I1502" i="4" s="1"/>
  <c r="H1502" i="4" s="1"/>
  <c r="G1503" i="4" a="1"/>
  <c r="G1503" i="4"/>
  <c r="I1503" i="4" a="1"/>
  <c r="I1503" i="4" s="1"/>
  <c r="H1503" i="4" s="1"/>
  <c r="G1504" i="4" a="1"/>
  <c r="G1504" i="4"/>
  <c r="I1504" i="4" s="1" a="1"/>
  <c r="I1504" i="4" s="1"/>
  <c r="H1504" i="4" s="1"/>
  <c r="G1505" i="4" a="1"/>
  <c r="G1505" i="4"/>
  <c r="I1505" i="4" s="1" a="1"/>
  <c r="I1505" i="4" s="1"/>
  <c r="H1505" i="4" s="1"/>
  <c r="G1506" i="4" a="1"/>
  <c r="G1506" i="4" s="1"/>
  <c r="I1506" i="4" s="1" a="1"/>
  <c r="I1506" i="4" s="1"/>
  <c r="H1506" i="4" s="1"/>
  <c r="G1507" i="4" a="1"/>
  <c r="G1507" i="4"/>
  <c r="I1507" i="4" a="1"/>
  <c r="I1507" i="4" s="1"/>
  <c r="H1507" i="4" s="1"/>
  <c r="G1508" i="4" a="1"/>
  <c r="G1508" i="4" s="1"/>
  <c r="I1508" i="4" a="1"/>
  <c r="I1508" i="4" s="1"/>
  <c r="G1509" i="4" a="1"/>
  <c r="G1509" i="4"/>
  <c r="I1509" i="4" s="1" a="1"/>
  <c r="I1509" i="4" s="1"/>
  <c r="H1509" i="4" s="1"/>
  <c r="G1510" i="4" a="1"/>
  <c r="G1510" i="4" s="1"/>
  <c r="I1510" i="4" s="1" a="1"/>
  <c r="I1510" i="4" s="1"/>
  <c r="H1510" i="4" s="1"/>
  <c r="G1511" i="4" a="1"/>
  <c r="G1511" i="4"/>
  <c r="I1511" i="4" a="1"/>
  <c r="I1511" i="4" s="1"/>
  <c r="H1511" i="4" s="1"/>
  <c r="G1512" i="4" a="1"/>
  <c r="G1512" i="4"/>
  <c r="I1512" i="4" a="1"/>
  <c r="I1512" i="4"/>
  <c r="H1512" i="4" s="1"/>
  <c r="G1513" i="4" a="1"/>
  <c r="G1513" i="4"/>
  <c r="I1513" i="4" s="1" a="1"/>
  <c r="I1513" i="4" s="1"/>
  <c r="H1513" i="4" s="1"/>
  <c r="G1514" i="4" a="1"/>
  <c r="G1514" i="4" s="1"/>
  <c r="I1514" i="4" s="1" a="1"/>
  <c r="I1514" i="4" s="1"/>
  <c r="H1514" i="4" s="1"/>
  <c r="G1515" i="4" a="1"/>
  <c r="G1515" i="4"/>
  <c r="I1515" i="4" a="1"/>
  <c r="I1515" i="4" s="1"/>
  <c r="H1515" i="4" s="1"/>
  <c r="G1516" i="4" a="1"/>
  <c r="G1516" i="4" s="1"/>
  <c r="I1516" i="4" s="1" a="1"/>
  <c r="I1516" i="4" s="1"/>
  <c r="H1516" i="4" s="1"/>
  <c r="G1517" i="4" a="1"/>
  <c r="G1517" i="4" s="1"/>
  <c r="I1517" i="4" a="1"/>
  <c r="I1517" i="4" s="1"/>
  <c r="G1518" i="4" a="1"/>
  <c r="G1518" i="4" s="1"/>
  <c r="I1518" i="4" s="1" a="1"/>
  <c r="I1518" i="4" s="1"/>
  <c r="H1518" i="4" s="1"/>
  <c r="G1519" i="4" a="1"/>
  <c r="G1519" i="4"/>
  <c r="I1519" i="4" a="1"/>
  <c r="I1519" i="4" s="1"/>
  <c r="H1519" i="4" s="1"/>
  <c r="G1520" i="4" a="1"/>
  <c r="G1520" i="4"/>
  <c r="I1520" i="4" s="1" a="1"/>
  <c r="I1520" i="4" s="1"/>
  <c r="H1520" i="4" s="1"/>
  <c r="G1521" i="4" a="1"/>
  <c r="G1521" i="4"/>
  <c r="I1521" i="4" a="1"/>
  <c r="I1521" i="4" s="1"/>
  <c r="H1521" i="4" s="1"/>
  <c r="G1522" i="4" a="1"/>
  <c r="G1522" i="4" s="1"/>
  <c r="I1522" i="4" s="1" a="1"/>
  <c r="I1522" i="4" s="1"/>
  <c r="H1522" i="4" s="1"/>
  <c r="G1523" i="4" a="1"/>
  <c r="G1523" i="4"/>
  <c r="I1523" i="4" a="1"/>
  <c r="I1523" i="4" s="1"/>
  <c r="H1523" i="4" s="1"/>
  <c r="G1524" i="4" a="1"/>
  <c r="G1524" i="4"/>
  <c r="I1524" i="4" s="1" a="1"/>
  <c r="I1524" i="4" s="1"/>
  <c r="H1524" i="4" s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C4" i="4" a="1"/>
  <c r="C4" i="4" s="1"/>
  <c r="C5" i="4" a="1"/>
  <c r="C5" i="4" s="1"/>
  <c r="C6" i="4" a="1"/>
  <c r="C6" i="4"/>
  <c r="C7" i="4" a="1"/>
  <c r="C7" i="4"/>
  <c r="C8" i="4" a="1"/>
  <c r="C8" i="4" s="1"/>
  <c r="C9" i="4" a="1"/>
  <c r="C9" i="4" s="1"/>
  <c r="C10" i="4" a="1"/>
  <c r="C10" i="4"/>
  <c r="C11" i="4" a="1"/>
  <c r="C11" i="4"/>
  <c r="C12" i="4" a="1"/>
  <c r="C12" i="4" s="1"/>
  <c r="C13" i="4" a="1"/>
  <c r="C13" i="4" s="1"/>
  <c r="C14" i="4" a="1"/>
  <c r="C14" i="4"/>
  <c r="C15" i="4" a="1"/>
  <c r="C15" i="4"/>
  <c r="C16" i="4" a="1"/>
  <c r="C16" i="4" s="1"/>
  <c r="C17" i="4" a="1"/>
  <c r="C17" i="4" s="1"/>
  <c r="C18" i="4" a="1"/>
  <c r="C18" i="4" s="1"/>
  <c r="C19" i="4" a="1"/>
  <c r="C19" i="4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/>
  <c r="C27" i="4" a="1"/>
  <c r="C27" i="4" s="1"/>
  <c r="C28" i="4" a="1"/>
  <c r="C28" i="4" s="1"/>
  <c r="C29" i="4" a="1"/>
  <c r="C29" i="4" s="1"/>
  <c r="C30" i="4" a="1"/>
  <c r="C30" i="4"/>
  <c r="C31" i="4" a="1"/>
  <c r="C31" i="4"/>
  <c r="C32" i="4" a="1"/>
  <c r="C32" i="4" s="1"/>
  <c r="C33" i="4" a="1"/>
  <c r="C33" i="4" s="1"/>
  <c r="C34" i="4" a="1"/>
  <c r="C34" i="4" s="1"/>
  <c r="C35" i="4" a="1"/>
  <c r="C35" i="4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/>
  <c r="C43" i="4" a="1"/>
  <c r="C43" i="4" s="1"/>
  <c r="C44" i="4" a="1"/>
  <c r="C44" i="4" s="1"/>
  <c r="C45" i="4" a="1"/>
  <c r="C45" i="4" s="1"/>
  <c r="C46" i="4" a="1"/>
  <c r="C46" i="4"/>
  <c r="C47" i="4" a="1"/>
  <c r="C47" i="4" s="1"/>
  <c r="C48" i="4" a="1"/>
  <c r="C48" i="4" s="1"/>
  <c r="C49" i="4" a="1"/>
  <c r="C49" i="4" s="1"/>
  <c r="C50" i="4" a="1"/>
  <c r="C50" i="4" s="1"/>
  <c r="C51" i="4" a="1"/>
  <c r="C51" i="4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/>
  <c r="C63" i="4" a="1"/>
  <c r="C63" i="4" s="1"/>
  <c r="C64" i="4" a="1"/>
  <c r="C64" i="4" s="1"/>
  <c r="C65" i="4" a="1"/>
  <c r="C65" i="4" s="1"/>
  <c r="C66" i="4" a="1"/>
  <c r="C66" i="4" s="1"/>
  <c r="C67" i="4" a="1"/>
  <c r="C67" i="4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/>
  <c r="C79" i="4" a="1"/>
  <c r="C79" i="4" s="1"/>
  <c r="C80" i="4" a="1"/>
  <c r="C80" i="4" s="1"/>
  <c r="C81" i="4" a="1"/>
  <c r="C81" i="4" s="1"/>
  <c r="C82" i="4" a="1"/>
  <c r="C82" i="4" s="1"/>
  <c r="C83" i="4" a="1"/>
  <c r="C83" i="4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/>
  <c r="C95" i="4" a="1"/>
  <c r="C95" i="4" s="1"/>
  <c r="C96" i="4" a="1"/>
  <c r="C96" i="4" s="1"/>
  <c r="C97" i="4" a="1"/>
  <c r="C97" i="4" s="1"/>
  <c r="C98" i="4" a="1"/>
  <c r="C98" i="4" s="1"/>
  <c r="C99" i="4" a="1"/>
  <c r="C99" i="4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/>
  <c r="C111" i="4" a="1"/>
  <c r="C111" i="4" s="1"/>
  <c r="C112" i="4" a="1"/>
  <c r="C112" i="4" s="1"/>
  <c r="C113" i="4" a="1"/>
  <c r="C113" i="4" s="1"/>
  <c r="C114" i="4" a="1"/>
  <c r="C114" i="4" s="1"/>
  <c r="C115" i="4" a="1"/>
  <c r="C115" i="4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/>
  <c r="C127" i="4" a="1"/>
  <c r="C127" i="4" s="1"/>
  <c r="C128" i="4" a="1"/>
  <c r="C128" i="4" s="1"/>
  <c r="C129" i="4" a="1"/>
  <c r="C129" i="4" s="1"/>
  <c r="C130" i="4" a="1"/>
  <c r="C130" i="4" s="1"/>
  <c r="C131" i="4" a="1"/>
  <c r="C131" i="4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/>
  <c r="C143" i="4" a="1"/>
  <c r="C143" i="4" s="1"/>
  <c r="C144" i="4" a="1"/>
  <c r="C144" i="4" s="1"/>
  <c r="C145" i="4" a="1"/>
  <c r="C145" i="4" s="1"/>
  <c r="C146" i="4" a="1"/>
  <c r="C146" i="4" s="1"/>
  <c r="C147" i="4" a="1"/>
  <c r="C147" i="4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/>
  <c r="C159" i="4" a="1"/>
  <c r="C159" i="4" s="1"/>
  <c r="C160" i="4" a="1"/>
  <c r="C160" i="4" s="1"/>
  <c r="C161" i="4" a="1"/>
  <c r="C161" i="4" s="1"/>
  <c r="C162" i="4" a="1"/>
  <c r="C162" i="4" s="1"/>
  <c r="C163" i="4" a="1"/>
  <c r="C163" i="4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/>
  <c r="C345" i="4" a="1"/>
  <c r="C345" i="4" s="1"/>
  <c r="C346" i="4" a="1"/>
  <c r="C346" i="4" s="1"/>
  <c r="C347" i="4" a="1"/>
  <c r="C347" i="4" s="1"/>
  <c r="C348" i="4" a="1"/>
  <c r="C348" i="4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/>
  <c r="C373" i="4" a="1"/>
  <c r="C373" i="4" s="1"/>
  <c r="C374" i="4" a="1"/>
  <c r="C374" i="4" s="1"/>
  <c r="C375" i="4" a="1"/>
  <c r="C375" i="4" s="1"/>
  <c r="C376" i="4" a="1"/>
  <c r="C376" i="4"/>
  <c r="C377" i="4" a="1"/>
  <c r="C377" i="4" s="1"/>
  <c r="C378" i="4" a="1"/>
  <c r="C378" i="4" s="1"/>
  <c r="C379" i="4" a="1"/>
  <c r="C379" i="4" s="1"/>
  <c r="C380" i="4" a="1"/>
  <c r="C380" i="4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/>
  <c r="C405" i="4" a="1"/>
  <c r="C405" i="4" s="1"/>
  <c r="C406" i="4" a="1"/>
  <c r="C406" i="4" s="1"/>
  <c r="C407" i="4" a="1"/>
  <c r="C407" i="4" s="1"/>
  <c r="C408" i="4" a="1"/>
  <c r="C408" i="4"/>
  <c r="C409" i="4" a="1"/>
  <c r="C409" i="4" s="1"/>
  <c r="C410" i="4" a="1"/>
  <c r="C410" i="4" s="1"/>
  <c r="C411" i="4" a="1"/>
  <c r="C411" i="4" s="1"/>
  <c r="C412" i="4" a="1"/>
  <c r="C412" i="4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/>
  <c r="C437" i="4" a="1"/>
  <c r="C437" i="4" s="1"/>
  <c r="C438" i="4" a="1"/>
  <c r="C438" i="4" s="1"/>
  <c r="C439" i="4" a="1"/>
  <c r="C439" i="4" s="1"/>
  <c r="C440" i="4" a="1"/>
  <c r="C440" i="4"/>
  <c r="C441" i="4" a="1"/>
  <c r="C441" i="4" s="1"/>
  <c r="C442" i="4" a="1"/>
  <c r="C442" i="4" s="1"/>
  <c r="C443" i="4" a="1"/>
  <c r="C443" i="4" s="1"/>
  <c r="C444" i="4" a="1"/>
  <c r="C444" i="4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/>
  <c r="C469" i="4" a="1"/>
  <c r="C469" i="4" s="1"/>
  <c r="C470" i="4" a="1"/>
  <c r="C470" i="4" s="1"/>
  <c r="C471" i="4" a="1"/>
  <c r="C471" i="4" s="1"/>
  <c r="C472" i="4" a="1"/>
  <c r="C472" i="4"/>
  <c r="C473" i="4" a="1"/>
  <c r="C473" i="4" s="1"/>
  <c r="C474" i="4" a="1"/>
  <c r="C474" i="4" s="1"/>
  <c r="C475" i="4" a="1"/>
  <c r="C475" i="4" s="1"/>
  <c r="C476" i="4" a="1"/>
  <c r="C476" i="4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/>
  <c r="C501" i="4" a="1"/>
  <c r="C501" i="4" s="1"/>
  <c r="C502" i="4" a="1"/>
  <c r="C502" i="4" s="1"/>
  <c r="C503" i="4" a="1"/>
  <c r="C503" i="4" s="1"/>
  <c r="C504" i="4" a="1"/>
  <c r="C504" i="4"/>
  <c r="C505" i="4" a="1"/>
  <c r="C505" i="4" s="1"/>
  <c r="C506" i="4" a="1"/>
  <c r="C506" i="4" s="1"/>
  <c r="C507" i="4" a="1"/>
  <c r="C507" i="4" s="1"/>
  <c r="C508" i="4" a="1"/>
  <c r="C508" i="4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/>
  <c r="C517" i="4" a="1"/>
  <c r="C517" i="4" s="1"/>
  <c r="C518" i="4" a="1"/>
  <c r="C518" i="4" s="1"/>
  <c r="C519" i="4" a="1"/>
  <c r="C519" i="4"/>
  <c r="C520" i="4" a="1"/>
  <c r="C520" i="4"/>
  <c r="C521" i="4" a="1"/>
  <c r="C521" i="4" s="1"/>
  <c r="C522" i="4" a="1"/>
  <c r="C522" i="4" s="1"/>
  <c r="C523" i="4" a="1"/>
  <c r="C523" i="4" s="1"/>
  <c r="C524" i="4" a="1"/>
  <c r="C524" i="4"/>
  <c r="C525" i="4" a="1"/>
  <c r="C525" i="4"/>
  <c r="C526" i="4" a="1"/>
  <c r="C526" i="4" s="1"/>
  <c r="C527" i="4" a="1"/>
  <c r="C527" i="4"/>
  <c r="C528" i="4" a="1"/>
  <c r="C528" i="4" s="1"/>
  <c r="C529" i="4" a="1"/>
  <c r="C529" i="4" s="1"/>
  <c r="C530" i="4" a="1"/>
  <c r="C530" i="4" s="1"/>
  <c r="C531" i="4" a="1"/>
  <c r="C531" i="4"/>
  <c r="C532" i="4" a="1"/>
  <c r="C532" i="4" s="1"/>
  <c r="C533" i="4" a="1"/>
  <c r="C533" i="4"/>
  <c r="C534" i="4" a="1"/>
  <c r="C534" i="4" s="1"/>
  <c r="C535" i="4" a="1"/>
  <c r="C535" i="4" s="1"/>
  <c r="C536" i="4" a="1"/>
  <c r="C536" i="4"/>
  <c r="C537" i="4" a="1"/>
  <c r="C537" i="4" s="1"/>
  <c r="C538" i="4" a="1"/>
  <c r="C538" i="4" s="1"/>
  <c r="C539" i="4" a="1"/>
  <c r="C539" i="4"/>
  <c r="C540" i="4" a="1"/>
  <c r="C540" i="4"/>
  <c r="C541" i="4" a="1"/>
  <c r="C541" i="4" s="1"/>
  <c r="C542" i="4" a="1"/>
  <c r="C542" i="4" s="1"/>
  <c r="C543" i="4" a="1"/>
  <c r="C543" i="4" s="1"/>
  <c r="C544" i="4" a="1"/>
  <c r="C544" i="4" s="1"/>
  <c r="C545" i="4" a="1"/>
  <c r="C545" i="4"/>
  <c r="C546" i="4" a="1"/>
  <c r="C546" i="4" s="1"/>
  <c r="C547" i="4" a="1"/>
  <c r="C547" i="4"/>
  <c r="C548" i="4" a="1"/>
  <c r="C548" i="4"/>
  <c r="C549" i="4" a="1"/>
  <c r="C549" i="4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/>
  <c r="C557" i="4" a="1"/>
  <c r="C557" i="4"/>
  <c r="C558" i="4" a="1"/>
  <c r="C558" i="4" s="1"/>
  <c r="C559" i="4" a="1"/>
  <c r="C559" i="4"/>
  <c r="C560" i="4" a="1"/>
  <c r="C560" i="4" s="1"/>
  <c r="C561" i="4" a="1"/>
  <c r="C561" i="4" s="1"/>
  <c r="C562" i="4" a="1"/>
  <c r="C562" i="4" s="1"/>
  <c r="C563" i="4" a="1"/>
  <c r="C563" i="4"/>
  <c r="C564" i="4" a="1"/>
  <c r="C564" i="4" s="1"/>
  <c r="C565" i="4" a="1"/>
  <c r="C565" i="4"/>
  <c r="C566" i="4" a="1"/>
  <c r="C566" i="4" s="1"/>
  <c r="C567" i="4" a="1"/>
  <c r="C567" i="4" s="1"/>
  <c r="C568" i="4" a="1"/>
  <c r="C568" i="4"/>
  <c r="C569" i="4" a="1"/>
  <c r="C569" i="4" s="1"/>
  <c r="C570" i="4" a="1"/>
  <c r="C570" i="4" s="1"/>
  <c r="C571" i="4" a="1"/>
  <c r="C571" i="4"/>
  <c r="C572" i="4" a="1"/>
  <c r="C572" i="4"/>
  <c r="C573" i="4" a="1"/>
  <c r="C573" i="4" s="1"/>
  <c r="C574" i="4" a="1"/>
  <c r="C574" i="4" s="1"/>
  <c r="C575" i="4" a="1"/>
  <c r="C575" i="4" s="1"/>
  <c r="C576" i="4" a="1"/>
  <c r="C576" i="4" s="1"/>
  <c r="C577" i="4" a="1"/>
  <c r="C577" i="4"/>
  <c r="C578" i="4" a="1"/>
  <c r="C578" i="4" s="1"/>
  <c r="C579" i="4" a="1"/>
  <c r="C579" i="4"/>
  <c r="C580" i="4" a="1"/>
  <c r="C580" i="4"/>
  <c r="C581" i="4" a="1"/>
  <c r="C581" i="4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/>
  <c r="C589" i="4" a="1"/>
  <c r="C589" i="4"/>
  <c r="C590" i="4" a="1"/>
  <c r="C590" i="4" s="1"/>
  <c r="C591" i="4" a="1"/>
  <c r="C591" i="4"/>
  <c r="C592" i="4" a="1"/>
  <c r="C592" i="4" s="1"/>
  <c r="C593" i="4" a="1"/>
  <c r="C593" i="4" s="1"/>
  <c r="C594" i="4" a="1"/>
  <c r="C594" i="4" s="1"/>
  <c r="C595" i="4" a="1"/>
  <c r="C595" i="4"/>
  <c r="C596" i="4" a="1"/>
  <c r="C596" i="4" s="1"/>
  <c r="C597" i="4" a="1"/>
  <c r="C597" i="4"/>
  <c r="C598" i="4" a="1"/>
  <c r="C598" i="4" s="1"/>
  <c r="C599" i="4" a="1"/>
  <c r="C599" i="4" s="1"/>
  <c r="C600" i="4" a="1"/>
  <c r="C600" i="4"/>
  <c r="C601" i="4" a="1"/>
  <c r="C601" i="4" s="1"/>
  <c r="C602" i="4" a="1"/>
  <c r="C602" i="4" s="1"/>
  <c r="C603" i="4" a="1"/>
  <c r="C603" i="4"/>
  <c r="C604" i="4" a="1"/>
  <c r="C604" i="4"/>
  <c r="C605" i="4" a="1"/>
  <c r="C605" i="4" s="1"/>
  <c r="C606" i="4" a="1"/>
  <c r="C606" i="4" s="1"/>
  <c r="C607" i="4" a="1"/>
  <c r="C607" i="4" s="1"/>
  <c r="C608" i="4" a="1"/>
  <c r="C608" i="4" s="1"/>
  <c r="C609" i="4" a="1"/>
  <c r="C609" i="4"/>
  <c r="C610" i="4" a="1"/>
  <c r="C610" i="4" s="1"/>
  <c r="C611" i="4" a="1"/>
  <c r="C611" i="4"/>
  <c r="C612" i="4" a="1"/>
  <c r="C612" i="4"/>
  <c r="C613" i="4" a="1"/>
  <c r="C613" i="4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/>
  <c r="C621" i="4" a="1"/>
  <c r="C621" i="4"/>
  <c r="C622" i="4" a="1"/>
  <c r="C622" i="4" s="1"/>
  <c r="C623" i="4" a="1"/>
  <c r="C623" i="4"/>
  <c r="C624" i="4" a="1"/>
  <c r="C624" i="4" s="1"/>
  <c r="C625" i="4" a="1"/>
  <c r="C625" i="4" s="1"/>
  <c r="C626" i="4" a="1"/>
  <c r="C626" i="4" s="1"/>
  <c r="C627" i="4" a="1"/>
  <c r="C627" i="4"/>
  <c r="C628" i="4" a="1"/>
  <c r="C628" i="4" s="1"/>
  <c r="C629" i="4" a="1"/>
  <c r="C629" i="4"/>
  <c r="C630" i="4" a="1"/>
  <c r="C630" i="4" s="1"/>
  <c r="C631" i="4" a="1"/>
  <c r="C631" i="4" s="1"/>
  <c r="C632" i="4" a="1"/>
  <c r="C632" i="4"/>
  <c r="C633" i="4" a="1"/>
  <c r="C633" i="4" s="1"/>
  <c r="C634" i="4" a="1"/>
  <c r="C634" i="4" s="1"/>
  <c r="C635" i="4" a="1"/>
  <c r="C635" i="4"/>
  <c r="C636" i="4" a="1"/>
  <c r="C636" i="4"/>
  <c r="C637" i="4" a="1"/>
  <c r="C637" i="4" s="1"/>
  <c r="C638" i="4" a="1"/>
  <c r="C638" i="4" s="1"/>
  <c r="C639" i="4" a="1"/>
  <c r="C639" i="4" s="1"/>
  <c r="C640" i="4" a="1"/>
  <c r="C640" i="4" s="1"/>
  <c r="C641" i="4" a="1"/>
  <c r="C641" i="4"/>
  <c r="C642" i="4" a="1"/>
  <c r="C642" i="4" s="1"/>
  <c r="C643" i="4" a="1"/>
  <c r="C643" i="4"/>
  <c r="C644" i="4" a="1"/>
  <c r="C644" i="4"/>
  <c r="C645" i="4" a="1"/>
  <c r="C645" i="4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/>
  <c r="C653" i="4" a="1"/>
  <c r="C653" i="4"/>
  <c r="C654" i="4" a="1"/>
  <c r="C654" i="4" s="1"/>
  <c r="C655" i="4" a="1"/>
  <c r="C655" i="4"/>
  <c r="C656" i="4" a="1"/>
  <c r="C656" i="4" s="1"/>
  <c r="C657" i="4" a="1"/>
  <c r="C657" i="4" s="1"/>
  <c r="C658" i="4" a="1"/>
  <c r="C658" i="4" s="1"/>
  <c r="C659" i="4" a="1"/>
  <c r="C659" i="4"/>
  <c r="C660" i="4" a="1"/>
  <c r="C660" i="4" s="1"/>
  <c r="C661" i="4" a="1"/>
  <c r="C661" i="4"/>
  <c r="C662" i="4" a="1"/>
  <c r="C662" i="4" s="1"/>
  <c r="C663" i="4" a="1"/>
  <c r="C663" i="4" s="1"/>
  <c r="C664" i="4" a="1"/>
  <c r="C664" i="4"/>
  <c r="C665" i="4" a="1"/>
  <c r="C665" i="4" s="1"/>
  <c r="C666" i="4" a="1"/>
  <c r="C666" i="4" s="1"/>
  <c r="C667" i="4" a="1"/>
  <c r="C667" i="4"/>
  <c r="C668" i="4" a="1"/>
  <c r="C668" i="4"/>
  <c r="C669" i="4" a="1"/>
  <c r="C669" i="4" s="1"/>
  <c r="C670" i="4" a="1"/>
  <c r="C670" i="4" s="1"/>
  <c r="C671" i="4" a="1"/>
  <c r="C671" i="4" s="1"/>
  <c r="C672" i="4" a="1"/>
  <c r="C672" i="4" s="1"/>
  <c r="C673" i="4" a="1"/>
  <c r="C673" i="4"/>
  <c r="C674" i="4" a="1"/>
  <c r="C674" i="4" s="1"/>
  <c r="C675" i="4" a="1"/>
  <c r="C675" i="4"/>
  <c r="C676" i="4" a="1"/>
  <c r="C676" i="4"/>
  <c r="C677" i="4" a="1"/>
  <c r="C677" i="4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/>
  <c r="C685" i="4" a="1"/>
  <c r="C685" i="4"/>
  <c r="C686" i="4" a="1"/>
  <c r="C686" i="4" s="1"/>
  <c r="C687" i="4" a="1"/>
  <c r="C687" i="4"/>
  <c r="C688" i="4" a="1"/>
  <c r="C688" i="4" s="1"/>
  <c r="C689" i="4" a="1"/>
  <c r="C689" i="4" s="1"/>
  <c r="C690" i="4" a="1"/>
  <c r="C690" i="4" s="1"/>
  <c r="C691" i="4" a="1"/>
  <c r="C691" i="4"/>
  <c r="C692" i="4" a="1"/>
  <c r="C692" i="4" s="1"/>
  <c r="C693" i="4" a="1"/>
  <c r="C693" i="4"/>
  <c r="C694" i="4" a="1"/>
  <c r="C694" i="4" s="1"/>
  <c r="C695" i="4" a="1"/>
  <c r="C695" i="4" s="1"/>
  <c r="C696" i="4" a="1"/>
  <c r="C696" i="4"/>
  <c r="C697" i="4" a="1"/>
  <c r="C697" i="4" s="1"/>
  <c r="C698" i="4" a="1"/>
  <c r="C698" i="4" s="1"/>
  <c r="C699" i="4" a="1"/>
  <c r="C699" i="4"/>
  <c r="C700" i="4" a="1"/>
  <c r="C700" i="4"/>
  <c r="C701" i="4" a="1"/>
  <c r="C701" i="4" s="1"/>
  <c r="C702" i="4" a="1"/>
  <c r="C702" i="4" s="1"/>
  <c r="C703" i="4" a="1"/>
  <c r="C703" i="4" s="1"/>
  <c r="C704" i="4" a="1"/>
  <c r="C704" i="4" s="1"/>
  <c r="C705" i="4" a="1"/>
  <c r="C705" i="4"/>
  <c r="C706" i="4" a="1"/>
  <c r="C706" i="4" s="1"/>
  <c r="C707" i="4" a="1"/>
  <c r="C707" i="4"/>
  <c r="C708" i="4" a="1"/>
  <c r="C708" i="4"/>
  <c r="C709" i="4" a="1"/>
  <c r="C709" i="4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/>
  <c r="C717" i="4" a="1"/>
  <c r="C717" i="4"/>
  <c r="C718" i="4" a="1"/>
  <c r="C718" i="4" s="1"/>
  <c r="C719" i="4" a="1"/>
  <c r="C719" i="4"/>
  <c r="C720" i="4" a="1"/>
  <c r="C720" i="4" s="1"/>
  <c r="C721" i="4" a="1"/>
  <c r="C721" i="4" s="1"/>
  <c r="C722" i="4" a="1"/>
  <c r="C722" i="4" s="1"/>
  <c r="C723" i="4" a="1"/>
  <c r="C723" i="4"/>
  <c r="C724" i="4" a="1"/>
  <c r="C724" i="4" s="1"/>
  <c r="C725" i="4" a="1"/>
  <c r="C725" i="4"/>
  <c r="C726" i="4" a="1"/>
  <c r="C726" i="4" s="1"/>
  <c r="C727" i="4" a="1"/>
  <c r="C727" i="4" s="1"/>
  <c r="C728" i="4" a="1"/>
  <c r="C728" i="4"/>
  <c r="C729" i="4" a="1"/>
  <c r="C729" i="4" s="1"/>
  <c r="C730" i="4" a="1"/>
  <c r="C730" i="4" s="1"/>
  <c r="C731" i="4" a="1"/>
  <c r="C731" i="4"/>
  <c r="C732" i="4" a="1"/>
  <c r="C732" i="4"/>
  <c r="C733" i="4" a="1"/>
  <c r="C733" i="4" s="1"/>
  <c r="C734" i="4" a="1"/>
  <c r="C734" i="4" s="1"/>
  <c r="C735" i="4" a="1"/>
  <c r="C735" i="4" s="1"/>
  <c r="C736" i="4" a="1"/>
  <c r="C736" i="4" s="1"/>
  <c r="C737" i="4" a="1"/>
  <c r="C737" i="4"/>
  <c r="C738" i="4" a="1"/>
  <c r="C738" i="4" s="1"/>
  <c r="C739" i="4" a="1"/>
  <c r="C739" i="4" s="1"/>
  <c r="C740" i="4" a="1"/>
  <c r="C740" i="4"/>
  <c r="C741" i="4" a="1"/>
  <c r="C741" i="4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/>
  <c r="C750" i="4" a="1"/>
  <c r="C750" i="4" s="1"/>
  <c r="C751" i="4" a="1"/>
  <c r="C751" i="4"/>
  <c r="C752" i="4" a="1"/>
  <c r="C752" i="4" s="1"/>
  <c r="C753" i="4" a="1"/>
  <c r="C753" i="4" s="1"/>
  <c r="C754" i="4" a="1"/>
  <c r="C754" i="4" s="1"/>
  <c r="C755" i="4" a="1"/>
  <c r="C755" i="4"/>
  <c r="C756" i="4" a="1"/>
  <c r="C756" i="4" s="1"/>
  <c r="C757" i="4" a="1"/>
  <c r="C757" i="4" s="1"/>
  <c r="C758" i="4" a="1"/>
  <c r="C758" i="4" s="1"/>
  <c r="C759" i="4" a="1"/>
  <c r="C759" i="4" s="1"/>
  <c r="C760" i="4" a="1"/>
  <c r="C760" i="4"/>
  <c r="C761" i="4" a="1"/>
  <c r="C761" i="4" s="1"/>
  <c r="C762" i="4" a="1"/>
  <c r="C762" i="4" s="1"/>
  <c r="C763" i="4" a="1"/>
  <c r="C763" i="4"/>
  <c r="C764" i="4" a="1"/>
  <c r="C764" i="4"/>
  <c r="C765" i="4" a="1"/>
  <c r="C765" i="4" s="1"/>
  <c r="C766" i="4" a="1"/>
  <c r="C766" i="4" s="1"/>
  <c r="C767" i="4" a="1"/>
  <c r="C767" i="4" s="1"/>
  <c r="C768" i="4" a="1"/>
  <c r="C768" i="4" s="1"/>
  <c r="C769" i="4" a="1"/>
  <c r="C769" i="4"/>
  <c r="C770" i="4" a="1"/>
  <c r="C770" i="4" s="1"/>
  <c r="C771" i="4" a="1"/>
  <c r="C771" i="4" s="1"/>
  <c r="C772" i="4" a="1"/>
  <c r="C772" i="4"/>
  <c r="C773" i="4" a="1"/>
  <c r="C773" i="4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/>
  <c r="C782" i="4" a="1"/>
  <c r="C782" i="4" s="1"/>
  <c r="C783" i="4" a="1"/>
  <c r="C783" i="4"/>
  <c r="C784" i="4" a="1"/>
  <c r="C784" i="4" s="1"/>
  <c r="C785" i="4" a="1"/>
  <c r="C785" i="4" s="1"/>
  <c r="C786" i="4" a="1"/>
  <c r="C786" i="4" s="1"/>
  <c r="C787" i="4" a="1"/>
  <c r="C787" i="4"/>
  <c r="C788" i="4" a="1"/>
  <c r="C788" i="4" s="1"/>
  <c r="C789" i="4" a="1"/>
  <c r="C789" i="4" s="1"/>
  <c r="C790" i="4" a="1"/>
  <c r="C790" i="4" s="1"/>
  <c r="C791" i="4" a="1"/>
  <c r="C791" i="4" s="1"/>
  <c r="C792" i="4" a="1"/>
  <c r="C792" i="4"/>
  <c r="C793" i="4" a="1"/>
  <c r="C793" i="4" s="1"/>
  <c r="C794" i="4" a="1"/>
  <c r="C794" i="4" s="1"/>
  <c r="C795" i="4" a="1"/>
  <c r="C795" i="4"/>
  <c r="C796" i="4" a="1"/>
  <c r="C796" i="4"/>
  <c r="C797" i="4" a="1"/>
  <c r="C797" i="4" s="1"/>
  <c r="C798" i="4" a="1"/>
  <c r="C798" i="4" s="1"/>
  <c r="C799" i="4" a="1"/>
  <c r="C799" i="4" s="1"/>
  <c r="C800" i="4" a="1"/>
  <c r="C800" i="4" s="1"/>
  <c r="C801" i="4" a="1"/>
  <c r="C801" i="4"/>
  <c r="C802" i="4" a="1"/>
  <c r="C802" i="4" s="1"/>
  <c r="C803" i="4" a="1"/>
  <c r="C803" i="4" s="1"/>
  <c r="C804" i="4" a="1"/>
  <c r="C804" i="4"/>
  <c r="C805" i="4" a="1"/>
  <c r="C805" i="4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/>
  <c r="C814" i="4" a="1"/>
  <c r="C814" i="4" s="1"/>
  <c r="C815" i="4" a="1"/>
  <c r="C815" i="4"/>
  <c r="C816" i="4" a="1"/>
  <c r="C816" i="4" s="1"/>
  <c r="C817" i="4" a="1"/>
  <c r="C817" i="4" s="1"/>
  <c r="C818" i="4" a="1"/>
  <c r="C818" i="4" s="1"/>
  <c r="C819" i="4" a="1"/>
  <c r="C819" i="4"/>
  <c r="C820" i="4" a="1"/>
  <c r="C820" i="4" s="1"/>
  <c r="C821" i="4" a="1"/>
  <c r="C821" i="4" s="1"/>
  <c r="C822" i="4" a="1"/>
  <c r="C822" i="4"/>
  <c r="C823" i="4" a="1"/>
  <c r="C823" i="4"/>
  <c r="C824" i="4" a="1"/>
  <c r="C824" i="4" s="1"/>
  <c r="C825" i="4" a="1"/>
  <c r="C825" i="4" s="1"/>
  <c r="C826" i="4" a="1"/>
  <c r="C826" i="4"/>
  <c r="C827" i="4" a="1"/>
  <c r="C827" i="4"/>
  <c r="C828" i="4" a="1"/>
  <c r="C828" i="4" s="1"/>
  <c r="C829" i="4" a="1"/>
  <c r="C829" i="4" s="1"/>
  <c r="C830" i="4" a="1"/>
  <c r="C830" i="4"/>
  <c r="C831" i="4" a="1"/>
  <c r="C831" i="4"/>
  <c r="C832" i="4" a="1"/>
  <c r="C832" i="4" s="1"/>
  <c r="C833" i="4" a="1"/>
  <c r="C833" i="4" s="1"/>
  <c r="C834" i="4" a="1"/>
  <c r="C834" i="4"/>
  <c r="C835" i="4" a="1"/>
  <c r="C835" i="4"/>
  <c r="C836" i="4" a="1"/>
  <c r="C836" i="4"/>
  <c r="C837" i="4" a="1"/>
  <c r="C837" i="4" s="1"/>
  <c r="C838" i="4" a="1"/>
  <c r="C838" i="4"/>
  <c r="C839" i="4" a="1"/>
  <c r="C839" i="4"/>
  <c r="C840" i="4" a="1"/>
  <c r="C840" i="4" s="1"/>
  <c r="C841" i="4" a="1"/>
  <c r="C841" i="4" s="1"/>
  <c r="C842" i="4" a="1"/>
  <c r="C842" i="4"/>
  <c r="C843" i="4" a="1"/>
  <c r="C843" i="4"/>
  <c r="C844" i="4" a="1"/>
  <c r="C844" i="4"/>
  <c r="C845" i="4" a="1"/>
  <c r="C845" i="4" s="1"/>
  <c r="C846" i="4" a="1"/>
  <c r="C846" i="4"/>
  <c r="C847" i="4" a="1"/>
  <c r="C847" i="4" s="1"/>
  <c r="C848" i="4" a="1"/>
  <c r="C848" i="4" s="1"/>
  <c r="C849" i="4" a="1"/>
  <c r="C849" i="4" s="1"/>
  <c r="C850" i="4" a="1"/>
  <c r="C850" i="4"/>
  <c r="C851" i="4" a="1"/>
  <c r="C851" i="4" s="1"/>
  <c r="C852" i="4" a="1"/>
  <c r="C852" i="4" s="1"/>
  <c r="C853" i="4" a="1"/>
  <c r="C853" i="4" s="1"/>
  <c r="C854" i="4" a="1"/>
  <c r="C854" i="4"/>
  <c r="C855" i="4" a="1"/>
  <c r="C855" i="4" s="1"/>
  <c r="C856" i="4" a="1"/>
  <c r="C856" i="4"/>
  <c r="C857" i="4" a="1"/>
  <c r="C857" i="4" s="1"/>
  <c r="C858" i="4" a="1"/>
  <c r="C858" i="4"/>
  <c r="C859" i="4" a="1"/>
  <c r="C859" i="4" s="1"/>
  <c r="C860" i="4" a="1"/>
  <c r="C860" i="4"/>
  <c r="C861" i="4" a="1"/>
  <c r="C861" i="4" s="1"/>
  <c r="C862" i="4" a="1"/>
  <c r="C862" i="4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/>
  <c r="C869" i="4" a="1"/>
  <c r="C869" i="4" s="1"/>
  <c r="C870" i="4" a="1"/>
  <c r="C870" i="4" s="1"/>
  <c r="C871" i="4" a="1"/>
  <c r="C871" i="4" s="1"/>
  <c r="C872" i="4" a="1"/>
  <c r="C872" i="4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/>
  <c r="C881" i="4" a="1"/>
  <c r="C881" i="4" s="1"/>
  <c r="C882" i="4" a="1"/>
  <c r="C882" i="4" s="1"/>
  <c r="C883" i="4" a="1"/>
  <c r="C883" i="4" s="1"/>
  <c r="C884" i="4" a="1"/>
  <c r="C884" i="4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/>
  <c r="C901" i="4" a="1"/>
  <c r="C901" i="4" s="1"/>
  <c r="C902" i="4" a="1"/>
  <c r="C902" i="4" s="1"/>
  <c r="C903" i="4" a="1"/>
  <c r="C903" i="4" s="1"/>
  <c r="C904" i="4" a="1"/>
  <c r="C904" i="4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/>
  <c r="C913" i="4" a="1"/>
  <c r="C913" i="4" s="1"/>
  <c r="C914" i="4" a="1"/>
  <c r="C914" i="4" s="1"/>
  <c r="C915" i="4" a="1"/>
  <c r="C915" i="4" s="1"/>
  <c r="C916" i="4" a="1"/>
  <c r="C916" i="4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/>
  <c r="C933" i="4" a="1"/>
  <c r="C933" i="4" s="1"/>
  <c r="C934" i="4" a="1"/>
  <c r="C934" i="4" s="1"/>
  <c r="C935" i="4" a="1"/>
  <c r="C935" i="4" s="1"/>
  <c r="C936" i="4" a="1"/>
  <c r="C936" i="4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/>
  <c r="C961" i="4" a="1"/>
  <c r="C961" i="4" s="1"/>
  <c r="C962" i="4" a="1"/>
  <c r="C962" i="4" s="1"/>
  <c r="C963" i="4" a="1"/>
  <c r="C963" i="4" s="1"/>
  <c r="C964" i="4" a="1"/>
  <c r="C964" i="4" s="1"/>
  <c r="C965" i="4" a="1"/>
  <c r="C965" i="4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/>
  <c r="C977" i="4" a="1"/>
  <c r="C977" i="4" s="1"/>
  <c r="C978" i="4" a="1"/>
  <c r="C978" i="4" s="1"/>
  <c r="C979" i="4" a="1"/>
  <c r="C979" i="4" s="1"/>
  <c r="C980" i="4" a="1"/>
  <c r="C980" i="4" s="1"/>
  <c r="C981" i="4" a="1"/>
  <c r="C981" i="4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/>
  <c r="C993" i="4" a="1"/>
  <c r="C993" i="4" s="1"/>
  <c r="C994" i="4" a="1"/>
  <c r="C994" i="4" s="1"/>
  <c r="C995" i="4" a="1"/>
  <c r="C995" i="4" s="1"/>
  <c r="C996" i="4" a="1"/>
  <c r="C996" i="4" s="1"/>
  <c r="C997" i="4" a="1"/>
  <c r="C997" i="4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/>
  <c r="C1021" i="4" a="1"/>
  <c r="C1021" i="4"/>
  <c r="C1022" i="4" a="1"/>
  <c r="C1022" i="4" s="1"/>
  <c r="C1023" i="4" a="1"/>
  <c r="C1023" i="4"/>
  <c r="C1024" i="4" a="1"/>
  <c r="C1024" i="4" s="1"/>
  <c r="C1025" i="4" a="1"/>
  <c r="C1025" i="4" s="1"/>
  <c r="C1026" i="4" a="1"/>
  <c r="C1026" i="4" s="1"/>
  <c r="C1027" i="4" a="1"/>
  <c r="C1027" i="4"/>
  <c r="C1028" i="4" a="1"/>
  <c r="C1028" i="4" s="1"/>
  <c r="C1029" i="4" a="1"/>
  <c r="C1029" i="4"/>
  <c r="C1030" i="4" a="1"/>
  <c r="C1030" i="4" s="1"/>
  <c r="C1031" i="4" a="1"/>
  <c r="C1031" i="4" s="1"/>
  <c r="C1032" i="4" a="1"/>
  <c r="C1032" i="4"/>
  <c r="C1033" i="4" a="1"/>
  <c r="C1033" i="4" s="1"/>
  <c r="C1034" i="4" a="1"/>
  <c r="C1034" i="4" s="1"/>
  <c r="C1035" i="4" a="1"/>
  <c r="C1035" i="4"/>
  <c r="C1036" i="4" a="1"/>
  <c r="C1036" i="4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/>
  <c r="C1042" i="4" a="1"/>
  <c r="C1042" i="4" s="1"/>
  <c r="C1043" i="4" a="1"/>
  <c r="C1043" i="4"/>
  <c r="C1044" i="4" a="1"/>
  <c r="C1044" i="4"/>
  <c r="C1045" i="4" a="1"/>
  <c r="C1045" i="4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/>
  <c r="C1053" i="4" a="1"/>
  <c r="C1053" i="4"/>
  <c r="C1054" i="4" a="1"/>
  <c r="C1054" i="4" s="1"/>
  <c r="C1055" i="4" a="1"/>
  <c r="C1055" i="4"/>
  <c r="C1056" i="4" a="1"/>
  <c r="C1056" i="4" s="1"/>
  <c r="C1057" i="4" a="1"/>
  <c r="C1057" i="4" s="1"/>
  <c r="C1058" i="4" a="1"/>
  <c r="C1058" i="4" s="1"/>
  <c r="C1059" i="4" a="1"/>
  <c r="C1059" i="4"/>
  <c r="C1060" i="4" a="1"/>
  <c r="C1060" i="4" s="1"/>
  <c r="C1061" i="4" a="1"/>
  <c r="C1061" i="4"/>
  <c r="C1062" i="4" a="1"/>
  <c r="C1062" i="4" s="1"/>
  <c r="C1063" i="4" a="1"/>
  <c r="C1063" i="4" s="1"/>
  <c r="C1064" i="4" a="1"/>
  <c r="C1064" i="4"/>
  <c r="C1065" i="4" a="1"/>
  <c r="C1065" i="4" s="1"/>
  <c r="C1066" i="4" a="1"/>
  <c r="C1066" i="4" s="1"/>
  <c r="C1067" i="4" a="1"/>
  <c r="C1067" i="4"/>
  <c r="C1068" i="4" a="1"/>
  <c r="C1068" i="4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/>
  <c r="C1074" i="4" a="1"/>
  <c r="C1074" i="4" s="1"/>
  <c r="C1075" i="4" a="1"/>
  <c r="C1075" i="4"/>
  <c r="C1076" i="4" a="1"/>
  <c r="C1076" i="4"/>
  <c r="C1077" i="4" a="1"/>
  <c r="C1077" i="4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/>
  <c r="C1085" i="4" a="1"/>
  <c r="C1085" i="4"/>
  <c r="C1086" i="4" a="1"/>
  <c r="C1086" i="4" s="1"/>
  <c r="C1087" i="4" a="1"/>
  <c r="C1087" i="4"/>
  <c r="C1088" i="4" a="1"/>
  <c r="C1088" i="4" s="1"/>
  <c r="C1089" i="4" a="1"/>
  <c r="C1089" i="4" s="1"/>
  <c r="C1090" i="4" a="1"/>
  <c r="C1090" i="4" s="1"/>
  <c r="C1091" i="4" a="1"/>
  <c r="C1091" i="4"/>
  <c r="C1092" i="4" a="1"/>
  <c r="C1092" i="4" s="1"/>
  <c r="C1093" i="4" a="1"/>
  <c r="C1093" i="4"/>
  <c r="C1094" i="4" a="1"/>
  <c r="C1094" i="4" s="1"/>
  <c r="C1095" i="4" a="1"/>
  <c r="C1095" i="4" s="1"/>
  <c r="C1096" i="4" a="1"/>
  <c r="C1096" i="4"/>
  <c r="C1097" i="4" a="1"/>
  <c r="C1097" i="4" s="1"/>
  <c r="C1098" i="4" a="1"/>
  <c r="C1098" i="4" s="1"/>
  <c r="C1099" i="4" a="1"/>
  <c r="C1099" i="4"/>
  <c r="C1100" i="4" a="1"/>
  <c r="C1100" i="4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/>
  <c r="C1106" i="4" a="1"/>
  <c r="C1106" i="4" s="1"/>
  <c r="C1107" i="4" a="1"/>
  <c r="C1107" i="4"/>
  <c r="C1108" i="4" a="1"/>
  <c r="C1108" i="4"/>
  <c r="C1109" i="4" a="1"/>
  <c r="C1109" i="4"/>
  <c r="C1110" i="4" a="1"/>
  <c r="C1110" i="4" s="1"/>
  <c r="C1111" i="4" a="1"/>
  <c r="C1111" i="4" s="1"/>
  <c r="C1112" i="4" a="1"/>
  <c r="C1112" i="4" s="1"/>
  <c r="C1113" i="4" a="1"/>
  <c r="C1113" i="4" s="1"/>
  <c r="C1114" i="4" a="1"/>
  <c r="C1114" i="4" s="1"/>
  <c r="C1115" i="4" a="1"/>
  <c r="C1115" i="4" s="1"/>
  <c r="C1116" i="4" a="1"/>
  <c r="C1116" i="4"/>
  <c r="C1117" i="4" a="1"/>
  <c r="C1117" i="4"/>
  <c r="C1118" i="4" a="1"/>
  <c r="C1118" i="4" s="1"/>
  <c r="C1119" i="4" a="1"/>
  <c r="C1119" i="4"/>
  <c r="C1120" i="4" a="1"/>
  <c r="C1120" i="4" s="1"/>
  <c r="C1121" i="4" a="1"/>
  <c r="C1121" i="4" s="1"/>
  <c r="C1122" i="4" a="1"/>
  <c r="C1122" i="4" s="1"/>
  <c r="C1123" i="4" a="1"/>
  <c r="C1123" i="4"/>
  <c r="C1124" i="4" a="1"/>
  <c r="C1124" i="4" s="1"/>
  <c r="C1125" i="4" a="1"/>
  <c r="C1125" i="4"/>
  <c r="C1126" i="4" a="1"/>
  <c r="C1126" i="4" s="1"/>
  <c r="C1127" i="4" a="1"/>
  <c r="C1127" i="4" s="1"/>
  <c r="C1128" i="4" a="1"/>
  <c r="C1128" i="4"/>
  <c r="C1129" i="4" a="1"/>
  <c r="C1129" i="4" s="1"/>
  <c r="C1130" i="4" a="1"/>
  <c r="C1130" i="4" s="1"/>
  <c r="C1131" i="4" a="1"/>
  <c r="C1131" i="4"/>
  <c r="C1132" i="4" a="1"/>
  <c r="C1132" i="4"/>
  <c r="C1133" i="4" a="1"/>
  <c r="C1133" i="4" s="1"/>
  <c r="C1134" i="4" a="1"/>
  <c r="C1134" i="4" s="1"/>
  <c r="C1135" i="4" a="1"/>
  <c r="C1135" i="4" s="1"/>
  <c r="C1136" i="4" a="1"/>
  <c r="C1136" i="4" s="1"/>
  <c r="C1137" i="4" a="1"/>
  <c r="C1137" i="4"/>
  <c r="C1138" i="4" a="1"/>
  <c r="C1138" i="4" s="1"/>
  <c r="C1139" i="4" a="1"/>
  <c r="C1139" i="4"/>
  <c r="C1140" i="4" a="1"/>
  <c r="C1140" i="4"/>
  <c r="C1141" i="4" a="1"/>
  <c r="C1141" i="4"/>
  <c r="C1142" i="4" a="1"/>
  <c r="C1142" i="4" s="1"/>
  <c r="C1143" i="4" a="1"/>
  <c r="C1143" i="4" s="1"/>
  <c r="C1144" i="4" a="1"/>
  <c r="C1144" i="4" s="1"/>
  <c r="C1145" i="4" a="1"/>
  <c r="C1145" i="4" s="1"/>
  <c r="C1146" i="4" a="1"/>
  <c r="C1146" i="4" s="1"/>
  <c r="C1147" i="4" a="1"/>
  <c r="C1147" i="4" s="1"/>
  <c r="C1148" i="4" a="1"/>
  <c r="C1148" i="4"/>
  <c r="C1149" i="4" a="1"/>
  <c r="C1149" i="4"/>
  <c r="C1150" i="4" a="1"/>
  <c r="C1150" i="4" s="1"/>
  <c r="C1151" i="4" a="1"/>
  <c r="C1151" i="4"/>
  <c r="C1152" i="4" a="1"/>
  <c r="C1152" i="4" s="1"/>
  <c r="C1153" i="4" a="1"/>
  <c r="C1153" i="4" s="1"/>
  <c r="C1154" i="4" a="1"/>
  <c r="C1154" i="4" s="1"/>
  <c r="C1155" i="4" a="1"/>
  <c r="C1155" i="4"/>
  <c r="C1156" i="4" a="1"/>
  <c r="C1156" i="4" s="1"/>
  <c r="C1157" i="4" a="1"/>
  <c r="C1157" i="4"/>
  <c r="C1158" i="4" a="1"/>
  <c r="C1158" i="4" s="1"/>
  <c r="C1159" i="4" a="1"/>
  <c r="C1159" i="4" s="1"/>
  <c r="C1160" i="4" a="1"/>
  <c r="C1160" i="4"/>
  <c r="C1161" i="4" a="1"/>
  <c r="C1161" i="4" s="1"/>
  <c r="C1162" i="4" a="1"/>
  <c r="C1162" i="4" s="1"/>
  <c r="C1163" i="4" a="1"/>
  <c r="C1163" i="4"/>
  <c r="C1164" i="4" a="1"/>
  <c r="C1164" i="4"/>
  <c r="C1165" i="4" a="1"/>
  <c r="C1165" i="4" s="1"/>
  <c r="C1166" i="4" a="1"/>
  <c r="C1166" i="4" s="1"/>
  <c r="C1167" i="4" a="1"/>
  <c r="C1167" i="4" s="1"/>
  <c r="C1168" i="4" a="1"/>
  <c r="C1168" i="4" s="1"/>
  <c r="C1169" i="4" a="1"/>
  <c r="C1169" i="4"/>
  <c r="C1170" i="4" a="1"/>
  <c r="C1170" i="4" s="1"/>
  <c r="C1171" i="4" a="1"/>
  <c r="C1171" i="4"/>
  <c r="C1172" i="4" a="1"/>
  <c r="C1172" i="4"/>
  <c r="C1173" i="4" a="1"/>
  <c r="C1173" i="4"/>
  <c r="C1174" i="4" a="1"/>
  <c r="C1174" i="4" s="1"/>
  <c r="C1175" i="4" a="1"/>
  <c r="C1175" i="4" s="1"/>
  <c r="C1176" i="4" a="1"/>
  <c r="C1176" i="4" s="1"/>
  <c r="C1177" i="4" a="1"/>
  <c r="C1177" i="4" s="1"/>
  <c r="C1178" i="4" a="1"/>
  <c r="C1178" i="4" s="1"/>
  <c r="C1179" i="4" a="1"/>
  <c r="C1179" i="4" s="1"/>
  <c r="C1180" i="4" a="1"/>
  <c r="C1180" i="4"/>
  <c r="C1181" i="4" a="1"/>
  <c r="C1181" i="4"/>
  <c r="C1182" i="4" a="1"/>
  <c r="C1182" i="4" s="1"/>
  <c r="C1183" i="4" a="1"/>
  <c r="C1183" i="4"/>
  <c r="C1184" i="4" a="1"/>
  <c r="C1184" i="4" s="1"/>
  <c r="C1185" i="4" a="1"/>
  <c r="C1185" i="4" s="1"/>
  <c r="C1186" i="4" a="1"/>
  <c r="C1186" i="4" s="1"/>
  <c r="C1187" i="4" a="1"/>
  <c r="C1187" i="4"/>
  <c r="C1188" i="4" a="1"/>
  <c r="C1188" i="4" s="1"/>
  <c r="C1189" i="4" a="1"/>
  <c r="C1189" i="4"/>
  <c r="C1190" i="4" a="1"/>
  <c r="C1190" i="4" s="1"/>
  <c r="C1191" i="4" a="1"/>
  <c r="C1191" i="4" s="1"/>
  <c r="C1192" i="4" a="1"/>
  <c r="C1192" i="4"/>
  <c r="C1193" i="4" a="1"/>
  <c r="C1193" i="4" s="1"/>
  <c r="C1194" i="4" a="1"/>
  <c r="C1194" i="4" s="1"/>
  <c r="C1195" i="4" a="1"/>
  <c r="C1195" i="4"/>
  <c r="C1196" i="4" a="1"/>
  <c r="C1196" i="4"/>
  <c r="C1197" i="4" a="1"/>
  <c r="C1197" i="4" s="1"/>
  <c r="C1198" i="4" a="1"/>
  <c r="C1198" i="4" s="1"/>
  <c r="C1199" i="4" a="1"/>
  <c r="C1199" i="4" s="1"/>
  <c r="C1200" i="4" a="1"/>
  <c r="C1200" i="4" s="1"/>
  <c r="C1201" i="4" a="1"/>
  <c r="C1201" i="4"/>
  <c r="C1202" i="4" a="1"/>
  <c r="C1202" i="4" s="1"/>
  <c r="C1203" i="4" a="1"/>
  <c r="C1203" i="4"/>
  <c r="C1204" i="4" a="1"/>
  <c r="C1204" i="4"/>
  <c r="C1205" i="4" a="1"/>
  <c r="C1205" i="4"/>
  <c r="C1206" i="4" a="1"/>
  <c r="C1206" i="4" s="1"/>
  <c r="C1207" i="4" a="1"/>
  <c r="C1207" i="4"/>
  <c r="C1208" i="4" a="1"/>
  <c r="C1208" i="4"/>
  <c r="C1209" i="4" a="1"/>
  <c r="C1209" i="4"/>
  <c r="C1210" i="4" a="1"/>
  <c r="C1210" i="4" s="1"/>
  <c r="C1211" i="4" a="1"/>
  <c r="C1211" i="4"/>
  <c r="C1212" i="4" a="1"/>
  <c r="C1212" i="4"/>
  <c r="C1213" i="4" a="1"/>
  <c r="C1213" i="4"/>
  <c r="C1214" i="4" a="1"/>
  <c r="C1214" i="4" s="1"/>
  <c r="C1215" i="4" a="1"/>
  <c r="C1215" i="4"/>
  <c r="C1216" i="4" a="1"/>
  <c r="C1216" i="4"/>
  <c r="C1217" i="4" a="1"/>
  <c r="C1217" i="4"/>
  <c r="C1218" i="4" a="1"/>
  <c r="C1218" i="4" s="1"/>
  <c r="C1219" i="4" a="1"/>
  <c r="C1219" i="4"/>
  <c r="C1220" i="4" a="1"/>
  <c r="C1220" i="4"/>
  <c r="C1221" i="4" a="1"/>
  <c r="C1221" i="4"/>
  <c r="C1222" i="4" a="1"/>
  <c r="C1222" i="4" s="1"/>
  <c r="C1223" i="4" a="1"/>
  <c r="C1223" i="4"/>
  <c r="C1224" i="4" a="1"/>
  <c r="C1224" i="4"/>
  <c r="C1225" i="4" a="1"/>
  <c r="C1225" i="4"/>
  <c r="C1226" i="4" a="1"/>
  <c r="C1226" i="4" s="1"/>
  <c r="C1227" i="4" a="1"/>
  <c r="C1227" i="4"/>
  <c r="C1228" i="4" a="1"/>
  <c r="C1228" i="4" s="1"/>
  <c r="C1229" i="4" a="1"/>
  <c r="C1229" i="4"/>
  <c r="C1230" i="4" a="1"/>
  <c r="C1230" i="4" s="1"/>
  <c r="C1231" i="4" a="1"/>
  <c r="C1231" i="4"/>
  <c r="C1232" i="4" a="1"/>
  <c r="C1232" i="4" s="1"/>
  <c r="C1233" i="4" a="1"/>
  <c r="C1233" i="4"/>
  <c r="C1234" i="4" a="1"/>
  <c r="C1234" i="4" s="1"/>
  <c r="C1235" i="4" a="1"/>
  <c r="C1235" i="4" s="1"/>
  <c r="C1236" i="4" a="1"/>
  <c r="C1236" i="4" s="1"/>
  <c r="C1237" i="4" a="1"/>
  <c r="C1237" i="4" s="1"/>
  <c r="C1238" i="4" a="1"/>
  <c r="C1238" i="4" s="1"/>
  <c r="C1239" i="4" a="1"/>
  <c r="C1239" i="4" s="1"/>
  <c r="C1240" i="4" a="1"/>
  <c r="C1240" i="4" s="1"/>
  <c r="C1241" i="4" a="1"/>
  <c r="C1241" i="4" s="1"/>
  <c r="C1242" i="4" a="1"/>
  <c r="C1242" i="4" s="1"/>
  <c r="C1243" i="4" a="1"/>
  <c r="C1243" i="4"/>
  <c r="C1244" i="4" a="1"/>
  <c r="C1244" i="4" s="1"/>
  <c r="C1245" i="4" a="1"/>
  <c r="C1245" i="4" s="1"/>
  <c r="C1246" i="4" a="1"/>
  <c r="C1246" i="4" s="1"/>
  <c r="C1247" i="4" a="1"/>
  <c r="C1247" i="4" s="1"/>
  <c r="C1248" i="4" a="1"/>
  <c r="C1248" i="4" s="1"/>
  <c r="C1249" i="4" a="1"/>
  <c r="C1249" i="4" s="1"/>
  <c r="C1250" i="4" a="1"/>
  <c r="C1250" i="4" s="1"/>
  <c r="C1251" i="4" a="1"/>
  <c r="C1251" i="4"/>
  <c r="C1252" i="4" a="1"/>
  <c r="C1252" i="4" s="1"/>
  <c r="C1253" i="4" a="1"/>
  <c r="C1253" i="4" s="1"/>
  <c r="C1254" i="4" a="1"/>
  <c r="C1254" i="4" s="1"/>
  <c r="C1255" i="4" a="1"/>
  <c r="C1255" i="4" s="1"/>
  <c r="C1256" i="4" a="1"/>
  <c r="C1256" i="4" s="1"/>
  <c r="C1257" i="4" a="1"/>
  <c r="C1257" i="4" s="1"/>
  <c r="C1258" i="4" a="1"/>
  <c r="C1258" i="4" s="1"/>
  <c r="C1259" i="4" a="1"/>
  <c r="C1259" i="4" s="1"/>
  <c r="C1260" i="4" a="1"/>
  <c r="C1260" i="4" s="1"/>
  <c r="C1261" i="4" a="1"/>
  <c r="C1261" i="4" s="1"/>
  <c r="C1262" i="4" a="1"/>
  <c r="C1262" i="4" s="1"/>
  <c r="C1263" i="4" a="1"/>
  <c r="C1263" i="4" s="1"/>
  <c r="C1264" i="4" a="1"/>
  <c r="C1264" i="4" s="1"/>
  <c r="C1265" i="4" a="1"/>
  <c r="C1265" i="4" s="1"/>
  <c r="C1266" i="4" a="1"/>
  <c r="C1266" i="4" s="1"/>
  <c r="C1267" i="4" a="1"/>
  <c r="C1267" i="4" s="1"/>
  <c r="C1268" i="4" a="1"/>
  <c r="C1268" i="4" s="1"/>
  <c r="C1269" i="4" a="1"/>
  <c r="C1269" i="4" s="1"/>
  <c r="C1270" i="4" a="1"/>
  <c r="C1270" i="4" s="1"/>
  <c r="C1271" i="4" a="1"/>
  <c r="C1271" i="4" s="1"/>
  <c r="C1272" i="4" a="1"/>
  <c r="C1272" i="4" s="1"/>
  <c r="C1273" i="4" a="1"/>
  <c r="C1273" i="4" s="1"/>
  <c r="C1274" i="4" a="1"/>
  <c r="C1274" i="4" s="1"/>
  <c r="C1275" i="4" a="1"/>
  <c r="C1275" i="4"/>
  <c r="C1276" i="4" a="1"/>
  <c r="C1276" i="4" s="1"/>
  <c r="C1277" i="4" a="1"/>
  <c r="C1277" i="4" s="1"/>
  <c r="C1278" i="4" a="1"/>
  <c r="C1278" i="4" s="1"/>
  <c r="C1279" i="4" a="1"/>
  <c r="C1279" i="4" s="1"/>
  <c r="C1280" i="4" a="1"/>
  <c r="C1280" i="4" s="1"/>
  <c r="C1281" i="4" a="1"/>
  <c r="C1281" i="4" s="1"/>
  <c r="C1282" i="4" a="1"/>
  <c r="C1282" i="4" s="1"/>
  <c r="C1283" i="4" a="1"/>
  <c r="C1283" i="4"/>
  <c r="C1284" i="4" a="1"/>
  <c r="C1284" i="4" s="1"/>
  <c r="C1285" i="4" a="1"/>
  <c r="C1285" i="4" s="1"/>
  <c r="C1286" i="4" a="1"/>
  <c r="C1286" i="4" s="1"/>
  <c r="C1287" i="4" a="1"/>
  <c r="C1287" i="4" s="1"/>
  <c r="C1288" i="4" a="1"/>
  <c r="C1288" i="4" s="1"/>
  <c r="C1289" i="4" a="1"/>
  <c r="C1289" i="4" s="1"/>
  <c r="C1290" i="4" a="1"/>
  <c r="C1290" i="4" s="1"/>
  <c r="C1291" i="4" a="1"/>
  <c r="C1291" i="4" s="1"/>
  <c r="C1292" i="4" a="1"/>
  <c r="C1292" i="4" s="1"/>
  <c r="C1293" i="4" a="1"/>
  <c r="C1293" i="4" s="1"/>
  <c r="C1294" i="4" a="1"/>
  <c r="C1294" i="4" s="1"/>
  <c r="C1295" i="4" a="1"/>
  <c r="C1295" i="4" s="1"/>
  <c r="C1296" i="4" a="1"/>
  <c r="C1296" i="4" s="1"/>
  <c r="C1297" i="4" a="1"/>
  <c r="C1297" i="4" s="1"/>
  <c r="C1298" i="4" a="1"/>
  <c r="C1298" i="4" s="1"/>
  <c r="C1299" i="4" a="1"/>
  <c r="C1299" i="4" s="1"/>
  <c r="C1300" i="4" a="1"/>
  <c r="C1300" i="4" s="1"/>
  <c r="C1301" i="4" a="1"/>
  <c r="C1301" i="4" s="1"/>
  <c r="C1302" i="4" a="1"/>
  <c r="C1302" i="4" s="1"/>
  <c r="C1303" i="4" a="1"/>
  <c r="C1303" i="4" s="1"/>
  <c r="C1304" i="4" a="1"/>
  <c r="C1304" i="4" s="1"/>
  <c r="C1305" i="4" a="1"/>
  <c r="C1305" i="4" s="1"/>
  <c r="C1306" i="4" a="1"/>
  <c r="C1306" i="4" s="1"/>
  <c r="C1307" i="4" a="1"/>
  <c r="C1307" i="4"/>
  <c r="C1308" i="4" a="1"/>
  <c r="C1308" i="4" s="1"/>
  <c r="C1309" i="4" a="1"/>
  <c r="C1309" i="4" s="1"/>
  <c r="C1310" i="4" a="1"/>
  <c r="C1310" i="4" s="1"/>
  <c r="C1311" i="4" a="1"/>
  <c r="C1311" i="4" s="1"/>
  <c r="C1312" i="4" a="1"/>
  <c r="C1312" i="4" s="1"/>
  <c r="C1313" i="4" a="1"/>
  <c r="C1313" i="4" s="1"/>
  <c r="C1314" i="4" a="1"/>
  <c r="C1314" i="4" s="1"/>
  <c r="C1315" i="4" a="1"/>
  <c r="C1315" i="4"/>
  <c r="C1316" i="4" a="1"/>
  <c r="C1316" i="4" s="1"/>
  <c r="C1317" i="4" a="1"/>
  <c r="C1317" i="4" s="1"/>
  <c r="C1318" i="4" a="1"/>
  <c r="C1318" i="4" s="1"/>
  <c r="C1319" i="4" a="1"/>
  <c r="C1319" i="4" s="1"/>
  <c r="C1320" i="4" a="1"/>
  <c r="C1320" i="4" s="1"/>
  <c r="C1321" i="4" a="1"/>
  <c r="C1321" i="4" s="1"/>
  <c r="C1322" i="4" a="1"/>
  <c r="C1322" i="4" s="1"/>
  <c r="C1323" i="4" a="1"/>
  <c r="C1323" i="4" s="1"/>
  <c r="C1324" i="4" a="1"/>
  <c r="C1324" i="4" s="1"/>
  <c r="C1325" i="4" a="1"/>
  <c r="C1325" i="4" s="1"/>
  <c r="C1326" i="4" a="1"/>
  <c r="C1326" i="4" s="1"/>
  <c r="C1327" i="4" a="1"/>
  <c r="C1327" i="4" s="1"/>
  <c r="C1328" i="4" a="1"/>
  <c r="C1328" i="4" s="1"/>
  <c r="C1329" i="4" a="1"/>
  <c r="C1329" i="4" s="1"/>
  <c r="C1330" i="4" a="1"/>
  <c r="C1330" i="4" s="1"/>
  <c r="C1331" i="4" a="1"/>
  <c r="C1331" i="4"/>
  <c r="C1332" i="4" a="1"/>
  <c r="C1332" i="4" s="1"/>
  <c r="C1333" i="4" a="1"/>
  <c r="C1333" i="4" s="1"/>
  <c r="C1334" i="4" a="1"/>
  <c r="C1334" i="4" s="1"/>
  <c r="C1335" i="4" a="1"/>
  <c r="C1335" i="4" s="1"/>
  <c r="C1336" i="4" a="1"/>
  <c r="C1336" i="4" s="1"/>
  <c r="C1337" i="4" a="1"/>
  <c r="C1337" i="4" s="1"/>
  <c r="C1338" i="4" a="1"/>
  <c r="C1338" i="4" s="1"/>
  <c r="C1339" i="4" a="1"/>
  <c r="C1339" i="4"/>
  <c r="C1340" i="4" a="1"/>
  <c r="C1340" i="4" s="1"/>
  <c r="C1341" i="4" a="1"/>
  <c r="C1341" i="4" s="1"/>
  <c r="C1342" i="4" a="1"/>
  <c r="C1342" i="4" s="1"/>
  <c r="C1343" i="4" a="1"/>
  <c r="C1343" i="4" s="1"/>
  <c r="C1344" i="4" a="1"/>
  <c r="C1344" i="4" s="1"/>
  <c r="C1345" i="4" a="1"/>
  <c r="C1345" i="4" s="1"/>
  <c r="C1346" i="4" a="1"/>
  <c r="C1346" i="4" s="1"/>
  <c r="C1347" i="4" a="1"/>
  <c r="C1347" i="4" s="1"/>
  <c r="C1348" i="4" a="1"/>
  <c r="C1348" i="4" s="1"/>
  <c r="C1349" i="4" a="1"/>
  <c r="C1349" i="4" s="1"/>
  <c r="C1350" i="4" a="1"/>
  <c r="C1350" i="4" s="1"/>
  <c r="C1351" i="4" a="1"/>
  <c r="C1351" i="4"/>
  <c r="C1352" i="4" a="1"/>
  <c r="C1352" i="4" s="1"/>
  <c r="C1353" i="4" a="1"/>
  <c r="C1353" i="4"/>
  <c r="C1354" i="4" a="1"/>
  <c r="C1354" i="4" s="1"/>
  <c r="C1355" i="4" a="1"/>
  <c r="C1355" i="4"/>
  <c r="C1356" i="4" a="1"/>
  <c r="C1356" i="4" s="1"/>
  <c r="C1357" i="4" a="1"/>
  <c r="C1357" i="4" s="1"/>
  <c r="C1358" i="4" a="1"/>
  <c r="C1358" i="4" s="1"/>
  <c r="C1359" i="4" a="1"/>
  <c r="C1359" i="4" s="1"/>
  <c r="C1360" i="4" a="1"/>
  <c r="C1360" i="4" s="1"/>
  <c r="C1361" i="4" a="1"/>
  <c r="C1361" i="4" s="1"/>
  <c r="C1362" i="4" a="1"/>
  <c r="C1362" i="4" s="1"/>
  <c r="C1363" i="4" a="1"/>
  <c r="C1363" i="4" s="1"/>
  <c r="C1364" i="4" a="1"/>
  <c r="C1364" i="4" s="1"/>
  <c r="C1365" i="4" a="1"/>
  <c r="C1365" i="4" s="1"/>
  <c r="C1366" i="4" a="1"/>
  <c r="C1366" i="4" s="1"/>
  <c r="C1367" i="4" a="1"/>
  <c r="C1367" i="4"/>
  <c r="C1368" i="4" a="1"/>
  <c r="C1368" i="4" s="1"/>
  <c r="C1369" i="4" a="1"/>
  <c r="C1369" i="4"/>
  <c r="C1370" i="4" a="1"/>
  <c r="C1370" i="4" s="1"/>
  <c r="C1371" i="4" a="1"/>
  <c r="C1371" i="4"/>
  <c r="C1372" i="4" a="1"/>
  <c r="C1372" i="4" s="1"/>
  <c r="C1373" i="4" a="1"/>
  <c r="C1373" i="4" s="1"/>
  <c r="C1374" i="4" a="1"/>
  <c r="C1374" i="4" s="1"/>
  <c r="C1375" i="4" a="1"/>
  <c r="C1375" i="4" s="1"/>
  <c r="C1376" i="4" a="1"/>
  <c r="C1376" i="4" s="1"/>
  <c r="C1377" i="4" a="1"/>
  <c r="C1377" i="4" s="1"/>
  <c r="C1378" i="4" a="1"/>
  <c r="C1378" i="4" s="1"/>
  <c r="C1379" i="4" a="1"/>
  <c r="C1379" i="4" s="1"/>
  <c r="C1380" i="4" a="1"/>
  <c r="C1380" i="4" s="1"/>
  <c r="C1381" i="4" a="1"/>
  <c r="C1381" i="4" s="1"/>
  <c r="C1382" i="4" a="1"/>
  <c r="C1382" i="4" s="1"/>
  <c r="C1383" i="4" a="1"/>
  <c r="C1383" i="4"/>
  <c r="C1384" i="4" a="1"/>
  <c r="C1384" i="4" s="1"/>
  <c r="C1385" i="4" a="1"/>
  <c r="C1385" i="4"/>
  <c r="C1386" i="4" a="1"/>
  <c r="C1386" i="4" s="1"/>
  <c r="C1387" i="4" a="1"/>
  <c r="C1387" i="4"/>
  <c r="C1388" i="4" a="1"/>
  <c r="C1388" i="4" s="1"/>
  <c r="C1389" i="4" a="1"/>
  <c r="C1389" i="4" s="1"/>
  <c r="C1390" i="4" a="1"/>
  <c r="C1390" i="4" s="1"/>
  <c r="C1391" i="4" a="1"/>
  <c r="C1391" i="4" s="1"/>
  <c r="C1392" i="4" a="1"/>
  <c r="C1392" i="4" s="1"/>
  <c r="C1393" i="4" a="1"/>
  <c r="C1393" i="4" s="1"/>
  <c r="C1394" i="4" a="1"/>
  <c r="C1394" i="4" s="1"/>
  <c r="C1395" i="4" a="1"/>
  <c r="C1395" i="4" s="1"/>
  <c r="C1396" i="4" a="1"/>
  <c r="C1396" i="4" s="1"/>
  <c r="C1397" i="4" a="1"/>
  <c r="C1397" i="4" s="1"/>
  <c r="C1398" i="4" a="1"/>
  <c r="C1398" i="4" s="1"/>
  <c r="C1399" i="4" a="1"/>
  <c r="C1399" i="4"/>
  <c r="C1400" i="4" a="1"/>
  <c r="C1400" i="4" s="1"/>
  <c r="C1401" i="4" a="1"/>
  <c r="C1401" i="4"/>
  <c r="C1402" i="4" a="1"/>
  <c r="C1402" i="4" s="1"/>
  <c r="C1403" i="4" a="1"/>
  <c r="C1403" i="4"/>
  <c r="C1404" i="4" a="1"/>
  <c r="C1404" i="4" s="1"/>
  <c r="C1405" i="4" a="1"/>
  <c r="C1405" i="4" s="1"/>
  <c r="C1406" i="4" a="1"/>
  <c r="C1406" i="4" s="1"/>
  <c r="C1407" i="4" a="1"/>
  <c r="C1407" i="4" s="1"/>
  <c r="C1408" i="4" a="1"/>
  <c r="C1408" i="4" s="1"/>
  <c r="C1409" i="4" a="1"/>
  <c r="C1409" i="4" s="1"/>
  <c r="C1410" i="4" a="1"/>
  <c r="C1410" i="4" s="1"/>
  <c r="C1411" i="4" a="1"/>
  <c r="C1411" i="4" s="1"/>
  <c r="C1412" i="4" a="1"/>
  <c r="C1412" i="4" s="1"/>
  <c r="C1413" i="4" a="1"/>
  <c r="C1413" i="4" s="1"/>
  <c r="C1414" i="4" a="1"/>
  <c r="C1414" i="4" s="1"/>
  <c r="C1415" i="4" a="1"/>
  <c r="C1415" i="4"/>
  <c r="C1416" i="4" a="1"/>
  <c r="C1416" i="4" s="1"/>
  <c r="C1417" i="4" a="1"/>
  <c r="C1417" i="4"/>
  <c r="C1418" i="4" a="1"/>
  <c r="C1418" i="4" s="1"/>
  <c r="C1419" i="4" a="1"/>
  <c r="C1419" i="4"/>
  <c r="C1420" i="4" a="1"/>
  <c r="C1420" i="4" s="1"/>
  <c r="C1421" i="4" a="1"/>
  <c r="C1421" i="4" s="1"/>
  <c r="C1422" i="4" a="1"/>
  <c r="C1422" i="4" s="1"/>
  <c r="C1423" i="4" a="1"/>
  <c r="C1423" i="4" s="1"/>
  <c r="C1424" i="4" a="1"/>
  <c r="C1424" i="4"/>
  <c r="C1425" i="4" a="1"/>
  <c r="C1425" i="4"/>
  <c r="C1426" i="4" a="1"/>
  <c r="C1426" i="4" s="1"/>
  <c r="C1427" i="4" a="1"/>
  <c r="C1427" i="4"/>
  <c r="C1428" i="4" a="1"/>
  <c r="C1428" i="4" s="1"/>
  <c r="C1429" i="4" a="1"/>
  <c r="C1429" i="4" s="1"/>
  <c r="C1430" i="4" a="1"/>
  <c r="C1430" i="4" s="1"/>
  <c r="C1431" i="4" a="1"/>
  <c r="C1431" i="4" s="1"/>
  <c r="C1432" i="4" a="1"/>
  <c r="C1432" i="4" s="1"/>
  <c r="C1433" i="4" a="1"/>
  <c r="C1433" i="4"/>
  <c r="C1434" i="4" a="1"/>
  <c r="C1434" i="4" s="1"/>
  <c r="C1435" i="4" a="1"/>
  <c r="C1435" i="4" s="1"/>
  <c r="C1436" i="4" a="1"/>
  <c r="C1436" i="4"/>
  <c r="C1437" i="4" a="1"/>
  <c r="C1437" i="4" s="1"/>
  <c r="C1438" i="4" a="1"/>
  <c r="C1438" i="4" s="1"/>
  <c r="C1439" i="4" a="1"/>
  <c r="C1439" i="4"/>
  <c r="C1440" i="4" a="1"/>
  <c r="C1440" i="4" s="1"/>
  <c r="C1441" i="4" a="1"/>
  <c r="C1441" i="4" s="1"/>
  <c r="C1442" i="4" a="1"/>
  <c r="C1442" i="4" s="1"/>
  <c r="C1443" i="4" a="1"/>
  <c r="C1443" i="4" s="1"/>
  <c r="C1444" i="4" a="1"/>
  <c r="C1444" i="4" s="1"/>
  <c r="C1445" i="4" a="1"/>
  <c r="C1445" i="4"/>
  <c r="C1446" i="4" a="1"/>
  <c r="C1446" i="4" s="1"/>
  <c r="C1447" i="4" a="1"/>
  <c r="C1447" i="4"/>
  <c r="C1448" i="4" a="1"/>
  <c r="C1448" i="4"/>
  <c r="C1449" i="4" a="1"/>
  <c r="C1449" i="4" s="1"/>
  <c r="C1450" i="4" a="1"/>
  <c r="C1450" i="4" s="1"/>
  <c r="C1451" i="4" a="1"/>
  <c r="C1451" i="4" s="1"/>
  <c r="C1452" i="4" a="1"/>
  <c r="C1452" i="4" s="1"/>
  <c r="C1453" i="4" a="1"/>
  <c r="C1453" i="4" s="1"/>
  <c r="C1454" i="4" a="1"/>
  <c r="C1454" i="4" s="1"/>
  <c r="C1455" i="4" a="1"/>
  <c r="C1455" i="4" s="1"/>
  <c r="C1456" i="4" a="1"/>
  <c r="C1456" i="4"/>
  <c r="C1457" i="4" a="1"/>
  <c r="C1457" i="4"/>
  <c r="C1458" i="4" a="1"/>
  <c r="C1458" i="4" s="1"/>
  <c r="C1459" i="4" a="1"/>
  <c r="C1459" i="4" s="1"/>
  <c r="C1460" i="4" a="1"/>
  <c r="C1460" i="4"/>
  <c r="C1461" i="4" a="1"/>
  <c r="C1461" i="4"/>
  <c r="C1462" i="4" a="1"/>
  <c r="C1462" i="4" s="1"/>
  <c r="C1463" i="4" a="1"/>
  <c r="C1463" i="4" s="1"/>
  <c r="C1464" i="4" a="1"/>
  <c r="C1464" i="4"/>
  <c r="C1465" i="4" a="1"/>
  <c r="C1465" i="4"/>
  <c r="C1466" i="4" a="1"/>
  <c r="C1466" i="4" s="1"/>
  <c r="C1467" i="4" a="1"/>
  <c r="C1467" i="4" s="1"/>
  <c r="C1468" i="4" a="1"/>
  <c r="C1468" i="4"/>
  <c r="C1469" i="4" a="1"/>
  <c r="C1469" i="4"/>
  <c r="C1470" i="4" a="1"/>
  <c r="C1470" i="4" s="1"/>
  <c r="C1471" i="4" a="1"/>
  <c r="C1471" i="4" s="1"/>
  <c r="C1472" i="4" a="1"/>
  <c r="C1472" i="4"/>
  <c r="C1473" i="4" a="1"/>
  <c r="C1473" i="4"/>
  <c r="C1474" i="4" a="1"/>
  <c r="C1474" i="4" s="1"/>
  <c r="C1475" i="4" a="1"/>
  <c r="C1475" i="4" s="1"/>
  <c r="C1476" i="4" a="1"/>
  <c r="C1476" i="4"/>
  <c r="C1477" i="4" a="1"/>
  <c r="C1477" i="4"/>
  <c r="C1478" i="4" a="1"/>
  <c r="C1478" i="4" s="1"/>
  <c r="C1479" i="4" a="1"/>
  <c r="C1479" i="4" s="1"/>
  <c r="C1480" i="4" a="1"/>
  <c r="C1480" i="4"/>
  <c r="C1481" i="4" a="1"/>
  <c r="C1481" i="4"/>
  <c r="C1482" i="4" a="1"/>
  <c r="C1482" i="4" s="1"/>
  <c r="C1483" i="4" a="1"/>
  <c r="C1483" i="4" s="1"/>
  <c r="C1484" i="4" a="1"/>
  <c r="C1484" i="4"/>
  <c r="C1485" i="4" a="1"/>
  <c r="C1485" i="4"/>
  <c r="C1486" i="4" a="1"/>
  <c r="C1486" i="4" s="1"/>
  <c r="C1487" i="4" a="1"/>
  <c r="C1487" i="4" s="1"/>
  <c r="C1488" i="4" a="1"/>
  <c r="C1488" i="4"/>
  <c r="C1489" i="4" a="1"/>
  <c r="C1489" i="4"/>
  <c r="C1490" i="4" a="1"/>
  <c r="C1490" i="4" s="1"/>
  <c r="C1491" i="4" a="1"/>
  <c r="C1491" i="4" s="1"/>
  <c r="C1492" i="4" a="1"/>
  <c r="C1492" i="4"/>
  <c r="C1493" i="4" a="1"/>
  <c r="C1493" i="4"/>
  <c r="C1494" i="4" a="1"/>
  <c r="C1494" i="4" s="1"/>
  <c r="C1495" i="4" a="1"/>
  <c r="C1495" i="4" s="1"/>
  <c r="C1496" i="4" a="1"/>
  <c r="C1496" i="4"/>
  <c r="C1497" i="4" a="1"/>
  <c r="C1497" i="4"/>
  <c r="C1498" i="4" a="1"/>
  <c r="C1498" i="4" s="1"/>
  <c r="C1499" i="4" a="1"/>
  <c r="C1499" i="4" s="1"/>
  <c r="C1500" i="4" a="1"/>
  <c r="C1500" i="4"/>
  <c r="C1501" i="4" a="1"/>
  <c r="C1501" i="4"/>
  <c r="C1502" i="4" a="1"/>
  <c r="C1502" i="4" s="1"/>
  <c r="C1503" i="4" a="1"/>
  <c r="C1503" i="4" s="1"/>
  <c r="C1504" i="4" a="1"/>
  <c r="C1504" i="4"/>
  <c r="C1505" i="4" a="1"/>
  <c r="C1505" i="4"/>
  <c r="C1506" i="4" a="1"/>
  <c r="C1506" i="4" s="1"/>
  <c r="C1507" i="4" a="1"/>
  <c r="C1507" i="4" s="1"/>
  <c r="C1508" i="4" a="1"/>
  <c r="C1508" i="4"/>
  <c r="C1509" i="4" a="1"/>
  <c r="C1509" i="4"/>
  <c r="C1510" i="4" a="1"/>
  <c r="C1510" i="4" s="1"/>
  <c r="C1511" i="4" a="1"/>
  <c r="C1511" i="4" s="1"/>
  <c r="C1512" i="4" a="1"/>
  <c r="C1512" i="4" s="1"/>
  <c r="C1513" i="4" a="1"/>
  <c r="C1513" i="4"/>
  <c r="C1514" i="4" a="1"/>
  <c r="C1514" i="4" s="1"/>
  <c r="C1515" i="4" a="1"/>
  <c r="C1515" i="4" s="1"/>
  <c r="C1516" i="4" a="1"/>
  <c r="C1516" i="4" s="1"/>
  <c r="C1517" i="4" a="1"/>
  <c r="C1517" i="4"/>
  <c r="C1518" i="4" a="1"/>
  <c r="C1518" i="4" s="1"/>
  <c r="C1519" i="4" a="1"/>
  <c r="C1519" i="4" s="1"/>
  <c r="C1520" i="4" a="1"/>
  <c r="C1520" i="4" s="1"/>
  <c r="C1521" i="4" a="1"/>
  <c r="C1521" i="4"/>
  <c r="C1522" i="4" a="1"/>
  <c r="C1522" i="4" s="1"/>
  <c r="C1523" i="4" a="1"/>
  <c r="C1523" i="4" s="1"/>
  <c r="C1524" i="4" a="1"/>
  <c r="C1524" i="4" s="1"/>
  <c r="A4" i="4"/>
  <c r="A5" i="4" s="1"/>
  <c r="A6" i="4" s="1"/>
  <c r="A7" i="4" s="1"/>
  <c r="A8" i="4" s="1"/>
  <c r="A9" i="4" s="1"/>
  <c r="A10" i="4" s="1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3" i="4"/>
  <c r="G3" i="4" a="1"/>
  <c r="G3" i="4" s="1"/>
  <c r="I3" i="4" a="1"/>
  <c r="I3" i="4" s="1"/>
  <c r="E3" i="4"/>
  <c r="H810" i="4" l="1"/>
  <c r="H511" i="4"/>
  <c r="H1356" i="4"/>
  <c r="H74" i="4"/>
  <c r="H1331" i="4"/>
  <c r="H1392" i="4"/>
  <c r="H768" i="4"/>
  <c r="H192" i="4"/>
  <c r="H85" i="4"/>
  <c r="H1444" i="4"/>
  <c r="H776" i="4"/>
  <c r="H532" i="4"/>
  <c r="H138" i="4"/>
  <c r="H1147" i="4"/>
  <c r="H1064" i="4"/>
  <c r="H976" i="4"/>
  <c r="H347" i="4"/>
  <c r="H276" i="4"/>
  <c r="H268" i="4"/>
  <c r="H126" i="4"/>
  <c r="H110" i="4"/>
  <c r="H1460" i="4"/>
  <c r="H1251" i="4"/>
  <c r="H1235" i="4"/>
  <c r="H1155" i="4"/>
  <c r="H146" i="4"/>
  <c r="H952" i="4"/>
  <c r="H760" i="4"/>
  <c r="H752" i="4"/>
  <c r="H1440" i="4"/>
  <c r="H1259" i="4"/>
  <c r="H1219" i="4"/>
  <c r="H1088" i="4"/>
  <c r="H1072" i="4"/>
  <c r="H1048" i="4"/>
  <c r="H904" i="4"/>
  <c r="H792" i="4"/>
  <c r="H784" i="4"/>
  <c r="H778" i="4"/>
  <c r="H762" i="4"/>
  <c r="H754" i="4"/>
  <c r="H236" i="4"/>
  <c r="H66" i="4"/>
  <c r="H34" i="4"/>
  <c r="H1456" i="4"/>
  <c r="H1299" i="4"/>
  <c r="H856" i="4"/>
  <c r="H848" i="4"/>
  <c r="H840" i="4"/>
  <c r="H832" i="4"/>
  <c r="H824" i="4"/>
  <c r="H816" i="4"/>
  <c r="H808" i="4"/>
  <c r="H800" i="4"/>
  <c r="H794" i="4"/>
  <c r="H786" i="4"/>
  <c r="H523" i="4"/>
  <c r="H370" i="4"/>
  <c r="H142" i="4"/>
  <c r="H1484" i="4"/>
  <c r="H1468" i="4"/>
  <c r="H1508" i="4"/>
  <c r="H1480" i="4"/>
  <c r="H1315" i="4"/>
  <c r="H1123" i="4"/>
  <c r="H82" i="4"/>
  <c r="H42" i="4"/>
  <c r="H1096" i="4"/>
  <c r="H535" i="4"/>
  <c r="H525" i="4"/>
  <c r="H300" i="4"/>
  <c r="H50" i="4"/>
  <c r="H1476" i="4"/>
  <c r="H1464" i="4"/>
  <c r="H1408" i="4"/>
  <c r="H1396" i="4"/>
  <c r="H1360" i="4"/>
  <c r="H1283" i="4"/>
  <c r="H1275" i="4"/>
  <c r="H1139" i="4"/>
  <c r="H1080" i="4"/>
  <c r="H1056" i="4"/>
  <c r="H1040" i="4"/>
  <c r="H1032" i="4"/>
  <c r="H984" i="4"/>
  <c r="H355" i="4"/>
  <c r="H292" i="4"/>
  <c r="H244" i="4"/>
  <c r="H170" i="4"/>
  <c r="H10" i="4"/>
  <c r="H1389" i="4"/>
  <c r="H1454" i="4"/>
  <c r="H1437" i="4"/>
  <c r="H1490" i="4"/>
  <c r="H1474" i="4"/>
  <c r="H1421" i="4"/>
  <c r="H1414" i="4"/>
  <c r="H1394" i="4"/>
  <c r="H1334" i="4"/>
  <c r="H1462" i="4"/>
  <c r="H1358" i="4"/>
  <c r="H1382" i="4"/>
  <c r="H1362" i="4"/>
  <c r="H1354" i="4"/>
  <c r="H1517" i="4"/>
  <c r="H1486" i="4"/>
  <c r="H1470" i="4"/>
  <c r="H1313" i="4"/>
  <c r="H1317" i="4"/>
  <c r="H1262" i="4"/>
  <c r="H1254" i="4"/>
  <c r="H1238" i="4"/>
  <c r="H1222" i="4"/>
  <c r="H1181" i="4"/>
  <c r="H1157" i="4"/>
  <c r="H1310" i="4"/>
  <c r="H1214" i="4"/>
  <c r="H1198" i="4"/>
  <c r="H1302" i="4"/>
  <c r="H1294" i="4"/>
  <c r="H1221" i="4"/>
  <c r="H1293" i="4"/>
  <c r="H1190" i="4"/>
  <c r="H1125" i="4"/>
  <c r="H1113" i="4"/>
  <c r="H1082" i="4"/>
  <c r="H1006" i="4"/>
  <c r="H986" i="4"/>
  <c r="H946" i="4"/>
  <c r="H923" i="4"/>
  <c r="H974" i="4"/>
  <c r="H1022" i="4"/>
  <c r="H1014" i="4"/>
  <c r="H950" i="4"/>
  <c r="H1074" i="4"/>
  <c r="H1070" i="4"/>
  <c r="H1050" i="4"/>
  <c r="H1046" i="4"/>
  <c r="H909" i="4"/>
  <c r="H906" i="4"/>
  <c r="H770" i="4"/>
  <c r="H746" i="4"/>
  <c r="H738" i="4"/>
  <c r="H730" i="4"/>
  <c r="H892" i="4"/>
  <c r="H885" i="4"/>
  <c r="H882" i="4"/>
  <c r="H908" i="4"/>
  <c r="H868" i="4"/>
  <c r="H884" i="4"/>
  <c r="H874" i="4"/>
  <c r="H796" i="4"/>
  <c r="H788" i="4"/>
  <c r="H900" i="4"/>
  <c r="H893" i="4"/>
  <c r="H890" i="4"/>
  <c r="H576" i="4"/>
  <c r="H573" i="4"/>
  <c r="H691" i="4"/>
  <c r="H639" i="4"/>
  <c r="H701" i="4"/>
  <c r="H696" i="4"/>
  <c r="H683" i="4"/>
  <c r="H629" i="4"/>
  <c r="H712" i="4"/>
  <c r="H714" i="4"/>
  <c r="H685" i="4"/>
  <c r="H680" i="4"/>
  <c r="H664" i="4"/>
  <c r="H661" i="4"/>
  <c r="H613" i="4"/>
  <c r="H687" i="4"/>
  <c r="H677" i="4"/>
  <c r="H672" i="4"/>
  <c r="H655" i="4"/>
  <c r="H647" i="4"/>
  <c r="H711" i="4"/>
  <c r="H679" i="4"/>
  <c r="H669" i="4"/>
  <c r="H663" i="4"/>
  <c r="H615" i="4"/>
  <c r="H557" i="4"/>
  <c r="H542" i="4"/>
  <c r="H528" i="4"/>
  <c r="H508" i="4"/>
  <c r="H501" i="4"/>
  <c r="H485" i="4"/>
  <c r="H407" i="4"/>
  <c r="H397" i="4"/>
  <c r="H537" i="4"/>
  <c r="H520" i="4"/>
  <c r="H517" i="4"/>
  <c r="H471" i="4"/>
  <c r="H430" i="4"/>
  <c r="H375" i="4"/>
  <c r="H479" i="4"/>
  <c r="H396" i="4"/>
  <c r="H380" i="4"/>
  <c r="H389" i="4"/>
  <c r="H545" i="4"/>
  <c r="H487" i="4"/>
  <c r="H478" i="4"/>
  <c r="H457" i="4"/>
  <c r="H447" i="4"/>
  <c r="H423" i="4"/>
  <c r="H463" i="4"/>
  <c r="H521" i="4"/>
  <c r="H437" i="4"/>
  <c r="H505" i="4"/>
  <c r="H489" i="4"/>
  <c r="H462" i="4"/>
  <c r="H449" i="4"/>
  <c r="H445" i="4"/>
  <c r="H431" i="4"/>
  <c r="H425" i="4"/>
  <c r="H421" i="4"/>
  <c r="H382" i="4"/>
  <c r="H358" i="4"/>
  <c r="H344" i="4"/>
  <c r="H212" i="4"/>
  <c r="H357" i="4"/>
  <c r="H341" i="4"/>
  <c r="H309" i="4"/>
  <c r="H302" i="4"/>
  <c r="H246" i="4"/>
  <c r="H328" i="4"/>
  <c r="H254" i="4"/>
  <c r="H345" i="4"/>
  <c r="H325" i="4"/>
  <c r="H313" i="4"/>
  <c r="H360" i="4"/>
  <c r="H320" i="4"/>
  <c r="H305" i="4"/>
  <c r="H278" i="4"/>
  <c r="H273" i="4"/>
  <c r="H230" i="4"/>
  <c r="H342" i="4"/>
  <c r="H310" i="4"/>
  <c r="H183" i="4"/>
  <c r="H152" i="4"/>
  <c r="H143" i="4"/>
  <c r="H104" i="4"/>
  <c r="H23" i="4"/>
  <c r="H180" i="4"/>
  <c r="H160" i="4"/>
  <c r="H148" i="4"/>
  <c r="H140" i="4"/>
  <c r="H116" i="4"/>
  <c r="H172" i="4"/>
  <c r="H151" i="4"/>
  <c r="H103" i="4"/>
  <c r="H22" i="4"/>
  <c r="H15" i="4"/>
  <c r="H164" i="4"/>
  <c r="H159" i="4"/>
  <c r="H52" i="4"/>
  <c r="H127" i="4"/>
  <c r="H95" i="4"/>
  <c r="H72" i="4"/>
  <c r="H68" i="4"/>
  <c r="H63" i="4"/>
  <c r="H47" i="4"/>
  <c r="H39" i="4"/>
  <c r="H29" i="4"/>
  <c r="H3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69" i="2"/>
  <c r="C69" i="2"/>
  <c r="B68" i="2" l="1"/>
  <c r="C68" i="2"/>
  <c r="B67" i="2"/>
  <c r="C67" i="2"/>
  <c r="B66" i="2" l="1"/>
  <c r="C66" i="2"/>
  <c r="B65" i="2"/>
  <c r="C65" i="2"/>
  <c r="B64" i="2"/>
  <c r="C64" i="2"/>
  <c r="B63" i="2"/>
  <c r="C63" i="2"/>
  <c r="B62" i="2"/>
  <c r="C62" i="2"/>
  <c r="B61" i="2"/>
  <c r="C61" i="2"/>
  <c r="B60" i="2"/>
  <c r="C60" i="2"/>
  <c r="B59" i="2"/>
  <c r="C59" i="2"/>
  <c r="I2" i="4" a="1"/>
  <c r="I2" i="4" s="1"/>
  <c r="B58" i="2" l="1"/>
  <c r="C58" i="2"/>
  <c r="Q12" i="10" l="1"/>
  <c r="C10" i="6"/>
  <c r="C12" i="10"/>
  <c r="J12" i="10"/>
  <c r="J14" i="10"/>
  <c r="Q14" i="10"/>
  <c r="B2" i="2" l="1"/>
  <c r="C2" i="2"/>
  <c r="K70" i="2"/>
  <c r="Q70" i="2"/>
  <c r="C14" i="10"/>
  <c r="D11" i="10" a="1"/>
  <c r="D11" i="10" s="1"/>
  <c r="C12" i="6"/>
  <c r="B4" i="2"/>
  <c r="C4" i="2"/>
  <c r="B11" i="2"/>
  <c r="C11" i="2"/>
  <c r="B27" i="2"/>
  <c r="C27" i="2"/>
  <c r="B28" i="2"/>
  <c r="C28" i="2"/>
  <c r="B3" i="7" l="1"/>
  <c r="G2" i="4" a="1"/>
  <c r="G2" i="4" s="1"/>
  <c r="E2" i="4"/>
  <c r="B47" i="2"/>
  <c r="C47" i="2"/>
  <c r="B46" i="2"/>
  <c r="C46" i="2"/>
  <c r="B43" i="2"/>
  <c r="C43" i="2"/>
  <c r="B41" i="2"/>
  <c r="C41" i="2"/>
  <c r="B36" i="2"/>
  <c r="C36" i="2"/>
  <c r="B24" i="2"/>
  <c r="C24" i="2"/>
  <c r="B22" i="2"/>
  <c r="C22" i="2"/>
  <c r="B17" i="2"/>
  <c r="C17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5" i="2"/>
  <c r="C15" i="2"/>
  <c r="B16" i="2"/>
  <c r="C16" i="2"/>
  <c r="B14" i="2"/>
  <c r="C14" i="2"/>
  <c r="B18" i="2"/>
  <c r="C18" i="2"/>
  <c r="B19" i="2"/>
  <c r="C19" i="2"/>
  <c r="B20" i="2"/>
  <c r="C20" i="2"/>
  <c r="B21" i="2"/>
  <c r="C21" i="2"/>
  <c r="B23" i="2"/>
  <c r="C23" i="2"/>
  <c r="B25" i="2"/>
  <c r="C25" i="2"/>
  <c r="B26" i="2"/>
  <c r="C26" i="2"/>
  <c r="B29" i="2"/>
  <c r="C29" i="2"/>
  <c r="B30" i="2"/>
  <c r="C30" i="2"/>
  <c r="B31" i="2"/>
  <c r="C31" i="2"/>
  <c r="B33" i="2"/>
  <c r="C33" i="2"/>
  <c r="B32" i="2"/>
  <c r="C32" i="2"/>
  <c r="B34" i="2"/>
  <c r="C34" i="2"/>
  <c r="B35" i="2"/>
  <c r="C35" i="2"/>
  <c r="B37" i="2"/>
  <c r="C37" i="2"/>
  <c r="B38" i="2"/>
  <c r="C38" i="2"/>
  <c r="B39" i="2"/>
  <c r="C39" i="2"/>
  <c r="B40" i="2"/>
  <c r="C40" i="2"/>
  <c r="B42" i="2"/>
  <c r="C42" i="2"/>
  <c r="B44" i="2"/>
  <c r="C44" i="2"/>
  <c r="B45" i="2"/>
  <c r="C45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H2" i="4" l="1"/>
  <c r="D9" i="6" a="1"/>
  <c r="D9" i="6" s="1"/>
  <c r="C3" i="2"/>
  <c r="A69" i="2" s="1" a="1"/>
  <c r="A69" i="2" s="1"/>
  <c r="B3" i="2"/>
  <c r="B3" i="1"/>
  <c r="A67" i="2" l="1" a="1"/>
  <c r="A67" i="2" s="1"/>
  <c r="A68" i="2" a="1"/>
  <c r="A68" i="2" s="1"/>
  <c r="A64" i="2" a="1"/>
  <c r="A64" i="2" s="1"/>
  <c r="A65" i="2" a="1"/>
  <c r="A65" i="2" s="1"/>
  <c r="A63" i="2" a="1"/>
  <c r="A63" i="2" s="1"/>
  <c r="A61" i="2" a="1"/>
  <c r="A61" i="2" s="1"/>
  <c r="A62" i="2" a="1"/>
  <c r="A62" i="2" s="1"/>
  <c r="A59" i="2" a="1"/>
  <c r="A59" i="2" s="1"/>
  <c r="A60" i="2" a="1"/>
  <c r="A60" i="2" s="1"/>
  <c r="A4" i="2" a="1"/>
  <c r="A4" i="2" s="1"/>
  <c r="A58" i="2" a="1"/>
  <c r="A58" i="2" s="1"/>
  <c r="A2" i="2" a="1"/>
  <c r="A2" i="2" s="1"/>
  <c r="A27" i="2" a="1"/>
  <c r="A27" i="2" s="1"/>
  <c r="A11" i="2" a="1"/>
  <c r="A11" i="2" s="1"/>
  <c r="A28" i="2" a="1"/>
  <c r="A28" i="2" s="1"/>
  <c r="A46" i="2" a="1"/>
  <c r="A46" i="2" s="1"/>
  <c r="A43" i="2" a="1"/>
  <c r="A43" i="2" s="1"/>
  <c r="A41" i="2" a="1"/>
  <c r="A41" i="2" s="1"/>
  <c r="A22" i="2" a="1"/>
  <c r="A22" i="2" s="1"/>
  <c r="A17" i="2" a="1"/>
  <c r="A17" i="2" s="1"/>
  <c r="A54" i="2" a="1"/>
  <c r="A54" i="2" s="1"/>
  <c r="A34" i="2" a="1"/>
  <c r="A34" i="2" s="1"/>
  <c r="A7" i="2" a="1"/>
  <c r="A7" i="2" s="1"/>
  <c r="A40" i="2" a="1"/>
  <c r="A40" i="2" s="1"/>
  <c r="A15" i="2" a="1"/>
  <c r="A15" i="2" s="1"/>
  <c r="A33" i="2" a="1"/>
  <c r="A33" i="2" s="1"/>
  <c r="A53" i="2" a="1"/>
  <c r="A53" i="2" s="1"/>
  <c r="A39" i="2" a="1"/>
  <c r="A39" i="2" s="1"/>
  <c r="A20" i="2" a="1"/>
  <c r="A20" i="2" s="1"/>
  <c r="A31" i="2" a="1"/>
  <c r="A31" i="2" s="1"/>
  <c r="A3" i="2" a="1"/>
  <c r="A3" i="2" s="1"/>
  <c r="A6" i="2" a="1"/>
  <c r="A6" i="2" s="1"/>
  <c r="A16" i="2" a="1"/>
  <c r="A16" i="2" s="1"/>
  <c r="A13" i="2" a="1"/>
  <c r="A13" i="2" s="1"/>
  <c r="A50" i="2" a="1"/>
  <c r="A50" i="2" s="1"/>
  <c r="A51" i="2" a="1"/>
  <c r="A51" i="2" s="1"/>
  <c r="A37" i="2" a="1"/>
  <c r="A37" i="2" s="1"/>
  <c r="A9" i="2" a="1"/>
  <c r="A9" i="2" s="1"/>
  <c r="A12" i="2" a="1"/>
  <c r="A12" i="2" s="1"/>
  <c r="A5" i="2" a="1"/>
  <c r="A5" i="2" s="1"/>
  <c r="A21" i="2" a="1"/>
  <c r="A21" i="2" s="1"/>
  <c r="A38" i="2" a="1"/>
  <c r="A38" i="2" s="1"/>
  <c r="A23" i="2" a="1"/>
  <c r="A23" i="2" s="1"/>
  <c r="A14" i="2" a="1"/>
  <c r="A14" i="2" s="1"/>
  <c r="A57" i="2" a="1"/>
  <c r="A57" i="2" s="1"/>
  <c r="A52" i="2" a="1"/>
  <c r="A52" i="2" s="1"/>
  <c r="A8" i="2" a="1"/>
  <c r="A8" i="2" s="1"/>
  <c r="A44" i="2" a="1"/>
  <c r="A44" i="2" s="1"/>
  <c r="A26" i="2" a="1"/>
  <c r="A26" i="2" s="1"/>
  <c r="A48" i="2" a="1"/>
  <c r="A48" i="2" s="1"/>
  <c r="A19" i="2" a="1"/>
  <c r="A19" i="2" s="1"/>
  <c r="A10" i="2" a="1"/>
  <c r="A10" i="2" s="1"/>
  <c r="A45" i="2" a="1"/>
  <c r="A45" i="2" s="1"/>
  <c r="A18" i="2" a="1"/>
  <c r="A18" i="2" s="1"/>
  <c r="A42" i="2" a="1"/>
  <c r="A42" i="2" s="1"/>
  <c r="A49" i="2" a="1"/>
  <c r="A49" i="2" s="1"/>
  <c r="F44" i="10" l="1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F17" i="10" l="1"/>
  <c r="H1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<sst xmlns="http://schemas.openxmlformats.org/spreadsheetml/2006/main" count="4858" uniqueCount="597">
  <si>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</si>
  <si>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</si>
  <si>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</si>
  <si>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</si>
  <si>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</si>
  <si>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</si>
  <si>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</si>
  <si>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</si>
  <si>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</si>
  <si>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</si>
  <si>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</si>
  <si>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</si>
  <si>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</si>
  <si>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</si>
  <si>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</si>
  <si>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</si>
  <si>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</si>
  <si>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</si>
  <si>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</si>
  <si>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</si>
  <si>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</si>
  <si>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</si>
  <si>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</si>
  <si>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</si>
  <si>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</si>
  <si>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</si>
  <si>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</si>
  <si>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</si>
  <si>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</si>
  <si>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</si>
  <si>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</si>
  <si>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</si>
  <si>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</si>
  <si>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</si>
  <si>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</si>
  <si>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</si>
  <si>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</si>
  <si>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</si>
  <si>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</si>
  <si>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</si>
  <si>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</si>
  <si>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</si>
  <si>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</si>
  <si>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</si>
  <si>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</si>
  <si>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</si>
  <si>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</si>
  <si>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</si>
  <si>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</si>
  <si>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</si>
  <si>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</si>
  <si>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</si>
  <si>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</si>
  <si>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</si>
  <si>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</si>
  <si>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</si>
  <si>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</si>
  <si>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</si>
  <si>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</si>
  <si>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</si>
  <si>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</si>
  <si>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</si>
  <si>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</si>
  <si>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</si>
  <si>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</si>
  <si>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</si>
  <si>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</si>
  <si>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</si>
  <si>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</si>
  <si>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</si>
  <si>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</si>
  <si>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</si>
  <si>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</si>
  <si>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</si>
  <si>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</si>
  <si>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</si>
  <si>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</si>
  <si>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</si>
  <si>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</si>
  <si>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</si>
  <si>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</si>
  <si>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</si>
  <si>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</si>
  <si>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</si>
  <si>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</si>
  <si>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</si>
  <si>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</si>
  <si>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</si>
  <si>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</si>
  <si>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</si>
  <si>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</si>
  <si>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</si>
  <si>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</si>
  <si>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</si>
  <si>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</si>
  <si>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</si>
  <si>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</si>
  <si>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</si>
  <si>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</si>
  <si>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</si>
  <si>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</si>
  <si>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</si>
  <si>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</si>
  <si>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</si>
  <si>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</si>
  <si>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</si>
  <si>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</si>
  <si>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</si>
  <si>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</si>
  <si>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</si>
  <si>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</si>
  <si>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</si>
  <si>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</si>
  <si>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</si>
  <si>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</si>
  <si>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</si>
  <si>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</si>
  <si>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</si>
  <si>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</si>
  <si>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</si>
  <si>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</si>
  <si>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</si>
  <si>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</si>
  <si>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</si>
  <si>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</si>
  <si>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</si>
  <si>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</si>
  <si>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</si>
  <si>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</si>
  <si>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</si>
  <si>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</si>
  <si>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</si>
  <si>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</si>
  <si>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</si>
  <si>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</si>
  <si>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</si>
  <si>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</si>
  <si>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</si>
  <si>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</si>
  <si>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</si>
  <si>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</si>
  <si>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</si>
  <si>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</si>
  <si>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</si>
  <si>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</si>
  <si>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</si>
  <si>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</si>
  <si>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</si>
  <si>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</si>
  <si>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</si>
  <si>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</si>
  <si>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</si>
  <si>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</si>
  <si>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</si>
  <si>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</si>
  <si>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</si>
  <si>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</si>
  <si>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</si>
  <si>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</si>
  <si>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OMON02</t>
  </si>
  <si>
    <t>Andrew Ondiek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</si>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</sst>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0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2" fillId="0" borderId="0" xfId="0" applyFont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22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02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78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02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921"/>
    <tableColumn id="2" xr3:uid="{43BB71A2-E6F2-4CE4-AE18-8BD00925E6D9}" uniqueName="2" name="Description" queryTableFieldId="2" dataDxfId="9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0" tableType="queryTable" totalsRowShown="0">
  <autoFilter ref="A1:F140" xr:uid="{5B1884B8-AB9D-4973-9C66-44799A18F258}"/>
  <tableColumns count="6">
    <tableColumn id="1" xr3:uid="{2A5E4FA9-3DA5-4ADB-AD56-EE941032C3AE}" uniqueName="1" name="PersonID" queryTableFieldId="1" dataDxfId="919"/>
    <tableColumn id="2" xr3:uid="{0AE1DA94-9B3E-4A2A-A584-430750AA0D69}" uniqueName="2" name="RoleGroup" queryTableFieldId="2" dataDxfId="918"/>
    <tableColumn id="3" xr3:uid="{C28C2683-0703-421A-90E4-F86898C64FA3}" uniqueName="3" name="Department" queryTableFieldId="3" dataDxfId="917"/>
    <tableColumn id="4" xr3:uid="{D42C5916-21D2-4630-8493-B1AB249AD2FB}" uniqueName="4" name="Position" queryTableFieldId="4" dataDxfId="916"/>
    <tableColumn id="5" xr3:uid="{2FED33C5-7A9D-44AE-8EC3-D818FE7548A2}" uniqueName="5" name="ActiveRole" queryTableFieldId="5" dataDxfId="915"/>
    <tableColumn id="6" xr3:uid="{8EDBBD79-E99A-4A8E-8E90-A51C0431A208}" uniqueName="6" name="Notes" queryTableFieldId="6" dataDxfId="9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9" tableType="queryTable" totalsRowShown="0">
  <autoFilter ref="A1:E19" xr:uid="{9A2BC80A-E6F2-4533-8230-6DAD96D5B415}"/>
  <tableColumns count="5">
    <tableColumn id="1" xr3:uid="{A8CAE534-9801-49F1-9965-BCA0C8B74608}" uniqueName="1" name="CourseID" queryTableFieldId="1" dataDxfId="913"/>
    <tableColumn id="2" xr3:uid="{A93C2614-DE65-423E-8B6A-C78FD084327F}" uniqueName="2" name="RoleGroup" queryTableFieldId="2" dataDxfId="912"/>
    <tableColumn id="3" xr3:uid="{C4719D58-DE2D-4CC2-B31D-8BEA44607DE7}" uniqueName="3" name="Required" queryTableFieldId="3" dataDxfId="911"/>
    <tableColumn id="4" xr3:uid="{05D066EE-55C3-4931-8E53-3D3934EE877D}" uniqueName="4" name="RequirementType" queryTableFieldId="4" dataDxfId="910"/>
    <tableColumn id="5" xr3:uid="{D8E2989A-0A17-410E-8583-666D54D6FFB9}" uniqueName="5" name="Notes" queryTableFieldId="5" dataDxfId="90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24" totalsRowShown="0" headerRowDxfId="908" dataDxfId="907">
  <autoFilter ref="A1:I1524" xr:uid="{00000000-0009-0000-0100-000003000000}"/>
  <sortState xmlns:xlrd2="http://schemas.microsoft.com/office/spreadsheetml/2017/richdata2" ref="A155:I481">
    <sortCondition descending="1" ref="B1:B481"/>
  </sortState>
  <tableColumns count="9">
    <tableColumn id="1" xr3:uid="{00000000-0010-0000-0200-000001000000}" name="RecordID" dataDxfId="906"/>
    <tableColumn id="2" xr3:uid="{00000000-0010-0000-0200-000002000000}" name="PersonID" dataDxfId="905"/>
    <tableColumn id="3" xr3:uid="{00000000-0010-0000-0200-000003000000}" name="PersonName" dataDxfId="904">
      <calculatedColumnFormula array="1">IFERROR(_xlfn.XLOOKUP(B2, tblPeople[PersonID], tblPeople[PersonName], ""), "")</calculatedColumnFormula>
    </tableColumn>
    <tableColumn id="4" xr3:uid="{00000000-0010-0000-0200-000004000000}" name="CourseID" dataDxfId="903"/>
    <tableColumn id="5" xr3:uid="{00000000-0010-0000-0200-000005000000}" name="CourseName" dataDxfId="902">
      <calculatedColumnFormula>IFERROR(_xlfn.XLOOKUP(D2, tblCourses[CourseID], tblCourses[CourseName], ""), "")</calculatedColumnFormula>
    </tableColumn>
    <tableColumn id="6" xr3:uid="{00000000-0010-0000-0200-000006000000}" name="LastTrainingDate" dataDxfId="901"/>
    <tableColumn id="7" xr3:uid="{00000000-0010-0000-0200-000007000000}" name="NextDueDate" dataDxfId="900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899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898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897" dataDxfId="896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895"/>
    <tableColumn id="2" xr3:uid="{00000000-0010-0000-0100-000002000000}" name="CourseName" dataDxfId="894"/>
    <tableColumn id="3" xr3:uid="{00000000-0010-0000-0100-000003000000}" name="FrequencyMonths" dataDxfId="893"/>
    <tableColumn id="8" xr3:uid="{85C8B97C-CB4F-437F-8EF6-014AD0590CDE}" name="Status" dataDxfId="892"/>
    <tableColumn id="4" xr3:uid="{00000000-0010-0000-0100-000004000000}" name="Category" dataDxfId="891"/>
    <tableColumn id="5" xr3:uid="{6D04830F-25A1-4D7E-9602-90657C90689D}" name="Mandatory" dataDxfId="890"/>
    <tableColumn id="6" xr3:uid="{9ADC52D5-5932-4F73-AF03-134D7420305C}" name="Scope" dataDxfId="889"/>
    <tableColumn id="7" xr3:uid="{9AF27F68-F150-448A-8B02-41597DFB7F9E}" name="Reference" dataDxfId="88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0" totalsRowCount="1">
  <autoFilter ref="A1:U69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57">
    <sortCondition ref="A1:A57"/>
  </sortState>
  <tableColumns count="21">
    <tableColumn id="1" xr3:uid="{00000000-0010-0000-0000-000001000000}" name="PersonID" totalsRowLabel="Total" totalsRowDxfId="887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886">
      <calculatedColumnFormula>UPPER(_xlfn.TEXTBEFORE(TRIM(tblPeople[[#This Row],[PersonName]])," "))</calculatedColumnFormula>
    </tableColumn>
    <tableColumn id="4" xr3:uid="{22533DA1-3CA1-4FEF-A4D6-1F780A763236}" name="LASTNAME" totalsRowDxfId="885">
      <calculatedColumnFormula>UPPER(_xlfn.TEXTAFTER(TRIM(tblPeople[[#This Row],[PersonName]])," ",-1))</calculatedColumnFormula>
    </tableColumn>
    <tableColumn id="2" xr3:uid="{00000000-0010-0000-0000-000002000000}" name="PersonName" totalsRowDxfId="884"/>
    <tableColumn id="14" xr3:uid="{3A3C4761-244E-47E3-8E0F-F1E46DCF5866}" name="nid" totalsRowDxfId="883"/>
    <tableColumn id="19" xr3:uid="{012CCA51-5B31-4D45-BF9C-2E017196DA7F}" name="Category (Reg. 2013)" totalsRowDxfId="882"/>
    <tableColumn id="22" xr3:uid="{E0445A59-2A2F-4FB2-8D33-DB43A45FE65E}" name="Category (Reg. 2018)" totalsRowDxfId="881"/>
    <tableColumn id="6" xr3:uid="{65E7640A-B903-4305-8CC4-7EDB36AE96FA}" name="KAMEL NO:" totalsRowDxfId="880"/>
    <tableColumn id="8" xr3:uid="{D61B88A6-407C-4BEA-B938-B1AE227DFF72}" name="Internal Certification Stamp No:" totalsRowDxfId="879"/>
    <tableColumn id="15" xr3:uid="{731CF534-2384-488D-A287-CF74A128880C}" name="initial_auth" totalsRowDxfId="878"/>
    <tableColumn id="3" xr3:uid="{00000000-0010-0000-0000-000003000000}" name="Department" totalsRowFunction="count" totalsRowDxfId="877"/>
    <tableColumn id="7" xr3:uid="{F3BB923C-951C-4608-AA54-DB6D6A7E79F9}" name="Position" totalsRowDxfId="876"/>
    <tableColumn id="10" xr3:uid="{4FB522C2-6781-424B-9E84-858D180058C3}" name="PhoneNumber" totalsRowDxfId="875"/>
    <tableColumn id="11" xr3:uid="{E8AD3610-948F-4F90-B6A9-6ED1810CD6C4}" name="Email" totalsRowDxfId="874"/>
    <tableColumn id="9" xr3:uid="{AAF7EBE2-D684-4045-A015-7D5938FC6D52}" name="HireDate" totalsRowDxfId="873" dataCellStyle="Hyperlink"/>
    <tableColumn id="13" xr3:uid="{6E1A399D-7A7E-41BC-B207-48BBE6B02B54}" name="Employment_Status" totalsRowDxfId="872"/>
    <tableColumn id="12" xr3:uid="{6C86945D-1315-45CC-A5DE-8B13EEAA1662}" name="Status" totalsRowFunction="count" totalsRowDxfId="871"/>
    <tableColumn id="16" xr3:uid="{3790BCE2-4687-400D-9FE8-DECEC6D502E2}" name="DOB" totalsRowDxfId="870"/>
    <tableColumn id="17" xr3:uid="{51A24586-2DBE-442F-AC20-CF3C4D48F34F}" name="birthplace" totalsRowDxfId="869"/>
    <tableColumn id="20" xr3:uid="{F193997D-36AC-4BDE-85DB-D861DB35C1BE}" name="E-AMEL" totalsRowDxfId="868"/>
    <tableColumn id="21" xr3:uid="{8BCE804D-5FDD-4D78-97DA-00EFA7E2893A}" name="G-AMEL" totalsRowDxfId="86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patrickmusau34@gmail.com" TargetMode="External"/><Relationship Id="rId21" Type="http://schemas.openxmlformats.org/officeDocument/2006/relationships/hyperlink" Target="mailto:mongaret21@gmail.com" TargetMode="External"/><Relationship Id="rId34" Type="http://schemas.openxmlformats.org/officeDocument/2006/relationships/hyperlink" Target="mailto:mikenjihia@gmail.com" TargetMode="External"/><Relationship Id="rId42" Type="http://schemas.openxmlformats.org/officeDocument/2006/relationships/hyperlink" Target="mailto:reubenotieno69@gmail.com" TargetMode="External"/><Relationship Id="rId47" Type="http://schemas.openxmlformats.org/officeDocument/2006/relationships/hyperlink" Target="mailto:wachophoenix23@gmail.com" TargetMode="External"/><Relationship Id="rId50" Type="http://schemas.openxmlformats.org/officeDocument/2006/relationships/hyperlink" Target="mailto:aumajudy6@gmail.com" TargetMode="External"/><Relationship Id="rId55" Type="http://schemas.openxmlformats.org/officeDocument/2006/relationships/hyperlink" Target="mailto:wamaithaprudence35@gmail.com" TargetMode="External"/><Relationship Id="rId63" Type="http://schemas.openxmlformats.org/officeDocument/2006/relationships/hyperlink" Target="mailto:briyankingsman@gmail.com" TargetMode="External"/><Relationship Id="rId68" Type="http://schemas.openxmlformats.org/officeDocument/2006/relationships/table" Target="../tables/table6.xml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erungukdun@gmail.com" TargetMode="External"/><Relationship Id="rId29" Type="http://schemas.openxmlformats.org/officeDocument/2006/relationships/hyperlink" Target="mailto:philmwania@yahoo.com" TargetMode="External"/><Relationship Id="rId11" Type="http://schemas.openxmlformats.org/officeDocument/2006/relationships/hyperlink" Target="mailto:educhemtips@gmail.com" TargetMode="External"/><Relationship Id="rId24" Type="http://schemas.openxmlformats.org/officeDocument/2006/relationships/hyperlink" Target="mailto:johnmuriithi86@gmail.com" TargetMode="External"/><Relationship Id="rId32" Type="http://schemas.openxmlformats.org/officeDocument/2006/relationships/hyperlink" Target="mailto:paulmzera73@gmail.com" TargetMode="External"/><Relationship Id="rId37" Type="http://schemas.openxmlformats.org/officeDocument/2006/relationships/hyperlink" Target="mailto:romyisaac99@gmail.com" TargetMode="External"/><Relationship Id="rId40" Type="http://schemas.openxmlformats.org/officeDocument/2006/relationships/hyperlink" Target="mailto:omondif507@gmail.com" TargetMode="External"/><Relationship Id="rId45" Type="http://schemas.openxmlformats.org/officeDocument/2006/relationships/hyperlink" Target="mailto:titusshunza@gmail.com" TargetMode="External"/><Relationship Id="rId53" Type="http://schemas.openxmlformats.org/officeDocument/2006/relationships/hyperlink" Target="mailto:bruceayuku@gmail.com" TargetMode="External"/><Relationship Id="rId58" Type="http://schemas.openxmlformats.org/officeDocument/2006/relationships/hyperlink" Target="mailto:ericmwanje4@gmail.com" TargetMode="External"/><Relationship Id="rId66" Type="http://schemas.openxmlformats.org/officeDocument/2006/relationships/hyperlink" Target="mailto:muigairobert57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bwkimiti@gmail.com" TargetMode="External"/><Relationship Id="rId19" Type="http://schemas.openxmlformats.org/officeDocument/2006/relationships/hyperlink" Target="mailto:jameskarobia90@gmail.com" TargetMode="External"/><Relationship Id="rId14" Type="http://schemas.openxmlformats.org/officeDocument/2006/relationships/hyperlink" Target="mailto:johnkinyanjui658@gmail.com" TargetMode="External"/><Relationship Id="rId22" Type="http://schemas.openxmlformats.org/officeDocument/2006/relationships/hyperlink" Target="mailto:jmuembu@gmail.com" TargetMode="External"/><Relationship Id="rId27" Type="http://schemas.openxmlformats.org/officeDocument/2006/relationships/hyperlink" Target="mailto:stephen.mutambu15@gmail.com" TargetMode="External"/><Relationship Id="rId30" Type="http://schemas.openxmlformats.org/officeDocument/2006/relationships/hyperlink" Target="mailto:patrick_njoroge002@yahoo.com" TargetMode="External"/><Relationship Id="rId35" Type="http://schemas.openxmlformats.org/officeDocument/2006/relationships/hyperlink" Target="mailto:angelinembithe18@gmail.com" TargetMode="External"/><Relationship Id="rId43" Type="http://schemas.openxmlformats.org/officeDocument/2006/relationships/hyperlink" Target="mailto:munganiapeter11@gmail.com" TargetMode="External"/><Relationship Id="rId48" Type="http://schemas.openxmlformats.org/officeDocument/2006/relationships/hyperlink" Target="mailto:twaneal@gmail.com" TargetMode="External"/><Relationship Id="rId56" Type="http://schemas.openxmlformats.org/officeDocument/2006/relationships/hyperlink" Target="mailto:chelagatsit89@gmail.com" TargetMode="External"/><Relationship Id="rId64" Type="http://schemas.openxmlformats.org/officeDocument/2006/relationships/hyperlink" Target="mailto:fmmutonga@gmail.com" TargetMode="Externa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maukadorine5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kibetanui021@gmail.com" TargetMode="External"/><Relationship Id="rId17" Type="http://schemas.openxmlformats.org/officeDocument/2006/relationships/hyperlink" Target="mailto:fredmagotsi@gmail.com" TargetMode="External"/><Relationship Id="rId25" Type="http://schemas.openxmlformats.org/officeDocument/2006/relationships/hyperlink" Target="mailto:mmuriukifrancis@yahoo.com" TargetMode="External"/><Relationship Id="rId33" Type="http://schemas.openxmlformats.org/officeDocument/2006/relationships/hyperlink" Target="mailto:kendrakabeyeka@gmail.com" TargetMode="External"/><Relationship Id="rId38" Type="http://schemas.openxmlformats.org/officeDocument/2006/relationships/hyperlink" Target="mailto:odhiambos28@gmail.com" TargetMode="External"/><Relationship Id="rId46" Type="http://schemas.openxmlformats.org/officeDocument/2006/relationships/hyperlink" Target="mailto:stephentunje98@gmail.com" TargetMode="External"/><Relationship Id="rId59" Type="http://schemas.openxmlformats.org/officeDocument/2006/relationships/hyperlink" Target="mailto:maingipye573@gmail.com" TargetMode="External"/><Relationship Id="rId67" Type="http://schemas.openxmlformats.org/officeDocument/2006/relationships/printerSettings" Target="../printerSettings/printerSettings6.bin"/><Relationship Id="rId20" Type="http://schemas.openxmlformats.org/officeDocument/2006/relationships/hyperlink" Target="mailto:ibnmajah17@gmail.com" TargetMode="External"/><Relationship Id="rId41" Type="http://schemas.openxmlformats.org/officeDocument/2006/relationships/hyperlink" Target="mailto:andrewondi@yahoo.com" TargetMode="External"/><Relationship Id="rId54" Type="http://schemas.openxmlformats.org/officeDocument/2006/relationships/hyperlink" Target="mailto:venessasusani@gmail.com" TargetMode="External"/><Relationship Id="rId62" Type="http://schemas.openxmlformats.org/officeDocument/2006/relationships/hyperlink" Target="mailto:dickmzungu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chrispuskingori14@gmail.com" TargetMode="External"/><Relationship Id="rId23" Type="http://schemas.openxmlformats.org/officeDocument/2006/relationships/hyperlink" Target="mailto:mbuvi2008@yahoo.com" TargetMode="External"/><Relationship Id="rId28" Type="http://schemas.openxmlformats.org/officeDocument/2006/relationships/hyperlink" Target="mailto:musyokamosh@gmail.com" TargetMode="External"/><Relationship Id="rId36" Type="http://schemas.openxmlformats.org/officeDocument/2006/relationships/hyperlink" Target="mailto:nyawirajulius@gmail.com" TargetMode="External"/><Relationship Id="rId49" Type="http://schemas.openxmlformats.org/officeDocument/2006/relationships/hyperlink" Target="mailto:annewambui48@gmail.com" TargetMode="External"/><Relationship Id="rId57" Type="http://schemas.openxmlformats.org/officeDocument/2006/relationships/hyperlink" Target="mailto:alfredgiggs@gmail.com" TargetMode="External"/><Relationship Id="rId10" Type="http://schemas.openxmlformats.org/officeDocument/2006/relationships/hyperlink" Target="mailto:ezzykare@yahoo.co.uk" TargetMode="External"/><Relationship Id="rId31" Type="http://schemas.openxmlformats.org/officeDocument/2006/relationships/hyperlink" Target="mailto:gideonmwasio@gmail.com" TargetMode="External"/><Relationship Id="rId44" Type="http://schemas.openxmlformats.org/officeDocument/2006/relationships/hyperlink" Target="mailto:sawesydney@gmail.com" TargetMode="External"/><Relationship Id="rId52" Type="http://schemas.openxmlformats.org/officeDocument/2006/relationships/hyperlink" Target="mailto:muisyo.james@protonmail.com" TargetMode="External"/><Relationship Id="rId60" Type="http://schemas.openxmlformats.org/officeDocument/2006/relationships/hyperlink" Target="mailto:martinchege44@gmail.com" TargetMode="External"/><Relationship Id="rId65" Type="http://schemas.openxmlformats.org/officeDocument/2006/relationships/hyperlink" Target="mailto:brianbrifams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benard.kibiwot123@gmail.com" TargetMode="External"/><Relationship Id="rId18" Type="http://schemas.openxmlformats.org/officeDocument/2006/relationships/hyperlink" Target="mailto:williamwashigadi@gmail.com" TargetMode="External"/><Relationship Id="rId39" Type="http://schemas.openxmlformats.org/officeDocument/2006/relationships/hyperlink" Target="mailto:mikeolunga366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46286</v>
      </c>
    </row>
    <row r="5" spans="1:4" x14ac:dyDescent="0.25">
      <c r="A5" s="1" t="s">
        <v>4</v>
      </c>
    </row>
    <row r="6" spans="1:4" x14ac:dyDescent="0.25">
      <c r="A6" s="118" t="s">
        <v>5</v>
      </c>
      <c r="B6" s="118"/>
      <c r="C6" s="118"/>
      <c r="D6" s="118"/>
    </row>
    <row r="7" spans="1:4" x14ac:dyDescent="0.25">
      <c r="A7" s="118"/>
      <c r="B7" s="118"/>
      <c r="C7" s="118"/>
      <c r="D7" s="118"/>
    </row>
    <row r="8" spans="1:4" x14ac:dyDescent="0.25">
      <c r="A8" s="118"/>
      <c r="B8" s="118"/>
      <c r="C8" s="118"/>
      <c r="D8" s="118"/>
    </row>
    <row r="9" spans="1:4" x14ac:dyDescent="0.25">
      <c r="A9" s="118"/>
      <c r="B9" s="118"/>
      <c r="C9" s="118"/>
      <c r="D9" s="118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opLeftCell="A5" zoomScale="90" zoomScaleNormal="90" zoomScaleSheetLayoutView="150" workbookViewId="0">
      <selection activeCell="B11" sqref="B11"/>
    </sheetView>
  </sheetViews>
  <sheetFormatPr defaultRowHeight="15" x14ac:dyDescent="0.25"/>
  <cols>
    <col min="1" max="1" width="5.7109375" customWidth="1"/>
    <col min="2" max="2" width="17" bestFit="1" customWidth="1"/>
    <col min="3" max="3" width="58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514</v>
      </c>
    </row>
    <row r="2" spans="1:8" ht="18.75" x14ac:dyDescent="0.3">
      <c r="B2" s="3" t="s">
        <v>8</v>
      </c>
      <c r="C2" s="11" t="s">
        <v>592</v>
      </c>
    </row>
    <row r="3" spans="1:8" ht="18.75" x14ac:dyDescent="0.3">
      <c r="B3" s="3" t="s">
        <v>574</v>
      </c>
      <c r="C3" s="11" t="s">
        <v>517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5" t="str" cm="1">
        <f t="array" aca="1" ref="B7:G34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5" t="str">
        <f ca="1"/>
        <v>DHC-8-400 Series with PWC 150A Engines (Refresher)</v>
      </c>
      <c r="D7" s="137">
        <f ca="1"/>
        <v>42173</v>
      </c>
      <c r="E7" s="137">
        <f ca="1"/>
        <v>42904</v>
      </c>
      <c r="F7" s="138">
        <f ca="1"/>
        <v>-3382</v>
      </c>
      <c r="G7" s="139" t="str">
        <f ca="1"/>
        <v>Overdue</v>
      </c>
      <c r="H7" s="28"/>
    </row>
    <row r="8" spans="1:8" ht="25.5" x14ac:dyDescent="0.25">
      <c r="A8" s="7"/>
      <c r="B8" s="135" t="str">
        <f ca="1"/>
        <v>Alfred Okudo</v>
      </c>
      <c r="C8" s="135" t="str">
        <f ca="1"/>
        <v>Pratt &amp; Whitney Canada PT6A Engine With P&amp;WC PT6A
20/ 27/ 41/ 42/ 60A/ 67D/ 112/ 114A/ 140 (Refresher)</v>
      </c>
      <c r="D8" s="137">
        <f ca="1"/>
        <v>42661</v>
      </c>
      <c r="E8" s="137">
        <f ca="1"/>
        <v>43391</v>
      </c>
      <c r="F8" s="138">
        <f ca="1"/>
        <v>-2895</v>
      </c>
      <c r="G8" s="139" t="str">
        <f ca="1"/>
        <v>Overdue</v>
      </c>
      <c r="H8" s="7"/>
    </row>
    <row r="9" spans="1:8" ht="25.5" x14ac:dyDescent="0.25">
      <c r="A9" s="7"/>
      <c r="B9" s="135" t="str">
        <f ca="1"/>
        <v>Julius Nyawira</v>
      </c>
      <c r="C9" s="135" t="str">
        <f ca="1"/>
        <v>DHC-8 100/200/300 with PWC 120/120A/121/123B/C/D/E Series Engines(Refresher)</v>
      </c>
      <c r="D9" s="137">
        <f ca="1"/>
        <v>43655</v>
      </c>
      <c r="E9" s="137">
        <f ca="1"/>
        <v>44386</v>
      </c>
      <c r="F9" s="138">
        <f ca="1"/>
        <v>-1900</v>
      </c>
      <c r="G9" s="139" t="str">
        <f ca="1"/>
        <v>Overdue</v>
      </c>
      <c r="H9" s="7"/>
    </row>
    <row r="10" spans="1:8" ht="25.5" x14ac:dyDescent="0.25">
      <c r="A10" s="7"/>
      <c r="B10" s="135" t="str">
        <f ca="1"/>
        <v>Julius Nyawira</v>
      </c>
      <c r="C10" s="135" t="str">
        <f ca="1"/>
        <v>Pratt &amp; Whitney Canada PT6A Engine With P&amp;WC PT6A
20/ 27/ 41/ 42/ 60A/ 67D/ 112/ 114A/ 140 (Refresher)</v>
      </c>
      <c r="D10" s="137">
        <f ca="1"/>
        <v>43655</v>
      </c>
      <c r="E10" s="137">
        <f ca="1"/>
        <v>44386</v>
      </c>
      <c r="F10" s="138">
        <f ca="1"/>
        <v>-1900</v>
      </c>
      <c r="G10" s="139" t="str">
        <f ca="1"/>
        <v>Overdue</v>
      </c>
      <c r="H10" s="7"/>
    </row>
    <row r="11" spans="1:8" ht="25.5" x14ac:dyDescent="0.25">
      <c r="A11" s="7"/>
      <c r="B11" s="135" t="str">
        <f ca="1"/>
        <v>Thomas Wambunya</v>
      </c>
      <c r="C11" s="135" t="str">
        <f ca="1"/>
        <v>DHC-8 100/200/300 with PWC 120/120A/121/123B/C/D/E Series Engines(Refresher)</v>
      </c>
      <c r="D11" s="137">
        <f ca="1"/>
        <v>43777</v>
      </c>
      <c r="E11" s="137">
        <f ca="1"/>
        <v>44508</v>
      </c>
      <c r="F11" s="138">
        <f ca="1"/>
        <v>-1778</v>
      </c>
      <c r="G11" s="139" t="str">
        <f ca="1"/>
        <v>Overdue</v>
      </c>
      <c r="H11" s="7"/>
    </row>
    <row r="12" spans="1:8" x14ac:dyDescent="0.25">
      <c r="A12" s="7"/>
      <c r="B12" s="135" t="str">
        <f ca="1"/>
        <v>Thomas Wambunya</v>
      </c>
      <c r="C12" s="135" t="str">
        <f ca="1"/>
        <v>First Aid Training (Refresher)</v>
      </c>
      <c r="D12" s="137">
        <f ca="1"/>
        <v>43707</v>
      </c>
      <c r="E12" s="137">
        <f ca="1"/>
        <v>44803</v>
      </c>
      <c r="F12" s="138">
        <f ca="1"/>
        <v>-1483</v>
      </c>
      <c r="G12" s="139" t="str">
        <f ca="1"/>
        <v>Overdue</v>
      </c>
      <c r="H12" s="7"/>
    </row>
    <row r="13" spans="1:8" x14ac:dyDescent="0.25">
      <c r="A13" s="7"/>
      <c r="B13" s="135" t="str">
        <f ca="1"/>
        <v>Julius Nyawira</v>
      </c>
      <c r="C13" s="135" t="str">
        <f ca="1"/>
        <v>Dangerous Goods Regulations (CBTA 7.3) (Refresher)</v>
      </c>
      <c r="D13" s="137">
        <f ca="1"/>
        <v>44109</v>
      </c>
      <c r="E13" s="137">
        <f ca="1"/>
        <v>44839</v>
      </c>
      <c r="F13" s="138">
        <f ca="1"/>
        <v>-1447</v>
      </c>
      <c r="G13" s="139" t="str">
        <f ca="1"/>
        <v>Overdue</v>
      </c>
      <c r="H13" s="7"/>
    </row>
    <row r="14" spans="1:8" x14ac:dyDescent="0.25">
      <c r="A14" s="7"/>
      <c r="B14" s="135" t="str">
        <f ca="1"/>
        <v>Stephen Mutambu</v>
      </c>
      <c r="C14" s="135" t="str">
        <f ca="1"/>
        <v>Crew Resource Management (Refresher)</v>
      </c>
      <c r="D14" s="137">
        <f ca="1"/>
        <v>44126</v>
      </c>
      <c r="E14" s="137">
        <f ca="1"/>
        <v>44856</v>
      </c>
      <c r="F14" s="138">
        <f ca="1"/>
        <v>-1430</v>
      </c>
      <c r="G14" s="139" t="str">
        <f ca="1"/>
        <v>Overdue</v>
      </c>
      <c r="H14" s="7"/>
    </row>
    <row r="15" spans="1:8" x14ac:dyDescent="0.25">
      <c r="A15" s="7"/>
      <c r="B15" s="135" t="str">
        <f ca="1"/>
        <v>Julius Nyawira</v>
      </c>
      <c r="C15" s="135" t="str">
        <f ca="1"/>
        <v>Crew Resource Management (Refresher)</v>
      </c>
      <c r="D15" s="137">
        <f ca="1"/>
        <v>44148</v>
      </c>
      <c r="E15" s="137">
        <f ca="1"/>
        <v>44878</v>
      </c>
      <c r="F15" s="138">
        <f ca="1"/>
        <v>-1408</v>
      </c>
      <c r="G15" s="139" t="str">
        <f ca="1"/>
        <v>Overdue</v>
      </c>
      <c r="H15" s="7"/>
    </row>
    <row r="16" spans="1:8" x14ac:dyDescent="0.25">
      <c r="A16" s="7"/>
      <c r="B16" s="135" t="str">
        <f ca="1"/>
        <v>Douglas Hurgins</v>
      </c>
      <c r="C16" s="135" t="str">
        <f ca="1"/>
        <v>First Aid Training (Refresher)</v>
      </c>
      <c r="D16" s="137">
        <f ca="1"/>
        <v>43797</v>
      </c>
      <c r="E16" s="137">
        <f ca="1"/>
        <v>44893</v>
      </c>
      <c r="F16" s="138">
        <f ca="1"/>
        <v>-1393</v>
      </c>
      <c r="G16" s="139" t="str">
        <f ca="1"/>
        <v>Overdue</v>
      </c>
      <c r="H16" s="7"/>
    </row>
    <row r="17" spans="1:8" x14ac:dyDescent="0.25">
      <c r="A17" s="7"/>
      <c r="B17" s="135" t="str">
        <f ca="1"/>
        <v>Patrick Musau</v>
      </c>
      <c r="C17" s="135" t="str">
        <f ca="1"/>
        <v>Dangerous Goods Regulations (CBTA 7.3) (Refresher)</v>
      </c>
      <c r="D17" s="137">
        <f ca="1"/>
        <v>44518</v>
      </c>
      <c r="E17" s="137">
        <f ca="1"/>
        <v>45248</v>
      </c>
      <c r="F17" s="138">
        <f ca="1"/>
        <v>-1038</v>
      </c>
      <c r="G17" s="139" t="str">
        <f ca="1"/>
        <v>Overdue</v>
      </c>
      <c r="H17" s="7"/>
    </row>
    <row r="18" spans="1:8" x14ac:dyDescent="0.25">
      <c r="A18" s="7"/>
      <c r="B18" s="135" t="str">
        <f ca="1"/>
        <v xml:space="preserve">Edwin Kemei </v>
      </c>
      <c r="C18" s="135" t="str">
        <f ca="1"/>
        <v>Human Factors in Aviation (Refresher)</v>
      </c>
      <c r="D18" s="137">
        <f ca="1"/>
        <v>45349</v>
      </c>
      <c r="E18" s="137">
        <f ca="1"/>
        <v>46080</v>
      </c>
      <c r="F18" s="138">
        <f ca="1"/>
        <v>-206</v>
      </c>
      <c r="G18" s="139" t="str">
        <f ca="1"/>
        <v>Overdue</v>
      </c>
      <c r="H18" s="7"/>
    </row>
    <row r="19" spans="1:8" x14ac:dyDescent="0.25">
      <c r="A19" s="7"/>
      <c r="B19" s="135" t="str">
        <f ca="1"/>
        <v>Gideon Mwasio</v>
      </c>
      <c r="C19" s="135" t="str">
        <f ca="1"/>
        <v>Fuel Tank Safety Phase 1 &amp; 2 Course (Refresher)</v>
      </c>
      <c r="D19" s="137">
        <f ca="1"/>
        <v>45421</v>
      </c>
      <c r="E19" s="137">
        <f ca="1"/>
        <v>46151</v>
      </c>
      <c r="F19" s="138">
        <f ca="1"/>
        <v>-135</v>
      </c>
      <c r="G19" s="139" t="str">
        <f ca="1"/>
        <v>Overdue</v>
      </c>
      <c r="H19" s="7"/>
    </row>
    <row r="20" spans="1:8" x14ac:dyDescent="0.25">
      <c r="A20" s="7"/>
      <c r="B20" s="135" t="str">
        <f ca="1"/>
        <v>William Mlati</v>
      </c>
      <c r="C20" s="135" t="str">
        <f ca="1"/>
        <v>Fuel Tank Safety Phase 1 &amp; 2 Course (Refresher)</v>
      </c>
      <c r="D20" s="137">
        <f ca="1"/>
        <v>45434</v>
      </c>
      <c r="E20" s="137">
        <f ca="1"/>
        <v>46164</v>
      </c>
      <c r="F20" s="138">
        <f ca="1"/>
        <v>-122</v>
      </c>
      <c r="G20" s="139" t="str">
        <f ca="1"/>
        <v>Overdue</v>
      </c>
      <c r="H20" s="7"/>
    </row>
    <row r="21" spans="1:8" x14ac:dyDescent="0.25">
      <c r="A21" s="7"/>
      <c r="B21" s="135" t="str">
        <f ca="1"/>
        <v>James Mugo</v>
      </c>
      <c r="C21" s="135" t="str">
        <f ca="1"/>
        <v>Fuel Tank Safety Phase 1 &amp; 2 Course (Refresher)</v>
      </c>
      <c r="D21" s="137">
        <f ca="1"/>
        <v>45495</v>
      </c>
      <c r="E21" s="137">
        <f ca="1"/>
        <v>46225</v>
      </c>
      <c r="F21" s="138">
        <f ca="1"/>
        <v>-61</v>
      </c>
      <c r="G21" s="139" t="str">
        <f ca="1"/>
        <v>Overdue</v>
      </c>
      <c r="H21" s="7"/>
    </row>
    <row r="22" spans="1:8" x14ac:dyDescent="0.25">
      <c r="A22" s="7"/>
      <c r="B22" s="135" t="str">
        <f ca="1"/>
        <v>Hannah Wambui</v>
      </c>
      <c r="C22" s="135" t="str">
        <f ca="1"/>
        <v>Dangerous Goods Regulations (CBTA 7.3) (Refresher)</v>
      </c>
      <c r="D22" s="137">
        <f ca="1"/>
        <v>45503</v>
      </c>
      <c r="E22" s="137">
        <f ca="1"/>
        <v>46233</v>
      </c>
      <c r="F22" s="138">
        <f ca="1"/>
        <v>-53</v>
      </c>
      <c r="G22" s="139" t="str">
        <f ca="1"/>
        <v>Overdue</v>
      </c>
      <c r="H22" s="7"/>
    </row>
    <row r="23" spans="1:8" x14ac:dyDescent="0.25">
      <c r="A23" s="7"/>
      <c r="B23" s="135" t="str">
        <f ca="1"/>
        <v>Philip Mwania</v>
      </c>
      <c r="C23" s="135" t="str">
        <f ca="1"/>
        <v>Aircraft Maintenance Engineers' Licence</v>
      </c>
      <c r="D23" s="137">
        <f ca="1"/>
        <v>45573</v>
      </c>
      <c r="E23" s="137">
        <f ca="1"/>
        <v>46303</v>
      </c>
      <c r="F23" s="138">
        <f ca="1"/>
        <v>17</v>
      </c>
      <c r="G23" s="139" t="str">
        <f ca="1"/>
        <v>Due Soon</v>
      </c>
      <c r="H23" s="7"/>
    </row>
    <row r="24" spans="1:8" ht="25.5" x14ac:dyDescent="0.25">
      <c r="A24" s="7"/>
      <c r="B24" s="135" t="str">
        <f ca="1"/>
        <v>Paul Mzera</v>
      </c>
      <c r="C24" s="135" t="str">
        <f ca="1"/>
        <v>Cessna 208 Series (Caravan) With P&amp;WC PT6A-114/ -114A/ -140 Engines (Refresher)</v>
      </c>
      <c r="D24" s="137">
        <f ca="1"/>
        <v>45574</v>
      </c>
      <c r="E24" s="137">
        <f ca="1"/>
        <v>46304</v>
      </c>
      <c r="F24" s="138">
        <f ca="1"/>
        <v>18</v>
      </c>
      <c r="G24" s="139" t="str">
        <f ca="1"/>
        <v>Due Soon</v>
      </c>
      <c r="H24" s="7"/>
    </row>
    <row r="25" spans="1:8" ht="25.5" x14ac:dyDescent="0.25">
      <c r="A25" s="7"/>
      <c r="B25" s="135" t="str">
        <f ca="1"/>
        <v>Paul Mzera</v>
      </c>
      <c r="C25" s="135" t="str">
        <f ca="1"/>
        <v>DHC-8 100/200/300 with PWC 120/120A/121/123B/C/D/E Series Engines(Refresher)</v>
      </c>
      <c r="D25" s="137">
        <f ca="1"/>
        <v>45583</v>
      </c>
      <c r="E25" s="137">
        <f ca="1"/>
        <v>46313</v>
      </c>
      <c r="F25" s="138">
        <f ca="1"/>
        <v>27</v>
      </c>
      <c r="G25" s="139" t="str">
        <f ca="1"/>
        <v>Due Soon</v>
      </c>
      <c r="H25" s="7"/>
    </row>
    <row r="26" spans="1:8" x14ac:dyDescent="0.25">
      <c r="A26" s="7"/>
      <c r="B26" s="135" t="str">
        <f ca="1"/>
        <v>Elina Guda</v>
      </c>
      <c r="C26" s="135" t="str">
        <f ca="1"/>
        <v>Safety Management Systems (Refresher)</v>
      </c>
      <c r="D26" s="137">
        <f ca="1"/>
        <v>45590</v>
      </c>
      <c r="E26" s="137">
        <f ca="1"/>
        <v>46320</v>
      </c>
      <c r="F26" s="138">
        <f ca="1"/>
        <v>34</v>
      </c>
      <c r="G26" s="139" t="str">
        <f ca="1"/>
        <v>Due Soon</v>
      </c>
      <c r="H26" s="7"/>
    </row>
    <row r="27" spans="1:8" x14ac:dyDescent="0.25">
      <c r="A27" s="7"/>
      <c r="B27" s="135" t="str">
        <f ca="1"/>
        <v>Samuel Okoth</v>
      </c>
      <c r="C27" s="135" t="str">
        <f ca="1"/>
        <v>Safety Management Systems (Refresher)</v>
      </c>
      <c r="D27" s="137">
        <f ca="1"/>
        <v>45590</v>
      </c>
      <c r="E27" s="137">
        <f ca="1"/>
        <v>46320</v>
      </c>
      <c r="F27" s="138">
        <f ca="1"/>
        <v>34</v>
      </c>
      <c r="G27" s="139" t="str">
        <f ca="1"/>
        <v>Due Soon</v>
      </c>
      <c r="H27" s="7"/>
    </row>
    <row r="28" spans="1:8" x14ac:dyDescent="0.25">
      <c r="A28" s="7"/>
      <c r="B28" s="135" t="str">
        <f ca="1"/>
        <v>Urbanus Muema</v>
      </c>
      <c r="C28" s="135" t="str">
        <f ca="1"/>
        <v>Safety Management Systems (Refresher)</v>
      </c>
      <c r="D28" s="137">
        <f ca="1"/>
        <v>45590</v>
      </c>
      <c r="E28" s="137">
        <f ca="1"/>
        <v>46320</v>
      </c>
      <c r="F28" s="138">
        <f ca="1"/>
        <v>34</v>
      </c>
      <c r="G28" s="139" t="str">
        <f ca="1"/>
        <v>Due Soon</v>
      </c>
      <c r="H28" s="7"/>
    </row>
    <row r="29" spans="1:8" x14ac:dyDescent="0.25">
      <c r="A29" s="7"/>
      <c r="B29" s="135" t="str">
        <f ca="1"/>
        <v>Bernard Kibiwott</v>
      </c>
      <c r="C29" s="135" t="str">
        <f ca="1"/>
        <v>Safety Management Systems (Refresher)</v>
      </c>
      <c r="D29" s="137">
        <f ca="1"/>
        <v>45590</v>
      </c>
      <c r="E29" s="137">
        <f ca="1"/>
        <v>46320</v>
      </c>
      <c r="F29" s="138">
        <f ca="1"/>
        <v>34</v>
      </c>
      <c r="G29" s="139" t="str">
        <f ca="1"/>
        <v>Due Soon</v>
      </c>
      <c r="H29" s="7"/>
    </row>
    <row r="30" spans="1:8" ht="25.5" x14ac:dyDescent="0.25">
      <c r="A30" s="7"/>
      <c r="B30" s="135" t="str">
        <f ca="1"/>
        <v>Andrew Ondiek</v>
      </c>
      <c r="C30" s="135" t="str">
        <f ca="1"/>
        <v>Cessna 208 Series (Caravan) With P&amp;WC PT6A-114/ -114A/ -140 Engines (Refresher)</v>
      </c>
      <c r="D30" s="137">
        <f ca="1"/>
        <v>45590</v>
      </c>
      <c r="E30" s="137">
        <f ca="1"/>
        <v>46320</v>
      </c>
      <c r="F30" s="138">
        <f ca="1"/>
        <v>34</v>
      </c>
      <c r="G30" s="139" t="str">
        <f ca="1"/>
        <v>Due Soon</v>
      </c>
      <c r="H30" s="7"/>
    </row>
    <row r="31" spans="1:8" x14ac:dyDescent="0.25">
      <c r="A31" s="7"/>
      <c r="B31" s="135" t="str">
        <f ca="1"/>
        <v>Stephen Mutambu</v>
      </c>
      <c r="C31" s="135" t="str">
        <f ca="1"/>
        <v>Core Instructional Technique (Refresher)</v>
      </c>
      <c r="D31" s="137">
        <f ca="1"/>
        <v>45597</v>
      </c>
      <c r="E31" s="137">
        <f ca="1"/>
        <v>46327</v>
      </c>
      <c r="F31" s="138">
        <f ca="1"/>
        <v>41</v>
      </c>
      <c r="G31" s="139" t="str">
        <f ca="1"/>
        <v>Due Soon</v>
      </c>
      <c r="H31" s="7"/>
    </row>
    <row r="32" spans="1:8" x14ac:dyDescent="0.25">
      <c r="A32" s="7"/>
      <c r="B32" s="135" t="str">
        <f ca="1"/>
        <v>Paul Mzera</v>
      </c>
      <c r="C32" s="135" t="str">
        <f ca="1"/>
        <v>Human Factors in Aviation (Refresher)</v>
      </c>
      <c r="D32" s="137">
        <f ca="1"/>
        <v>45603</v>
      </c>
      <c r="E32" s="137">
        <f ca="1"/>
        <v>46333</v>
      </c>
      <c r="F32" s="138">
        <f ca="1"/>
        <v>47</v>
      </c>
      <c r="G32" s="139" t="str">
        <f ca="1"/>
        <v>Due Soon</v>
      </c>
      <c r="H32" s="7"/>
    </row>
    <row r="33" spans="1:8" x14ac:dyDescent="0.25">
      <c r="A33" s="7"/>
      <c r="B33" s="135" t="str">
        <f ca="1"/>
        <v>Urbanus Muema</v>
      </c>
      <c r="C33" s="135" t="str">
        <f ca="1"/>
        <v>Human Factors in Aviation (Refresher)</v>
      </c>
      <c r="D33" s="137">
        <f ca="1"/>
        <v>45606</v>
      </c>
      <c r="E33" s="137">
        <f ca="1"/>
        <v>46336</v>
      </c>
      <c r="F33" s="138">
        <f ca="1"/>
        <v>50</v>
      </c>
      <c r="G33" s="139" t="str">
        <f ca="1"/>
        <v>Due Soon</v>
      </c>
      <c r="H33" s="7"/>
    </row>
    <row r="34" spans="1:8" x14ac:dyDescent="0.25">
      <c r="A34" s="7"/>
      <c r="B34" s="135" t="str">
        <f ca="1"/>
        <v>Titus Shunza</v>
      </c>
      <c r="C34" s="135" t="str">
        <f ca="1"/>
        <v>Aircraft Maintenance Engineers' Licence</v>
      </c>
      <c r="D34" s="137">
        <f ca="1"/>
        <v>45607</v>
      </c>
      <c r="E34" s="137">
        <f ca="1"/>
        <v>46337</v>
      </c>
      <c r="F34" s="138">
        <f ca="1"/>
        <v>51</v>
      </c>
      <c r="G34" s="139" t="str">
        <f ca="1"/>
        <v>Due Soon</v>
      </c>
      <c r="H34" s="7"/>
    </row>
    <row r="35" spans="1:8" x14ac:dyDescent="0.25">
      <c r="A35" s="7"/>
      <c r="B35" s="135"/>
      <c r="C35" s="135"/>
      <c r="D35" s="137"/>
      <c r="E35" s="137"/>
      <c r="F35" s="138"/>
      <c r="G35" s="139"/>
      <c r="H35" s="7"/>
    </row>
    <row r="36" spans="1:8" x14ac:dyDescent="0.25">
      <c r="A36" s="7"/>
      <c r="B36" s="69"/>
      <c r="C36" s="69"/>
      <c r="D36" s="97"/>
      <c r="E36" s="97"/>
      <c r="F36" s="98"/>
      <c r="G36" s="71"/>
      <c r="H36" s="7"/>
    </row>
    <row r="37" spans="1:8" x14ac:dyDescent="0.25">
      <c r="A37" s="7"/>
      <c r="B37" s="69"/>
      <c r="C37" s="69"/>
      <c r="D37" s="97"/>
      <c r="E37" s="97"/>
      <c r="F37" s="98"/>
      <c r="G37" s="71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866" priority="16009" stopIfTrue="1">
      <formula>MOD(ROW()-7,2)=0</formula>
    </cfRule>
  </conditionalFormatting>
  <conditionalFormatting sqref="G102">
    <cfRule type="expression" dxfId="865" priority="16007" stopIfTrue="1">
      <formula>ISNUMBER(SEARCH("Due Soon",G102))</formula>
    </cfRule>
    <cfRule type="expression" dxfId="864" priority="16008" stopIfTrue="1">
      <formula>ISNUMBER(SEARCH("Overdue",G102))</formula>
    </cfRule>
  </conditionalFormatting>
  <conditionalFormatting sqref="B101:G101">
    <cfRule type="expression" dxfId="863" priority="16010" stopIfTrue="1">
      <formula>MOD(ROW()-7,2)=0</formula>
    </cfRule>
  </conditionalFormatting>
  <conditionalFormatting sqref="G101">
    <cfRule type="expression" dxfId="862" priority="15965" stopIfTrue="1">
      <formula>ISNUMBER(SEARCH("Due Soon",G101))</formula>
    </cfRule>
    <cfRule type="expression" dxfId="861" priority="15966" stopIfTrue="1">
      <formula>ISNUMBER(SEARCH("Overdue",G101))</formula>
    </cfRule>
  </conditionalFormatting>
  <conditionalFormatting sqref="B100:G100">
    <cfRule type="expression" dxfId="860" priority="16011" stopIfTrue="1">
      <formula>MOD(ROW()-7,2)=0</formula>
    </cfRule>
  </conditionalFormatting>
  <conditionalFormatting sqref="G100">
    <cfRule type="expression" dxfId="859" priority="15947" stopIfTrue="1">
      <formula>ISNUMBER(SEARCH("Due Soon",G100))</formula>
    </cfRule>
    <cfRule type="expression" dxfId="858" priority="15948" stopIfTrue="1">
      <formula>ISNUMBER(SEARCH("Overdue",G100))</formula>
    </cfRule>
  </conditionalFormatting>
  <conditionalFormatting sqref="B99:G99">
    <cfRule type="expression" dxfId="857" priority="16012" stopIfTrue="1">
      <formula>MOD(ROW()-7,2)=0</formula>
    </cfRule>
  </conditionalFormatting>
  <conditionalFormatting sqref="G99">
    <cfRule type="expression" dxfId="856" priority="15929" stopIfTrue="1">
      <formula>ISNUMBER(SEARCH("Due Soon",G99))</formula>
    </cfRule>
    <cfRule type="expression" dxfId="855" priority="15930" stopIfTrue="1">
      <formula>ISNUMBER(SEARCH("Overdue",G99))</formula>
    </cfRule>
  </conditionalFormatting>
  <conditionalFormatting sqref="B98:G98">
    <cfRule type="expression" dxfId="854" priority="16013" stopIfTrue="1">
      <formula>MOD(ROW()-7,2)=0</formula>
    </cfRule>
  </conditionalFormatting>
  <conditionalFormatting sqref="G98">
    <cfRule type="expression" dxfId="853" priority="15911" stopIfTrue="1">
      <formula>ISNUMBER(SEARCH("Due Soon",G98))</formula>
    </cfRule>
    <cfRule type="expression" dxfId="852" priority="15912" stopIfTrue="1">
      <formula>ISNUMBER(SEARCH("Overdue",G98))</formula>
    </cfRule>
  </conditionalFormatting>
  <conditionalFormatting sqref="B97:G97">
    <cfRule type="expression" dxfId="851" priority="16014" stopIfTrue="1">
      <formula>MOD(ROW()-7,2)=0</formula>
    </cfRule>
  </conditionalFormatting>
  <conditionalFormatting sqref="G97">
    <cfRule type="expression" dxfId="850" priority="15893" stopIfTrue="1">
      <formula>ISNUMBER(SEARCH("Due Soon",G97))</formula>
    </cfRule>
    <cfRule type="expression" dxfId="849" priority="15894" stopIfTrue="1">
      <formula>ISNUMBER(SEARCH("Overdue",G97))</formula>
    </cfRule>
  </conditionalFormatting>
  <conditionalFormatting sqref="B96:G96">
    <cfRule type="expression" dxfId="848" priority="16015" stopIfTrue="1">
      <formula>MOD(ROW()-7,2)=0</formula>
    </cfRule>
  </conditionalFormatting>
  <conditionalFormatting sqref="G96">
    <cfRule type="expression" dxfId="847" priority="15501" stopIfTrue="1">
      <formula>ISNUMBER(SEARCH("Due Soon",G96))</formula>
    </cfRule>
    <cfRule type="expression" dxfId="846" priority="15502" stopIfTrue="1">
      <formula>ISNUMBER(SEARCH("Overdue",G96))</formula>
    </cfRule>
  </conditionalFormatting>
  <conditionalFormatting sqref="B95:G95">
    <cfRule type="expression" dxfId="845" priority="16016" stopIfTrue="1">
      <formula>MOD(ROW()-7,2)=0</formula>
    </cfRule>
  </conditionalFormatting>
  <conditionalFormatting sqref="G95">
    <cfRule type="expression" dxfId="844" priority="15483" stopIfTrue="1">
      <formula>ISNUMBER(SEARCH("Due Soon",G95))</formula>
    </cfRule>
    <cfRule type="expression" dxfId="843" priority="15484" stopIfTrue="1">
      <formula>ISNUMBER(SEARCH("Overdue",G95))</formula>
    </cfRule>
  </conditionalFormatting>
  <conditionalFormatting sqref="B94:G94">
    <cfRule type="expression" dxfId="842" priority="16017" stopIfTrue="1">
      <formula>MOD(ROW()-7,2)=0</formula>
    </cfRule>
  </conditionalFormatting>
  <conditionalFormatting sqref="G94">
    <cfRule type="expression" dxfId="841" priority="15465" stopIfTrue="1">
      <formula>ISNUMBER(SEARCH("Due Soon",G94))</formula>
    </cfRule>
    <cfRule type="expression" dxfId="840" priority="15466" stopIfTrue="1">
      <formula>ISNUMBER(SEARCH("Overdue",G94))</formula>
    </cfRule>
  </conditionalFormatting>
  <conditionalFormatting sqref="B93:G93">
    <cfRule type="expression" dxfId="839" priority="16018" stopIfTrue="1">
      <formula>MOD(ROW()-7,2)=0</formula>
    </cfRule>
  </conditionalFormatting>
  <conditionalFormatting sqref="G93">
    <cfRule type="expression" dxfId="838" priority="15447" stopIfTrue="1">
      <formula>ISNUMBER(SEARCH("Due Soon",G93))</formula>
    </cfRule>
    <cfRule type="expression" dxfId="837" priority="15448" stopIfTrue="1">
      <formula>ISNUMBER(SEARCH("Overdue",G93))</formula>
    </cfRule>
  </conditionalFormatting>
  <conditionalFormatting sqref="B92:G92">
    <cfRule type="expression" dxfId="836" priority="16019" stopIfTrue="1">
      <formula>MOD(ROW()-7,2)=0</formula>
    </cfRule>
  </conditionalFormatting>
  <conditionalFormatting sqref="G92">
    <cfRule type="expression" dxfId="835" priority="15429" stopIfTrue="1">
      <formula>ISNUMBER(SEARCH("Due Soon",G92))</formula>
    </cfRule>
    <cfRule type="expression" dxfId="834" priority="15430" stopIfTrue="1">
      <formula>ISNUMBER(SEARCH("Overdue",G92))</formula>
    </cfRule>
  </conditionalFormatting>
  <conditionalFormatting sqref="B91:G91">
    <cfRule type="expression" dxfId="833" priority="16020" stopIfTrue="1">
      <formula>MOD(ROW()-7,2)=0</formula>
    </cfRule>
  </conditionalFormatting>
  <conditionalFormatting sqref="G91">
    <cfRule type="expression" dxfId="832" priority="15393" stopIfTrue="1">
      <formula>ISNUMBER(SEARCH("Due Soon",G91))</formula>
    </cfRule>
    <cfRule type="expression" dxfId="831" priority="15394" stopIfTrue="1">
      <formula>ISNUMBER(SEARCH("Overdue",G91))</formula>
    </cfRule>
  </conditionalFormatting>
  <conditionalFormatting sqref="B90:G90">
    <cfRule type="expression" dxfId="830" priority="16021" stopIfTrue="1">
      <formula>MOD(ROW()-7,2)=0</formula>
    </cfRule>
  </conditionalFormatting>
  <conditionalFormatting sqref="G90">
    <cfRule type="expression" dxfId="829" priority="14943" stopIfTrue="1">
      <formula>ISNUMBER(SEARCH("Due Soon",G90))</formula>
    </cfRule>
    <cfRule type="expression" dxfId="828" priority="14944" stopIfTrue="1">
      <formula>ISNUMBER(SEARCH("Overdue",G90))</formula>
    </cfRule>
  </conditionalFormatting>
  <conditionalFormatting sqref="B89:G89">
    <cfRule type="expression" dxfId="827" priority="16022" stopIfTrue="1">
      <formula>MOD(ROW()-7,2)=0</formula>
    </cfRule>
  </conditionalFormatting>
  <conditionalFormatting sqref="G89">
    <cfRule type="expression" dxfId="826" priority="14755" stopIfTrue="1">
      <formula>ISNUMBER(SEARCH("Due Soon",G89))</formula>
    </cfRule>
    <cfRule type="expression" dxfId="825" priority="14756" stopIfTrue="1">
      <formula>ISNUMBER(SEARCH("Overdue",G89))</formula>
    </cfRule>
  </conditionalFormatting>
  <conditionalFormatting sqref="B88:G88">
    <cfRule type="expression" dxfId="824" priority="16023" stopIfTrue="1">
      <formula>MOD(ROW()-7,2)=0</formula>
    </cfRule>
  </conditionalFormatting>
  <conditionalFormatting sqref="G88">
    <cfRule type="expression" dxfId="823" priority="14719" stopIfTrue="1">
      <formula>ISNUMBER(SEARCH("Due Soon",G88))</formula>
    </cfRule>
    <cfRule type="expression" dxfId="822" priority="14720" stopIfTrue="1">
      <formula>ISNUMBER(SEARCH("Overdue",G88))</formula>
    </cfRule>
  </conditionalFormatting>
  <conditionalFormatting sqref="B87:G87">
    <cfRule type="expression" dxfId="821" priority="16024" stopIfTrue="1">
      <formula>MOD(ROW()-7,2)=0</formula>
    </cfRule>
  </conditionalFormatting>
  <conditionalFormatting sqref="G87">
    <cfRule type="expression" dxfId="820" priority="14701" stopIfTrue="1">
      <formula>ISNUMBER(SEARCH("Due Soon",G87))</formula>
    </cfRule>
    <cfRule type="expression" dxfId="819" priority="14702" stopIfTrue="1">
      <formula>ISNUMBER(SEARCH("Overdue",G87))</formula>
    </cfRule>
  </conditionalFormatting>
  <conditionalFormatting sqref="B86:G86">
    <cfRule type="expression" dxfId="818" priority="16025" stopIfTrue="1">
      <formula>MOD(ROW()-7,2)=0</formula>
    </cfRule>
  </conditionalFormatting>
  <conditionalFormatting sqref="G86">
    <cfRule type="expression" dxfId="817" priority="14683" stopIfTrue="1">
      <formula>ISNUMBER(SEARCH("Due Soon",G86))</formula>
    </cfRule>
    <cfRule type="expression" dxfId="816" priority="14684" stopIfTrue="1">
      <formula>ISNUMBER(SEARCH("Overdue",G86))</formula>
    </cfRule>
  </conditionalFormatting>
  <conditionalFormatting sqref="B85:G85">
    <cfRule type="expression" dxfId="815" priority="16026" stopIfTrue="1">
      <formula>MOD(ROW()-7,2)=0</formula>
    </cfRule>
  </conditionalFormatting>
  <conditionalFormatting sqref="G85">
    <cfRule type="expression" dxfId="814" priority="14665" stopIfTrue="1">
      <formula>ISNUMBER(SEARCH("Due Soon",G85))</formula>
    </cfRule>
    <cfRule type="expression" dxfId="813" priority="14666" stopIfTrue="1">
      <formula>ISNUMBER(SEARCH("Overdue",G85))</formula>
    </cfRule>
  </conditionalFormatting>
  <conditionalFormatting sqref="B84:G84">
    <cfRule type="expression" dxfId="812" priority="16027" stopIfTrue="1">
      <formula>MOD(ROW()-7,2)=0</formula>
    </cfRule>
  </conditionalFormatting>
  <conditionalFormatting sqref="G84">
    <cfRule type="expression" dxfId="811" priority="13853" stopIfTrue="1">
      <formula>ISNUMBER(SEARCH("Due Soon",G84))</formula>
    </cfRule>
    <cfRule type="expression" dxfId="810" priority="13854" stopIfTrue="1">
      <formula>ISNUMBER(SEARCH("Overdue",G84))</formula>
    </cfRule>
  </conditionalFormatting>
  <conditionalFormatting sqref="B83:G83">
    <cfRule type="expression" dxfId="809" priority="16028" stopIfTrue="1">
      <formula>MOD(ROW()-7,2)=0</formula>
    </cfRule>
  </conditionalFormatting>
  <conditionalFormatting sqref="G83">
    <cfRule type="expression" dxfId="808" priority="13409" stopIfTrue="1">
      <formula>ISNUMBER(SEARCH("Due Soon",G83))</formula>
    </cfRule>
    <cfRule type="expression" dxfId="807" priority="13410" stopIfTrue="1">
      <formula>ISNUMBER(SEARCH("Overdue",G83))</formula>
    </cfRule>
  </conditionalFormatting>
  <conditionalFormatting sqref="B82:G82">
    <cfRule type="expression" dxfId="806" priority="16029" stopIfTrue="1">
      <formula>MOD(ROW()-7,2)=0</formula>
    </cfRule>
  </conditionalFormatting>
  <conditionalFormatting sqref="G82">
    <cfRule type="expression" dxfId="805" priority="13391" stopIfTrue="1">
      <formula>ISNUMBER(SEARCH("Due Soon",G82))</formula>
    </cfRule>
    <cfRule type="expression" dxfId="804" priority="13392" stopIfTrue="1">
      <formula>ISNUMBER(SEARCH("Overdue",G82))</formula>
    </cfRule>
  </conditionalFormatting>
  <conditionalFormatting sqref="B81:G81">
    <cfRule type="expression" dxfId="803" priority="16030" stopIfTrue="1">
      <formula>MOD(ROW()-7,2)=0</formula>
    </cfRule>
  </conditionalFormatting>
  <conditionalFormatting sqref="G81">
    <cfRule type="expression" dxfId="802" priority="13321" stopIfTrue="1">
      <formula>ISNUMBER(SEARCH("Due Soon",G81))</formula>
    </cfRule>
    <cfRule type="expression" dxfId="801" priority="13322" stopIfTrue="1">
      <formula>ISNUMBER(SEARCH("Overdue",G81))</formula>
    </cfRule>
  </conditionalFormatting>
  <conditionalFormatting sqref="B80:G80">
    <cfRule type="expression" dxfId="800" priority="16031" stopIfTrue="1">
      <formula>MOD(ROW()-7,2)=0</formula>
    </cfRule>
  </conditionalFormatting>
  <conditionalFormatting sqref="G80">
    <cfRule type="expression" dxfId="799" priority="13301" stopIfTrue="1">
      <formula>ISNUMBER(SEARCH("Due Soon",G80))</formula>
    </cfRule>
    <cfRule type="expression" dxfId="798" priority="13302" stopIfTrue="1">
      <formula>ISNUMBER(SEARCH("Overdue",G80))</formula>
    </cfRule>
  </conditionalFormatting>
  <conditionalFormatting sqref="B79:G79">
    <cfRule type="expression" dxfId="797" priority="16032" stopIfTrue="1">
      <formula>MOD(ROW()-7,2)=0</formula>
    </cfRule>
  </conditionalFormatting>
  <conditionalFormatting sqref="G79">
    <cfRule type="expression" dxfId="796" priority="13179" stopIfTrue="1">
      <formula>ISNUMBER(SEARCH("Due Soon",G79))</formula>
    </cfRule>
    <cfRule type="expression" dxfId="795" priority="13180" stopIfTrue="1">
      <formula>ISNUMBER(SEARCH("Overdue",G79))</formula>
    </cfRule>
  </conditionalFormatting>
  <conditionalFormatting sqref="B78:G78">
    <cfRule type="expression" dxfId="794" priority="16033" stopIfTrue="1">
      <formula>MOD(ROW()-7,2)=0</formula>
    </cfRule>
  </conditionalFormatting>
  <conditionalFormatting sqref="G78">
    <cfRule type="expression" dxfId="793" priority="13159" stopIfTrue="1">
      <formula>ISNUMBER(SEARCH("Due Soon",G78))</formula>
    </cfRule>
    <cfRule type="expression" dxfId="792" priority="13160" stopIfTrue="1">
      <formula>ISNUMBER(SEARCH("Overdue",G78))</formula>
    </cfRule>
  </conditionalFormatting>
  <conditionalFormatting sqref="B77:G77">
    <cfRule type="expression" dxfId="791" priority="16034" stopIfTrue="1">
      <formula>MOD(ROW()-7,2)=0</formula>
    </cfRule>
  </conditionalFormatting>
  <conditionalFormatting sqref="G77">
    <cfRule type="expression" dxfId="790" priority="13021" stopIfTrue="1">
      <formula>ISNUMBER(SEARCH("Due Soon",G77))</formula>
    </cfRule>
    <cfRule type="expression" dxfId="789" priority="13022" stopIfTrue="1">
      <formula>ISNUMBER(SEARCH("Overdue",G77))</formula>
    </cfRule>
  </conditionalFormatting>
  <conditionalFormatting sqref="B76:G76">
    <cfRule type="expression" dxfId="788" priority="16035" stopIfTrue="1">
      <formula>MOD(ROW()-7,2)=0</formula>
    </cfRule>
  </conditionalFormatting>
  <conditionalFormatting sqref="G76">
    <cfRule type="expression" dxfId="787" priority="12909" stopIfTrue="1">
      <formula>ISNUMBER(SEARCH("Due Soon",G76))</formula>
    </cfRule>
    <cfRule type="expression" dxfId="786" priority="12910" stopIfTrue="1">
      <formula>ISNUMBER(SEARCH("Overdue",G76))</formula>
    </cfRule>
  </conditionalFormatting>
  <conditionalFormatting sqref="B75:G75">
    <cfRule type="expression" dxfId="785" priority="16036" stopIfTrue="1">
      <formula>MOD(ROW()-7,2)=0</formula>
    </cfRule>
  </conditionalFormatting>
  <conditionalFormatting sqref="G75">
    <cfRule type="expression" dxfId="784" priority="12889" stopIfTrue="1">
      <formula>ISNUMBER(SEARCH("Due Soon",G75))</formula>
    </cfRule>
    <cfRule type="expression" dxfId="783" priority="12890" stopIfTrue="1">
      <formula>ISNUMBER(SEARCH("Overdue",G75))</formula>
    </cfRule>
  </conditionalFormatting>
  <conditionalFormatting sqref="B74:G74">
    <cfRule type="expression" dxfId="782" priority="16037" stopIfTrue="1">
      <formula>MOD(ROW()-7,2)=0</formula>
    </cfRule>
  </conditionalFormatting>
  <conditionalFormatting sqref="G74">
    <cfRule type="expression" dxfId="781" priority="10543" stopIfTrue="1">
      <formula>ISNUMBER(SEARCH("Due Soon",G74))</formula>
    </cfRule>
    <cfRule type="expression" dxfId="780" priority="10544" stopIfTrue="1">
      <formula>ISNUMBER(SEARCH("Overdue",G74))</formula>
    </cfRule>
  </conditionalFormatting>
  <conditionalFormatting sqref="B73:G73">
    <cfRule type="expression" dxfId="779" priority="16038" stopIfTrue="1">
      <formula>MOD(ROW()-7,2)=0</formula>
    </cfRule>
  </conditionalFormatting>
  <conditionalFormatting sqref="G73">
    <cfRule type="expression" dxfId="778" priority="10525" stopIfTrue="1">
      <formula>ISNUMBER(SEARCH("Due Soon",G73))</formula>
    </cfRule>
    <cfRule type="expression" dxfId="777" priority="10526" stopIfTrue="1">
      <formula>ISNUMBER(SEARCH("Overdue",G73))</formula>
    </cfRule>
  </conditionalFormatting>
  <conditionalFormatting sqref="B72:G72">
    <cfRule type="expression" dxfId="776" priority="16039" stopIfTrue="1">
      <formula>MOD(ROW()-7,2)=0</formula>
    </cfRule>
  </conditionalFormatting>
  <conditionalFormatting sqref="G72">
    <cfRule type="expression" dxfId="775" priority="10503" stopIfTrue="1">
      <formula>ISNUMBER(SEARCH("Due Soon",G72))</formula>
    </cfRule>
    <cfRule type="expression" dxfId="774" priority="10504" stopIfTrue="1">
      <formula>ISNUMBER(SEARCH("Overdue",G72))</formula>
    </cfRule>
  </conditionalFormatting>
  <conditionalFormatting sqref="B71:G71">
    <cfRule type="expression" dxfId="773" priority="16040" stopIfTrue="1">
      <formula>MOD(ROW()-7,2)=0</formula>
    </cfRule>
  </conditionalFormatting>
  <conditionalFormatting sqref="G71">
    <cfRule type="expression" dxfId="772" priority="10485" stopIfTrue="1">
      <formula>ISNUMBER(SEARCH("Due Soon",G71))</formula>
    </cfRule>
    <cfRule type="expression" dxfId="771" priority="10486" stopIfTrue="1">
      <formula>ISNUMBER(SEARCH("Overdue",G71))</formula>
    </cfRule>
  </conditionalFormatting>
  <conditionalFormatting sqref="B70:G70">
    <cfRule type="expression" dxfId="770" priority="16041" stopIfTrue="1">
      <formula>MOD(ROW()-7,2)=0</formula>
    </cfRule>
  </conditionalFormatting>
  <conditionalFormatting sqref="G70">
    <cfRule type="expression" dxfId="769" priority="10455" stopIfTrue="1">
      <formula>ISNUMBER(SEARCH("Due Soon",G70))</formula>
    </cfRule>
    <cfRule type="expression" dxfId="768" priority="10456" stopIfTrue="1">
      <formula>ISNUMBER(SEARCH("Overdue",G70))</formula>
    </cfRule>
  </conditionalFormatting>
  <conditionalFormatting sqref="B69:G69">
    <cfRule type="expression" dxfId="767" priority="16042" stopIfTrue="1">
      <formula>MOD(ROW()-7,2)=0</formula>
    </cfRule>
  </conditionalFormatting>
  <conditionalFormatting sqref="G69">
    <cfRule type="expression" dxfId="766" priority="10413" stopIfTrue="1">
      <formula>ISNUMBER(SEARCH("Due Soon",G69))</formula>
    </cfRule>
    <cfRule type="expression" dxfId="765" priority="10414" stopIfTrue="1">
      <formula>ISNUMBER(SEARCH("Overdue",G69))</formula>
    </cfRule>
  </conditionalFormatting>
  <conditionalFormatting sqref="B68:G68">
    <cfRule type="expression" dxfId="764" priority="16043" stopIfTrue="1">
      <formula>MOD(ROW()-7,2)=0</formula>
    </cfRule>
  </conditionalFormatting>
  <conditionalFormatting sqref="G68">
    <cfRule type="expression" dxfId="763" priority="10385" stopIfTrue="1">
      <formula>ISNUMBER(SEARCH("Due Soon",G68))</formula>
    </cfRule>
    <cfRule type="expression" dxfId="762" priority="10386" stopIfTrue="1">
      <formula>ISNUMBER(SEARCH("Overdue",G68))</formula>
    </cfRule>
  </conditionalFormatting>
  <conditionalFormatting sqref="B67:G67">
    <cfRule type="expression" dxfId="761" priority="16044" stopIfTrue="1">
      <formula>MOD(ROW()-7,2)=0</formula>
    </cfRule>
  </conditionalFormatting>
  <conditionalFormatting sqref="G67">
    <cfRule type="expression" dxfId="760" priority="10367" stopIfTrue="1">
      <formula>ISNUMBER(SEARCH("Due Soon",G67))</formula>
    </cfRule>
    <cfRule type="expression" dxfId="759" priority="10368" stopIfTrue="1">
      <formula>ISNUMBER(SEARCH("Overdue",G67))</formula>
    </cfRule>
  </conditionalFormatting>
  <conditionalFormatting sqref="B66:G66">
    <cfRule type="expression" dxfId="758" priority="16045" stopIfTrue="1">
      <formula>MOD(ROW()-7,2)=0</formula>
    </cfRule>
  </conditionalFormatting>
  <conditionalFormatting sqref="G66">
    <cfRule type="expression" dxfId="757" priority="10349" stopIfTrue="1">
      <formula>ISNUMBER(SEARCH("Due Soon",G66))</formula>
    </cfRule>
    <cfRule type="expression" dxfId="756" priority="10350" stopIfTrue="1">
      <formula>ISNUMBER(SEARCH("Overdue",G66))</formula>
    </cfRule>
  </conditionalFormatting>
  <conditionalFormatting sqref="B65:G65">
    <cfRule type="expression" dxfId="755" priority="16046" stopIfTrue="1">
      <formula>MOD(ROW()-7,2)=0</formula>
    </cfRule>
  </conditionalFormatting>
  <conditionalFormatting sqref="G65">
    <cfRule type="expression" dxfId="754" priority="10331" stopIfTrue="1">
      <formula>ISNUMBER(SEARCH("Due Soon",G65))</formula>
    </cfRule>
    <cfRule type="expression" dxfId="753" priority="10332" stopIfTrue="1">
      <formula>ISNUMBER(SEARCH("Overdue",G65))</formula>
    </cfRule>
  </conditionalFormatting>
  <conditionalFormatting sqref="B64:G64">
    <cfRule type="expression" dxfId="752" priority="16047" stopIfTrue="1">
      <formula>MOD(ROW()-7,2)=0</formula>
    </cfRule>
  </conditionalFormatting>
  <conditionalFormatting sqref="G64">
    <cfRule type="expression" dxfId="751" priority="10313" stopIfTrue="1">
      <formula>ISNUMBER(SEARCH("Due Soon",G64))</formula>
    </cfRule>
    <cfRule type="expression" dxfId="750" priority="10314" stopIfTrue="1">
      <formula>ISNUMBER(SEARCH("Overdue",G64))</formula>
    </cfRule>
  </conditionalFormatting>
  <conditionalFormatting sqref="B63:G63">
    <cfRule type="expression" dxfId="749" priority="16048" stopIfTrue="1">
      <formula>MOD(ROW()-7,2)=0</formula>
    </cfRule>
  </conditionalFormatting>
  <conditionalFormatting sqref="G63">
    <cfRule type="expression" dxfId="748" priority="10295" stopIfTrue="1">
      <formula>ISNUMBER(SEARCH("Due Soon",G63))</formula>
    </cfRule>
    <cfRule type="expression" dxfId="747" priority="10296" stopIfTrue="1">
      <formula>ISNUMBER(SEARCH("Overdue",G63))</formula>
    </cfRule>
  </conditionalFormatting>
  <conditionalFormatting sqref="B62:G62">
    <cfRule type="expression" dxfId="746" priority="16049" stopIfTrue="1">
      <formula>MOD(ROW()-7,2)=0</formula>
    </cfRule>
  </conditionalFormatting>
  <conditionalFormatting sqref="G62">
    <cfRule type="expression" dxfId="745" priority="10277" stopIfTrue="1">
      <formula>ISNUMBER(SEARCH("Due Soon",G62))</formula>
    </cfRule>
    <cfRule type="expression" dxfId="744" priority="10278" stopIfTrue="1">
      <formula>ISNUMBER(SEARCH("Overdue",G62))</formula>
    </cfRule>
  </conditionalFormatting>
  <conditionalFormatting sqref="B61:G61">
    <cfRule type="expression" dxfId="743" priority="16050" stopIfTrue="1">
      <formula>MOD(ROW()-7,2)=0</formula>
    </cfRule>
  </conditionalFormatting>
  <conditionalFormatting sqref="G61">
    <cfRule type="expression" dxfId="742" priority="10259" stopIfTrue="1">
      <formula>ISNUMBER(SEARCH("Due Soon",G61))</formula>
    </cfRule>
    <cfRule type="expression" dxfId="741" priority="10260" stopIfTrue="1">
      <formula>ISNUMBER(SEARCH("Overdue",G61))</formula>
    </cfRule>
  </conditionalFormatting>
  <conditionalFormatting sqref="B60:G60">
    <cfRule type="expression" dxfId="740" priority="16051" stopIfTrue="1">
      <formula>MOD(ROW()-7,2)=0</formula>
    </cfRule>
  </conditionalFormatting>
  <conditionalFormatting sqref="G60">
    <cfRule type="expression" dxfId="739" priority="6423" stopIfTrue="1">
      <formula>ISNUMBER(SEARCH("Due Soon",G60))</formula>
    </cfRule>
    <cfRule type="expression" dxfId="738" priority="6424" stopIfTrue="1">
      <formula>ISNUMBER(SEARCH("Overdue",G60))</formula>
    </cfRule>
  </conditionalFormatting>
  <conditionalFormatting sqref="B59:G59">
    <cfRule type="expression" dxfId="737" priority="16052" stopIfTrue="1">
      <formula>MOD(ROW()-7,2)=0</formula>
    </cfRule>
  </conditionalFormatting>
  <conditionalFormatting sqref="G59">
    <cfRule type="expression" dxfId="736" priority="5077" stopIfTrue="1">
      <formula>ISNUMBER(SEARCH("Due Soon",G59))</formula>
    </cfRule>
    <cfRule type="expression" dxfId="735" priority="5078" stopIfTrue="1">
      <formula>ISNUMBER(SEARCH("Overdue",G59))</formula>
    </cfRule>
  </conditionalFormatting>
  <conditionalFormatting sqref="B58:G58">
    <cfRule type="expression" dxfId="734" priority="16053" stopIfTrue="1">
      <formula>MOD(ROW()-7,2)=0</formula>
    </cfRule>
  </conditionalFormatting>
  <conditionalFormatting sqref="G58">
    <cfRule type="expression" dxfId="733" priority="4885" stopIfTrue="1">
      <formula>ISNUMBER(SEARCH("Due Soon",G58))</formula>
    </cfRule>
    <cfRule type="expression" dxfId="732" priority="4886" stopIfTrue="1">
      <formula>ISNUMBER(SEARCH("Overdue",G58))</formula>
    </cfRule>
  </conditionalFormatting>
  <conditionalFormatting sqref="B57:G57">
    <cfRule type="expression" dxfId="731" priority="16054" stopIfTrue="1">
      <formula>MOD(ROW()-7,2)=0</formula>
    </cfRule>
  </conditionalFormatting>
  <conditionalFormatting sqref="G57">
    <cfRule type="expression" dxfId="730" priority="4747" stopIfTrue="1">
      <formula>ISNUMBER(SEARCH("Due Soon",G57))</formula>
    </cfRule>
    <cfRule type="expression" dxfId="729" priority="4748" stopIfTrue="1">
      <formula>ISNUMBER(SEARCH("Overdue",G57))</formula>
    </cfRule>
  </conditionalFormatting>
  <conditionalFormatting sqref="B56:G56">
    <cfRule type="expression" dxfId="728" priority="16055" stopIfTrue="1">
      <formula>MOD(ROW()-7,2)=0</formula>
    </cfRule>
  </conditionalFormatting>
  <conditionalFormatting sqref="G56">
    <cfRule type="expression" dxfId="727" priority="4727" stopIfTrue="1">
      <formula>ISNUMBER(SEARCH("Due Soon",G56))</formula>
    </cfRule>
    <cfRule type="expression" dxfId="726" priority="4728" stopIfTrue="1">
      <formula>ISNUMBER(SEARCH("Overdue",G56))</formula>
    </cfRule>
  </conditionalFormatting>
  <conditionalFormatting sqref="B55:G55">
    <cfRule type="expression" dxfId="725" priority="16056" stopIfTrue="1">
      <formula>MOD(ROW()-7,2)=0</formula>
    </cfRule>
  </conditionalFormatting>
  <conditionalFormatting sqref="G55">
    <cfRule type="expression" dxfId="724" priority="4631" stopIfTrue="1">
      <formula>ISNUMBER(SEARCH("Due Soon",G55))</formula>
    </cfRule>
    <cfRule type="expression" dxfId="723" priority="4632" stopIfTrue="1">
      <formula>ISNUMBER(SEARCH("Overdue",G55))</formula>
    </cfRule>
  </conditionalFormatting>
  <conditionalFormatting sqref="B54:G54">
    <cfRule type="expression" dxfId="722" priority="16057" stopIfTrue="1">
      <formula>MOD(ROW()-7,2)=0</formula>
    </cfRule>
  </conditionalFormatting>
  <conditionalFormatting sqref="G54">
    <cfRule type="expression" dxfId="721" priority="4361" stopIfTrue="1">
      <formula>ISNUMBER(SEARCH("Due Soon",G54))</formula>
    </cfRule>
    <cfRule type="expression" dxfId="720" priority="4362" stopIfTrue="1">
      <formula>ISNUMBER(SEARCH("Overdue",G54))</formula>
    </cfRule>
  </conditionalFormatting>
  <conditionalFormatting sqref="B53:G53">
    <cfRule type="expression" dxfId="719" priority="16058" stopIfTrue="1">
      <formula>MOD(ROW()-7,2)=0</formula>
    </cfRule>
  </conditionalFormatting>
  <conditionalFormatting sqref="G53">
    <cfRule type="expression" dxfId="718" priority="4343" stopIfTrue="1">
      <formula>ISNUMBER(SEARCH("Due Soon",G53))</formula>
    </cfRule>
    <cfRule type="expression" dxfId="717" priority="4344" stopIfTrue="1">
      <formula>ISNUMBER(SEARCH("Overdue",G53))</formula>
    </cfRule>
  </conditionalFormatting>
  <conditionalFormatting sqref="B52:G52">
    <cfRule type="expression" dxfId="716" priority="16059" stopIfTrue="1">
      <formula>MOD(ROW()-7,2)=0</formula>
    </cfRule>
  </conditionalFormatting>
  <conditionalFormatting sqref="G52">
    <cfRule type="expression" dxfId="715" priority="4325" stopIfTrue="1">
      <formula>ISNUMBER(SEARCH("Due Soon",G52))</formula>
    </cfRule>
    <cfRule type="expression" dxfId="714" priority="4326" stopIfTrue="1">
      <formula>ISNUMBER(SEARCH("Overdue",G52))</formula>
    </cfRule>
  </conditionalFormatting>
  <conditionalFormatting sqref="B51:G51">
    <cfRule type="expression" dxfId="713" priority="16060" stopIfTrue="1">
      <formula>MOD(ROW()-7,2)=0</formula>
    </cfRule>
  </conditionalFormatting>
  <conditionalFormatting sqref="G51">
    <cfRule type="expression" dxfId="712" priority="4307" stopIfTrue="1">
      <formula>ISNUMBER(SEARCH("Due Soon",G51))</formula>
    </cfRule>
    <cfRule type="expression" dxfId="711" priority="4308" stopIfTrue="1">
      <formula>ISNUMBER(SEARCH("Overdue",G51))</formula>
    </cfRule>
  </conditionalFormatting>
  <conditionalFormatting sqref="B50:G50">
    <cfRule type="expression" dxfId="710" priority="16061" stopIfTrue="1">
      <formula>MOD(ROW()-7,2)=0</formula>
    </cfRule>
  </conditionalFormatting>
  <conditionalFormatting sqref="G50">
    <cfRule type="expression" dxfId="709" priority="4289" stopIfTrue="1">
      <formula>ISNUMBER(SEARCH("Due Soon",G50))</formula>
    </cfRule>
    <cfRule type="expression" dxfId="708" priority="4290" stopIfTrue="1">
      <formula>ISNUMBER(SEARCH("Overdue",G50))</formula>
    </cfRule>
  </conditionalFormatting>
  <conditionalFormatting sqref="B49:G49">
    <cfRule type="expression" dxfId="707" priority="16062" stopIfTrue="1">
      <formula>MOD(ROW()-7,2)=0</formula>
    </cfRule>
  </conditionalFormatting>
  <conditionalFormatting sqref="G49">
    <cfRule type="expression" dxfId="706" priority="4271" stopIfTrue="1">
      <formula>ISNUMBER(SEARCH("Due Soon",G49))</formula>
    </cfRule>
    <cfRule type="expression" dxfId="705" priority="4272" stopIfTrue="1">
      <formula>ISNUMBER(SEARCH("Overdue",G49))</formula>
    </cfRule>
  </conditionalFormatting>
  <conditionalFormatting sqref="B48:G48">
    <cfRule type="expression" dxfId="704" priority="16063" stopIfTrue="1">
      <formula>MOD(ROW()-7,2)=0</formula>
    </cfRule>
  </conditionalFormatting>
  <conditionalFormatting sqref="G48">
    <cfRule type="expression" dxfId="703" priority="4253" stopIfTrue="1">
      <formula>ISNUMBER(SEARCH("Due Soon",G48))</formula>
    </cfRule>
    <cfRule type="expression" dxfId="702" priority="4254" stopIfTrue="1">
      <formula>ISNUMBER(SEARCH("Overdue",G48))</formula>
    </cfRule>
  </conditionalFormatting>
  <conditionalFormatting sqref="B47:G47">
    <cfRule type="expression" dxfId="701" priority="16064" stopIfTrue="1">
      <formula>MOD(ROW()-7,2)=0</formula>
    </cfRule>
  </conditionalFormatting>
  <conditionalFormatting sqref="G47">
    <cfRule type="expression" dxfId="700" priority="891" stopIfTrue="1">
      <formula>ISNUMBER(SEARCH("Due Soon",G47))</formula>
    </cfRule>
    <cfRule type="expression" dxfId="699" priority="892" stopIfTrue="1">
      <formula>ISNUMBER(SEARCH("Overdue",G47))</formula>
    </cfRule>
  </conditionalFormatting>
  <conditionalFormatting sqref="B46:G46">
    <cfRule type="expression" dxfId="698" priority="16065" stopIfTrue="1">
      <formula>MOD(ROW()-7,2)=0</formula>
    </cfRule>
  </conditionalFormatting>
  <conditionalFormatting sqref="G46">
    <cfRule type="expression" dxfId="697" priority="881" stopIfTrue="1">
      <formula>ISNUMBER(SEARCH("Due Soon",G46))</formula>
    </cfRule>
    <cfRule type="expression" dxfId="696" priority="882" stopIfTrue="1">
      <formula>ISNUMBER(SEARCH("Overdue",G46))</formula>
    </cfRule>
  </conditionalFormatting>
  <conditionalFormatting sqref="B45:G45">
    <cfRule type="expression" dxfId="695" priority="16066" stopIfTrue="1">
      <formula>MOD(ROW()-7,2)=0</formula>
    </cfRule>
  </conditionalFormatting>
  <conditionalFormatting sqref="G45">
    <cfRule type="expression" dxfId="694" priority="877" stopIfTrue="1">
      <formula>ISNUMBER(SEARCH("Due Soon",G45))</formula>
    </cfRule>
    <cfRule type="expression" dxfId="693" priority="878" stopIfTrue="1">
      <formula>ISNUMBER(SEARCH("Overdue",G45))</formula>
    </cfRule>
  </conditionalFormatting>
  <conditionalFormatting sqref="B44:G44">
    <cfRule type="expression" dxfId="692" priority="16067" stopIfTrue="1">
      <formula>MOD(ROW()-7,2)=0</formula>
    </cfRule>
  </conditionalFormatting>
  <conditionalFormatting sqref="G44">
    <cfRule type="expression" dxfId="691" priority="843" stopIfTrue="1">
      <formula>ISNUMBER(SEARCH("Due Soon",G44))</formula>
    </cfRule>
    <cfRule type="expression" dxfId="690" priority="844" stopIfTrue="1">
      <formula>ISNUMBER(SEARCH("Overdue",G44))</formula>
    </cfRule>
  </conditionalFormatting>
  <conditionalFormatting sqref="B43:G43">
    <cfRule type="expression" dxfId="689" priority="16068" stopIfTrue="1">
      <formula>MOD(ROW()-7,2)=0</formula>
    </cfRule>
  </conditionalFormatting>
  <conditionalFormatting sqref="G43">
    <cfRule type="expression" dxfId="688" priority="819" stopIfTrue="1">
      <formula>ISNUMBER(SEARCH("Due Soon",G43))</formula>
    </cfRule>
    <cfRule type="expression" dxfId="687" priority="820" stopIfTrue="1">
      <formula>ISNUMBER(SEARCH("Overdue",G43))</formula>
    </cfRule>
  </conditionalFormatting>
  <conditionalFormatting sqref="B42:G42">
    <cfRule type="expression" dxfId="686" priority="16069" stopIfTrue="1">
      <formula>MOD(ROW()-7,2)=0</formula>
    </cfRule>
  </conditionalFormatting>
  <conditionalFormatting sqref="G42">
    <cfRule type="expression" dxfId="685" priority="759" stopIfTrue="1">
      <formula>ISNUMBER(SEARCH("Due Soon",G42))</formula>
    </cfRule>
    <cfRule type="expression" dxfId="684" priority="760" stopIfTrue="1">
      <formula>ISNUMBER(SEARCH("Overdue",G42))</formula>
    </cfRule>
  </conditionalFormatting>
  <conditionalFormatting sqref="B41:G41">
    <cfRule type="expression" dxfId="683" priority="16070" stopIfTrue="1">
      <formula>MOD(ROW()-7,2)=0</formula>
    </cfRule>
  </conditionalFormatting>
  <conditionalFormatting sqref="G41">
    <cfRule type="expression" dxfId="682" priority="703" stopIfTrue="1">
      <formula>ISNUMBER(SEARCH("Due Soon",G41))</formula>
    </cfRule>
    <cfRule type="expression" dxfId="681" priority="704" stopIfTrue="1">
      <formula>ISNUMBER(SEARCH("Overdue",G41))</formula>
    </cfRule>
  </conditionalFormatting>
  <conditionalFormatting sqref="B40:G40">
    <cfRule type="expression" dxfId="680" priority="16071" stopIfTrue="1">
      <formula>MOD(ROW()-7,2)=0</formula>
    </cfRule>
  </conditionalFormatting>
  <conditionalFormatting sqref="G40">
    <cfRule type="expression" dxfId="679" priority="683" stopIfTrue="1">
      <formula>ISNUMBER(SEARCH("Due Soon",G40))</formula>
    </cfRule>
    <cfRule type="expression" dxfId="678" priority="684" stopIfTrue="1">
      <formula>ISNUMBER(SEARCH("Overdue",G40))</formula>
    </cfRule>
  </conditionalFormatting>
  <conditionalFormatting sqref="B38:G39">
    <cfRule type="expression" dxfId="677" priority="16072" stopIfTrue="1">
      <formula>MOD(ROW()-7,2)=0</formula>
    </cfRule>
  </conditionalFormatting>
  <conditionalFormatting sqref="G38:G39">
    <cfRule type="expression" dxfId="676" priority="569" stopIfTrue="1">
      <formula>ISNUMBER(SEARCH("Due Soon",G38))</formula>
    </cfRule>
    <cfRule type="expression" dxfId="675" priority="570" stopIfTrue="1">
      <formula>ISNUMBER(SEARCH("Overdue",G38))</formula>
    </cfRule>
  </conditionalFormatting>
  <conditionalFormatting sqref="B36:G37">
    <cfRule type="expression" dxfId="674" priority="16073" stopIfTrue="1">
      <formula>MOD(ROW()-7,2)=0</formula>
    </cfRule>
  </conditionalFormatting>
  <conditionalFormatting sqref="G36:G37">
    <cfRule type="expression" dxfId="673" priority="567" stopIfTrue="1">
      <formula>ISNUMBER(SEARCH("Due Soon",G36))</formula>
    </cfRule>
    <cfRule type="expression" dxfId="672" priority="568" stopIfTrue="1">
      <formula>ISNUMBER(SEARCH("Overdue",G36))</formula>
    </cfRule>
  </conditionalFormatting>
  <conditionalFormatting sqref="B35:G35">
    <cfRule type="expression" dxfId="395" priority="16074" stopIfTrue="1">
      <formula>MOD(ROW()-7,2)=0</formula>
    </cfRule>
  </conditionalFormatting>
  <conditionalFormatting sqref="G35">
    <cfRule type="expression" dxfId="394" priority="37" stopIfTrue="1">
      <formula>ISNUMBER(SEARCH("Due Soon",G35))</formula>
    </cfRule>
    <cfRule type="expression" dxfId="393" priority="38" stopIfTrue="1">
      <formula>ISNUMBER(SEARCH("Overdue",G35))</formula>
    </cfRule>
  </conditionalFormatting>
  <conditionalFormatting sqref="B7:G34">
    <cfRule type="expression" dxfId="2" priority="16075" stopIfTrue="1">
      <formula>MOD(ROW()-7,2)=0</formula>
    </cfRule>
  </conditionalFormatting>
  <conditionalFormatting sqref="G7:G34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513</v>
      </c>
      <c r="D1" s="99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workbookViewId="0">
      <selection activeCell="H23" sqref="H23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576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575</v>
      </c>
      <c r="C3" s="116"/>
      <c r="D3" s="114"/>
      <c r="E3" s="114"/>
      <c r="F3" s="114"/>
      <c r="G3" s="114"/>
      <c r="H3" s="122" t="s">
        <v>577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2"/>
    </row>
    <row r="5" spans="1:8" x14ac:dyDescent="0.25">
      <c r="B5" s="112"/>
      <c r="C5" s="116"/>
      <c r="D5" s="114"/>
      <c r="E5" s="114"/>
      <c r="F5" s="114"/>
      <c r="G5" s="114"/>
      <c r="H5" s="122"/>
    </row>
    <row r="6" spans="1:8" x14ac:dyDescent="0.25">
      <c r="B6" s="112" t="s">
        <v>219</v>
      </c>
      <c r="C6" s="117"/>
      <c r="D6" s="114"/>
      <c r="E6" s="114"/>
      <c r="F6" s="114"/>
      <c r="G6" s="114"/>
      <c r="H6" s="122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363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QMS-INIT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269</v>
      </c>
      <c r="C12" s="119" t="str">
        <f>VLOOKUP($C$10,tblCourses[],2,FALSE)</f>
        <v>Quality Management Systems (Initial)</v>
      </c>
      <c r="D12" s="120"/>
      <c r="E12" s="121"/>
      <c r="F12" s="121"/>
      <c r="G12" s="121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277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16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NTHA01</v>
      </c>
      <c r="C15" s="14" t="str">
        <f ca="1"/>
        <v>Angeline Nthakyo</v>
      </c>
      <c r="D15" s="29" t="str">
        <f ca="1"/>
        <v/>
      </c>
      <c r="E15" s="29">
        <f ca="1"/>
        <v>46286</v>
      </c>
      <c r="F15" s="30">
        <f ca="1"/>
        <v>0</v>
      </c>
      <c r="G15" s="30" t="str">
        <f ca="1"/>
        <v>Initial Required</v>
      </c>
      <c r="H15" s="73" t="str">
        <f ca="1">IFERROR(VLOOKUP(B15,tblPeople[],14,FALSE),"")</f>
        <v>angelinembithe18@gmail.com</v>
      </c>
    </row>
    <row r="16" spans="1:8" x14ac:dyDescent="0.25">
      <c r="A16" s="61">
        <f t="shared" ca="1" si="0"/>
        <v>2</v>
      </c>
      <c r="B16" s="14" t="str">
        <f ca="1"/>
        <v>CHEG01</v>
      </c>
      <c r="C16" s="14" t="str">
        <f ca="1"/>
        <v>Martin Chege</v>
      </c>
      <c r="D16" s="29" t="str">
        <f ca="1"/>
        <v/>
      </c>
      <c r="E16" s="29">
        <f ca="1"/>
        <v>46286</v>
      </c>
      <c r="F16" s="30">
        <f ca="1"/>
        <v>0</v>
      </c>
      <c r="G16" s="30" t="str">
        <f ca="1"/>
        <v>Initial Required</v>
      </c>
      <c r="H16" s="73" t="str">
        <f ca="1">IFERROR(VLOOKUP(B16,tblPeople[],14,FALSE),"")</f>
        <v>martinchege44@gmail.com</v>
      </c>
    </row>
    <row r="17" spans="1:8" x14ac:dyDescent="0.25">
      <c r="A17" s="61" t="str">
        <f t="shared" si="0"/>
        <v/>
      </c>
      <c r="B17" s="14"/>
      <c r="C17" s="14"/>
      <c r="D17" s="29"/>
      <c r="E17" s="29"/>
      <c r="F17" s="30"/>
      <c r="G17" s="30"/>
      <c r="H17" s="73" t="str">
        <f>IFERROR(VLOOKUP(B17,tblPeople[],14,FALSE),"")</f>
        <v/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515</v>
      </c>
      <c r="B1" t="s">
        <v>516</v>
      </c>
    </row>
    <row r="2" spans="1:2" x14ac:dyDescent="0.25">
      <c r="A2" t="s">
        <v>517</v>
      </c>
      <c r="B2" t="s">
        <v>518</v>
      </c>
    </row>
    <row r="3" spans="1:2" x14ac:dyDescent="0.25">
      <c r="A3" t="s">
        <v>578</v>
      </c>
      <c r="B3" t="s">
        <v>579</v>
      </c>
    </row>
    <row r="4" spans="1:2" x14ac:dyDescent="0.25">
      <c r="A4" t="s">
        <v>279</v>
      </c>
      <c r="B4" t="s">
        <v>519</v>
      </c>
    </row>
    <row r="5" spans="1:2" x14ac:dyDescent="0.25">
      <c r="A5" t="s">
        <v>581</v>
      </c>
      <c r="B5" t="s">
        <v>583</v>
      </c>
    </row>
    <row r="6" spans="1:2" x14ac:dyDescent="0.25">
      <c r="A6" t="s">
        <v>520</v>
      </c>
      <c r="B6" t="s">
        <v>521</v>
      </c>
    </row>
    <row r="7" spans="1:2" x14ac:dyDescent="0.25">
      <c r="A7" t="s">
        <v>287</v>
      </c>
      <c r="B7" t="s">
        <v>522</v>
      </c>
    </row>
    <row r="8" spans="1:2" x14ac:dyDescent="0.25">
      <c r="A8" t="s">
        <v>295</v>
      </c>
      <c r="B8" t="s">
        <v>523</v>
      </c>
    </row>
    <row r="9" spans="1:2" x14ac:dyDescent="0.25">
      <c r="A9" t="s">
        <v>524</v>
      </c>
      <c r="B9" t="s">
        <v>525</v>
      </c>
    </row>
    <row r="10" spans="1:2" x14ac:dyDescent="0.25">
      <c r="A10" t="s">
        <v>283</v>
      </c>
      <c r="B10" t="s">
        <v>526</v>
      </c>
    </row>
    <row r="11" spans="1:2" x14ac:dyDescent="0.25">
      <c r="A11" t="s">
        <v>594</v>
      </c>
      <c r="B11" t="s">
        <v>595</v>
      </c>
    </row>
    <row r="12" spans="1:2" x14ac:dyDescent="0.25">
      <c r="A12" t="s">
        <v>280</v>
      </c>
      <c r="B12" t="s">
        <v>527</v>
      </c>
    </row>
    <row r="13" spans="1:2" x14ac:dyDescent="0.25">
      <c r="A13" t="s">
        <v>278</v>
      </c>
      <c r="B13" t="s">
        <v>528</v>
      </c>
    </row>
    <row r="14" spans="1:2" x14ac:dyDescent="0.25">
      <c r="A14" t="s">
        <v>529</v>
      </c>
      <c r="B14" t="s">
        <v>530</v>
      </c>
    </row>
    <row r="15" spans="1:2" x14ac:dyDescent="0.25">
      <c r="A15" t="s">
        <v>293</v>
      </c>
      <c r="B15" t="s">
        <v>531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0"/>
  <sheetViews>
    <sheetView topLeftCell="A64" workbookViewId="0">
      <selection activeCell="B126" sqref="B126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515</v>
      </c>
      <c r="C1" t="s">
        <v>8</v>
      </c>
      <c r="D1" t="s">
        <v>393</v>
      </c>
      <c r="E1" t="s">
        <v>532</v>
      </c>
      <c r="F1" t="s">
        <v>4</v>
      </c>
    </row>
    <row r="2" spans="1:6" x14ac:dyDescent="0.25">
      <c r="A2" t="s">
        <v>364</v>
      </c>
      <c r="B2" t="s">
        <v>287</v>
      </c>
      <c r="C2" t="s">
        <v>287</v>
      </c>
      <c r="D2" t="s">
        <v>301</v>
      </c>
      <c r="E2" t="s">
        <v>372</v>
      </c>
      <c r="F2" t="s">
        <v>533</v>
      </c>
    </row>
    <row r="3" spans="1:6" x14ac:dyDescent="0.25">
      <c r="A3" t="s">
        <v>120</v>
      </c>
      <c r="B3" t="s">
        <v>279</v>
      </c>
      <c r="C3" t="s">
        <v>279</v>
      </c>
      <c r="D3" t="s">
        <v>282</v>
      </c>
      <c r="E3" t="s">
        <v>372</v>
      </c>
      <c r="F3" t="s">
        <v>534</v>
      </c>
    </row>
    <row r="4" spans="1:6" x14ac:dyDescent="0.25">
      <c r="A4" t="s">
        <v>120</v>
      </c>
      <c r="B4" t="s">
        <v>594</v>
      </c>
      <c r="C4" t="s">
        <v>279</v>
      </c>
      <c r="D4" t="s">
        <v>282</v>
      </c>
      <c r="E4" t="s">
        <v>372</v>
      </c>
      <c r="F4" t="s">
        <v>596</v>
      </c>
    </row>
    <row r="5" spans="1:6" x14ac:dyDescent="0.25">
      <c r="A5" t="s">
        <v>268</v>
      </c>
      <c r="B5" t="s">
        <v>529</v>
      </c>
      <c r="C5" t="s">
        <v>278</v>
      </c>
      <c r="D5" t="s">
        <v>291</v>
      </c>
      <c r="E5" t="s">
        <v>372</v>
      </c>
      <c r="F5" t="s">
        <v>536</v>
      </c>
    </row>
    <row r="6" spans="1:6" x14ac:dyDescent="0.25">
      <c r="A6" t="s">
        <v>268</v>
      </c>
      <c r="B6" t="s">
        <v>524</v>
      </c>
      <c r="C6" t="s">
        <v>295</v>
      </c>
      <c r="D6" t="s">
        <v>291</v>
      </c>
      <c r="E6" t="s">
        <v>372</v>
      </c>
      <c r="F6" t="s">
        <v>570</v>
      </c>
    </row>
    <row r="7" spans="1:6" x14ac:dyDescent="0.25">
      <c r="A7" t="s">
        <v>119</v>
      </c>
      <c r="B7" t="s">
        <v>279</v>
      </c>
      <c r="C7" t="s">
        <v>279</v>
      </c>
      <c r="D7" t="s">
        <v>282</v>
      </c>
      <c r="E7" t="s">
        <v>372</v>
      </c>
      <c r="F7" t="s">
        <v>534</v>
      </c>
    </row>
    <row r="8" spans="1:6" x14ac:dyDescent="0.25">
      <c r="A8" t="s">
        <v>117</v>
      </c>
      <c r="B8" t="s">
        <v>280</v>
      </c>
      <c r="C8" t="s">
        <v>280</v>
      </c>
      <c r="D8" t="s">
        <v>501</v>
      </c>
      <c r="E8" t="s">
        <v>372</v>
      </c>
      <c r="F8" t="s">
        <v>537</v>
      </c>
    </row>
    <row r="9" spans="1:6" x14ac:dyDescent="0.25">
      <c r="A9" t="s">
        <v>390</v>
      </c>
      <c r="B9" t="s">
        <v>279</v>
      </c>
      <c r="C9" t="s">
        <v>279</v>
      </c>
      <c r="D9" t="s">
        <v>394</v>
      </c>
      <c r="E9" t="s">
        <v>372</v>
      </c>
      <c r="F9" t="s">
        <v>534</v>
      </c>
    </row>
    <row r="10" spans="1:6" x14ac:dyDescent="0.25">
      <c r="A10" t="s">
        <v>89</v>
      </c>
      <c r="B10" t="s">
        <v>529</v>
      </c>
      <c r="C10" t="s">
        <v>278</v>
      </c>
      <c r="D10" t="s">
        <v>424</v>
      </c>
      <c r="E10" t="s">
        <v>372</v>
      </c>
      <c r="F10" t="s">
        <v>538</v>
      </c>
    </row>
    <row r="11" spans="1:6" x14ac:dyDescent="0.25">
      <c r="A11" t="s">
        <v>89</v>
      </c>
      <c r="B11" t="s">
        <v>524</v>
      </c>
      <c r="C11" t="s">
        <v>295</v>
      </c>
      <c r="D11" t="s">
        <v>424</v>
      </c>
      <c r="E11" t="s">
        <v>372</v>
      </c>
      <c r="F11" t="s">
        <v>570</v>
      </c>
    </row>
    <row r="12" spans="1:6" x14ac:dyDescent="0.25">
      <c r="A12" t="s">
        <v>103</v>
      </c>
      <c r="B12" t="s">
        <v>287</v>
      </c>
      <c r="C12" t="s">
        <v>287</v>
      </c>
      <c r="D12" t="s">
        <v>286</v>
      </c>
      <c r="E12" t="s">
        <v>372</v>
      </c>
      <c r="F12" t="s">
        <v>533</v>
      </c>
    </row>
    <row r="13" spans="1:6" x14ac:dyDescent="0.25">
      <c r="A13" t="s">
        <v>103</v>
      </c>
      <c r="B13" t="s">
        <v>279</v>
      </c>
      <c r="C13" t="s">
        <v>279</v>
      </c>
      <c r="D13" t="s">
        <v>286</v>
      </c>
      <c r="E13" t="s">
        <v>372</v>
      </c>
      <c r="F13" t="s">
        <v>539</v>
      </c>
    </row>
    <row r="14" spans="1:6" x14ac:dyDescent="0.25">
      <c r="A14" t="s">
        <v>103</v>
      </c>
      <c r="B14" t="s">
        <v>283</v>
      </c>
      <c r="C14" t="s">
        <v>279</v>
      </c>
      <c r="D14" t="s">
        <v>286</v>
      </c>
      <c r="E14" t="s">
        <v>372</v>
      </c>
      <c r="F14" t="s">
        <v>540</v>
      </c>
    </row>
    <row r="15" spans="1:6" x14ac:dyDescent="0.25">
      <c r="A15" t="s">
        <v>103</v>
      </c>
      <c r="B15" t="s">
        <v>520</v>
      </c>
      <c r="C15" t="s">
        <v>279</v>
      </c>
      <c r="D15" t="s">
        <v>286</v>
      </c>
      <c r="E15" t="s">
        <v>372</v>
      </c>
      <c r="F15" t="s">
        <v>541</v>
      </c>
    </row>
    <row r="16" spans="1:6" x14ac:dyDescent="0.25">
      <c r="A16" t="s">
        <v>104</v>
      </c>
      <c r="B16" t="s">
        <v>279</v>
      </c>
      <c r="C16" t="s">
        <v>279</v>
      </c>
      <c r="D16" t="s">
        <v>425</v>
      </c>
      <c r="E16" t="s">
        <v>372</v>
      </c>
      <c r="F16" t="s">
        <v>534</v>
      </c>
    </row>
    <row r="17" spans="1:6" x14ac:dyDescent="0.25">
      <c r="A17" t="s">
        <v>104</v>
      </c>
      <c r="B17" t="s">
        <v>283</v>
      </c>
      <c r="C17" t="s">
        <v>279</v>
      </c>
      <c r="D17" t="s">
        <v>425</v>
      </c>
      <c r="E17" t="s">
        <v>372</v>
      </c>
      <c r="F17" t="s">
        <v>542</v>
      </c>
    </row>
    <row r="18" spans="1:6" x14ac:dyDescent="0.25">
      <c r="A18" t="s">
        <v>104</v>
      </c>
      <c r="B18" t="s">
        <v>520</v>
      </c>
      <c r="C18" t="s">
        <v>279</v>
      </c>
      <c r="D18" t="s">
        <v>425</v>
      </c>
      <c r="E18" t="s">
        <v>372</v>
      </c>
      <c r="F18" t="s">
        <v>543</v>
      </c>
    </row>
    <row r="19" spans="1:6" x14ac:dyDescent="0.25">
      <c r="A19" t="s">
        <v>104</v>
      </c>
      <c r="B19" t="s">
        <v>594</v>
      </c>
      <c r="C19" t="s">
        <v>279</v>
      </c>
      <c r="D19" t="s">
        <v>425</v>
      </c>
      <c r="E19" t="s">
        <v>372</v>
      </c>
      <c r="F19" t="s">
        <v>596</v>
      </c>
    </row>
    <row r="20" spans="1:6" x14ac:dyDescent="0.25">
      <c r="A20" t="s">
        <v>402</v>
      </c>
      <c r="B20" t="s">
        <v>529</v>
      </c>
      <c r="C20" t="s">
        <v>278</v>
      </c>
      <c r="D20" t="s">
        <v>291</v>
      </c>
      <c r="E20" t="s">
        <v>372</v>
      </c>
      <c r="F20" t="s">
        <v>536</v>
      </c>
    </row>
    <row r="21" spans="1:6" x14ac:dyDescent="0.25">
      <c r="A21" t="s">
        <v>83</v>
      </c>
      <c r="B21" t="s">
        <v>280</v>
      </c>
      <c r="C21" t="s">
        <v>280</v>
      </c>
      <c r="D21" t="s">
        <v>502</v>
      </c>
      <c r="E21" t="s">
        <v>372</v>
      </c>
      <c r="F21" t="s">
        <v>544</v>
      </c>
    </row>
    <row r="22" spans="1:6" x14ac:dyDescent="0.25">
      <c r="A22" t="s">
        <v>149</v>
      </c>
      <c r="B22" t="s">
        <v>287</v>
      </c>
      <c r="C22" t="s">
        <v>287</v>
      </c>
      <c r="D22" t="s">
        <v>284</v>
      </c>
      <c r="E22" t="s">
        <v>372</v>
      </c>
      <c r="F22" t="s">
        <v>533</v>
      </c>
    </row>
    <row r="23" spans="1:6" x14ac:dyDescent="0.25">
      <c r="A23" t="s">
        <v>149</v>
      </c>
      <c r="B23" t="s">
        <v>295</v>
      </c>
      <c r="C23" t="s">
        <v>295</v>
      </c>
      <c r="D23" t="s">
        <v>284</v>
      </c>
      <c r="E23" t="s">
        <v>372</v>
      </c>
      <c r="F23" t="s">
        <v>535</v>
      </c>
    </row>
    <row r="24" spans="1:6" x14ac:dyDescent="0.25">
      <c r="A24" t="s">
        <v>149</v>
      </c>
      <c r="B24" t="s">
        <v>524</v>
      </c>
      <c r="C24" t="s">
        <v>295</v>
      </c>
      <c r="D24" t="s">
        <v>284</v>
      </c>
      <c r="E24" t="s">
        <v>372</v>
      </c>
      <c r="F24" t="s">
        <v>545</v>
      </c>
    </row>
    <row r="25" spans="1:6" x14ac:dyDescent="0.25">
      <c r="A25" t="s">
        <v>149</v>
      </c>
      <c r="B25" t="s">
        <v>283</v>
      </c>
      <c r="C25" t="s">
        <v>295</v>
      </c>
      <c r="D25" t="s">
        <v>284</v>
      </c>
      <c r="E25" t="s">
        <v>372</v>
      </c>
      <c r="F25" t="s">
        <v>546</v>
      </c>
    </row>
    <row r="26" spans="1:6" x14ac:dyDescent="0.25">
      <c r="A26" t="s">
        <v>208</v>
      </c>
      <c r="B26" t="s">
        <v>581</v>
      </c>
      <c r="C26" t="s">
        <v>279</v>
      </c>
      <c r="D26" t="s">
        <v>285</v>
      </c>
      <c r="E26" t="s">
        <v>372</v>
      </c>
      <c r="F26" t="s">
        <v>534</v>
      </c>
    </row>
    <row r="27" spans="1:6" x14ac:dyDescent="0.25">
      <c r="A27" t="s">
        <v>95</v>
      </c>
      <c r="B27" t="s">
        <v>279</v>
      </c>
      <c r="C27" t="s">
        <v>279</v>
      </c>
      <c r="D27" t="s">
        <v>425</v>
      </c>
      <c r="E27" t="s">
        <v>372</v>
      </c>
      <c r="F27" t="s">
        <v>534</v>
      </c>
    </row>
    <row r="28" spans="1:6" x14ac:dyDescent="0.25">
      <c r="A28" t="s">
        <v>95</v>
      </c>
      <c r="B28" t="s">
        <v>578</v>
      </c>
      <c r="C28" t="s">
        <v>279</v>
      </c>
      <c r="D28" t="s">
        <v>425</v>
      </c>
      <c r="E28" t="s">
        <v>372</v>
      </c>
      <c r="F28" t="s">
        <v>116</v>
      </c>
    </row>
    <row r="29" spans="1:6" x14ac:dyDescent="0.25">
      <c r="A29" t="s">
        <v>95</v>
      </c>
      <c r="B29" t="s">
        <v>283</v>
      </c>
      <c r="C29" t="s">
        <v>279</v>
      </c>
      <c r="D29" t="s">
        <v>425</v>
      </c>
      <c r="E29" t="s">
        <v>372</v>
      </c>
      <c r="F29" t="s">
        <v>542</v>
      </c>
    </row>
    <row r="30" spans="1:6" x14ac:dyDescent="0.25">
      <c r="A30" t="s">
        <v>95</v>
      </c>
      <c r="B30" t="s">
        <v>520</v>
      </c>
      <c r="C30" t="s">
        <v>279</v>
      </c>
      <c r="D30" t="s">
        <v>425</v>
      </c>
      <c r="E30" t="s">
        <v>372</v>
      </c>
      <c r="F30" t="s">
        <v>543</v>
      </c>
    </row>
    <row r="31" spans="1:6" x14ac:dyDescent="0.25">
      <c r="A31" t="s">
        <v>95</v>
      </c>
      <c r="B31" t="s">
        <v>524</v>
      </c>
      <c r="C31" t="s">
        <v>295</v>
      </c>
      <c r="D31" t="s">
        <v>425</v>
      </c>
      <c r="E31" t="s">
        <v>372</v>
      </c>
      <c r="F31" t="s">
        <v>570</v>
      </c>
    </row>
    <row r="32" spans="1:6" x14ac:dyDescent="0.25">
      <c r="A32" t="s">
        <v>99</v>
      </c>
      <c r="B32" t="s">
        <v>581</v>
      </c>
      <c r="C32" t="s">
        <v>279</v>
      </c>
      <c r="D32" t="s">
        <v>285</v>
      </c>
      <c r="E32" t="s">
        <v>372</v>
      </c>
      <c r="F32" t="s">
        <v>534</v>
      </c>
    </row>
    <row r="33" spans="1:6" x14ac:dyDescent="0.25">
      <c r="A33" t="s">
        <v>210</v>
      </c>
      <c r="B33" t="s">
        <v>279</v>
      </c>
      <c r="C33" t="s">
        <v>279</v>
      </c>
      <c r="D33" t="s">
        <v>282</v>
      </c>
      <c r="E33" t="s">
        <v>372</v>
      </c>
      <c r="F33" t="s">
        <v>534</v>
      </c>
    </row>
    <row r="34" spans="1:6" x14ac:dyDescent="0.25">
      <c r="A34" t="s">
        <v>210</v>
      </c>
      <c r="B34" t="s">
        <v>578</v>
      </c>
      <c r="C34" t="s">
        <v>279</v>
      </c>
      <c r="D34" t="s">
        <v>282</v>
      </c>
      <c r="E34" t="s">
        <v>372</v>
      </c>
      <c r="F34" t="s">
        <v>116</v>
      </c>
    </row>
    <row r="35" spans="1:6" x14ac:dyDescent="0.25">
      <c r="A35" t="s">
        <v>210</v>
      </c>
      <c r="B35" t="s">
        <v>529</v>
      </c>
      <c r="C35" t="s">
        <v>278</v>
      </c>
      <c r="D35" t="s">
        <v>291</v>
      </c>
      <c r="E35" t="s">
        <v>372</v>
      </c>
      <c r="F35" t="s">
        <v>536</v>
      </c>
    </row>
    <row r="36" spans="1:6" x14ac:dyDescent="0.25">
      <c r="A36" t="s">
        <v>121</v>
      </c>
      <c r="B36" t="s">
        <v>279</v>
      </c>
      <c r="C36" t="s">
        <v>279</v>
      </c>
      <c r="D36" t="s">
        <v>282</v>
      </c>
      <c r="E36" t="s">
        <v>372</v>
      </c>
      <c r="F36" t="s">
        <v>534</v>
      </c>
    </row>
    <row r="37" spans="1:6" x14ac:dyDescent="0.25">
      <c r="A37" t="s">
        <v>121</v>
      </c>
      <c r="B37" t="s">
        <v>529</v>
      </c>
      <c r="C37" t="s">
        <v>278</v>
      </c>
      <c r="D37" t="s">
        <v>291</v>
      </c>
      <c r="E37" t="s">
        <v>372</v>
      </c>
      <c r="F37" t="s">
        <v>536</v>
      </c>
    </row>
    <row r="38" spans="1:6" x14ac:dyDescent="0.25">
      <c r="A38" t="s">
        <v>91</v>
      </c>
      <c r="B38" t="s">
        <v>578</v>
      </c>
      <c r="C38" t="s">
        <v>279</v>
      </c>
      <c r="D38" t="s">
        <v>282</v>
      </c>
      <c r="E38" t="s">
        <v>372</v>
      </c>
      <c r="F38" t="s">
        <v>116</v>
      </c>
    </row>
    <row r="39" spans="1:6" x14ac:dyDescent="0.25">
      <c r="A39" t="s">
        <v>91</v>
      </c>
      <c r="B39" t="s">
        <v>279</v>
      </c>
      <c r="C39" t="s">
        <v>279</v>
      </c>
      <c r="D39" t="s">
        <v>282</v>
      </c>
      <c r="E39" t="s">
        <v>372</v>
      </c>
      <c r="F39" t="s">
        <v>534</v>
      </c>
    </row>
    <row r="40" spans="1:6" x14ac:dyDescent="0.25">
      <c r="A40" t="s">
        <v>105</v>
      </c>
      <c r="B40" t="s">
        <v>279</v>
      </c>
      <c r="C40" t="s">
        <v>279</v>
      </c>
      <c r="D40" t="s">
        <v>426</v>
      </c>
      <c r="E40" t="s">
        <v>372</v>
      </c>
      <c r="F40" t="s">
        <v>534</v>
      </c>
    </row>
    <row r="41" spans="1:6" x14ac:dyDescent="0.25">
      <c r="A41" t="s">
        <v>105</v>
      </c>
      <c r="B41" t="s">
        <v>520</v>
      </c>
      <c r="C41" t="s">
        <v>279</v>
      </c>
      <c r="D41" t="s">
        <v>426</v>
      </c>
      <c r="E41" t="s">
        <v>372</v>
      </c>
      <c r="F41" t="s">
        <v>547</v>
      </c>
    </row>
    <row r="42" spans="1:6" x14ac:dyDescent="0.25">
      <c r="A42" t="s">
        <v>105</v>
      </c>
      <c r="B42" t="s">
        <v>594</v>
      </c>
      <c r="C42" t="s">
        <v>279</v>
      </c>
      <c r="D42" t="s">
        <v>426</v>
      </c>
      <c r="E42" t="s">
        <v>372</v>
      </c>
      <c r="F42" t="s">
        <v>596</v>
      </c>
    </row>
    <row r="43" spans="1:6" x14ac:dyDescent="0.25">
      <c r="A43" t="s">
        <v>102</v>
      </c>
      <c r="B43" t="s">
        <v>287</v>
      </c>
      <c r="C43" t="s">
        <v>287</v>
      </c>
      <c r="D43" t="s">
        <v>587</v>
      </c>
      <c r="E43" t="s">
        <v>372</v>
      </c>
      <c r="F43" t="s">
        <v>533</v>
      </c>
    </row>
    <row r="44" spans="1:6" x14ac:dyDescent="0.25">
      <c r="A44" t="s">
        <v>102</v>
      </c>
      <c r="B44" t="s">
        <v>279</v>
      </c>
      <c r="C44" t="s">
        <v>279</v>
      </c>
      <c r="D44" t="s">
        <v>587</v>
      </c>
      <c r="E44" t="s">
        <v>372</v>
      </c>
      <c r="F44" t="s">
        <v>539</v>
      </c>
    </row>
    <row r="45" spans="1:6" x14ac:dyDescent="0.25">
      <c r="A45" t="s">
        <v>102</v>
      </c>
      <c r="B45" t="s">
        <v>283</v>
      </c>
      <c r="C45" t="s">
        <v>279</v>
      </c>
      <c r="D45" t="s">
        <v>587</v>
      </c>
      <c r="E45" t="s">
        <v>372</v>
      </c>
      <c r="F45" t="s">
        <v>540</v>
      </c>
    </row>
    <row r="46" spans="1:6" x14ac:dyDescent="0.25">
      <c r="A46" t="s">
        <v>102</v>
      </c>
      <c r="B46" t="s">
        <v>520</v>
      </c>
      <c r="C46" t="s">
        <v>279</v>
      </c>
      <c r="D46" t="s">
        <v>587</v>
      </c>
      <c r="E46" t="s">
        <v>372</v>
      </c>
      <c r="F46" t="s">
        <v>541</v>
      </c>
    </row>
    <row r="47" spans="1:6" x14ac:dyDescent="0.25">
      <c r="A47" t="s">
        <v>152</v>
      </c>
      <c r="B47" t="s">
        <v>279</v>
      </c>
      <c r="C47" t="s">
        <v>279</v>
      </c>
      <c r="D47" t="s">
        <v>425</v>
      </c>
      <c r="E47" t="s">
        <v>372</v>
      </c>
      <c r="F47" t="s">
        <v>534</v>
      </c>
    </row>
    <row r="48" spans="1:6" x14ac:dyDescent="0.25">
      <c r="A48" t="s">
        <v>152</v>
      </c>
      <c r="B48" t="s">
        <v>283</v>
      </c>
      <c r="C48" t="s">
        <v>279</v>
      </c>
      <c r="D48" t="s">
        <v>425</v>
      </c>
      <c r="E48" t="s">
        <v>372</v>
      </c>
      <c r="F48" t="s">
        <v>542</v>
      </c>
    </row>
    <row r="49" spans="1:6" x14ac:dyDescent="0.25">
      <c r="A49" t="s">
        <v>152</v>
      </c>
      <c r="B49" t="s">
        <v>520</v>
      </c>
      <c r="C49" t="s">
        <v>279</v>
      </c>
      <c r="D49" t="s">
        <v>425</v>
      </c>
      <c r="E49" t="s">
        <v>372</v>
      </c>
      <c r="F49" t="s">
        <v>543</v>
      </c>
    </row>
    <row r="50" spans="1:6" x14ac:dyDescent="0.25">
      <c r="A50" t="s">
        <v>98</v>
      </c>
      <c r="B50" t="s">
        <v>279</v>
      </c>
      <c r="C50" t="s">
        <v>279</v>
      </c>
      <c r="D50" t="s">
        <v>425</v>
      </c>
      <c r="E50" t="s">
        <v>372</v>
      </c>
      <c r="F50" t="s">
        <v>534</v>
      </c>
    </row>
    <row r="51" spans="1:6" x14ac:dyDescent="0.25">
      <c r="A51" t="s">
        <v>98</v>
      </c>
      <c r="B51" t="s">
        <v>283</v>
      </c>
      <c r="C51" t="s">
        <v>279</v>
      </c>
      <c r="D51" t="s">
        <v>425</v>
      </c>
      <c r="E51" t="s">
        <v>372</v>
      </c>
      <c r="F51" t="s">
        <v>542</v>
      </c>
    </row>
    <row r="52" spans="1:6" x14ac:dyDescent="0.25">
      <c r="A52" t="s">
        <v>98</v>
      </c>
      <c r="B52" t="s">
        <v>520</v>
      </c>
      <c r="C52" t="s">
        <v>279</v>
      </c>
      <c r="D52" t="s">
        <v>425</v>
      </c>
      <c r="E52" t="s">
        <v>372</v>
      </c>
      <c r="F52" t="s">
        <v>543</v>
      </c>
    </row>
    <row r="53" spans="1:6" x14ac:dyDescent="0.25">
      <c r="A53" t="s">
        <v>98</v>
      </c>
      <c r="B53" t="s">
        <v>578</v>
      </c>
      <c r="C53" t="s">
        <v>279</v>
      </c>
      <c r="D53" t="s">
        <v>282</v>
      </c>
      <c r="E53" t="s">
        <v>372</v>
      </c>
      <c r="F53" t="s">
        <v>116</v>
      </c>
    </row>
    <row r="54" spans="1:6" x14ac:dyDescent="0.25">
      <c r="A54" t="s">
        <v>354</v>
      </c>
      <c r="B54" t="s">
        <v>280</v>
      </c>
      <c r="C54" t="s">
        <v>280</v>
      </c>
      <c r="D54" t="s">
        <v>288</v>
      </c>
      <c r="E54" t="s">
        <v>372</v>
      </c>
      <c r="F54" t="s">
        <v>548</v>
      </c>
    </row>
    <row r="55" spans="1:6" x14ac:dyDescent="0.25">
      <c r="A55" t="s">
        <v>155</v>
      </c>
      <c r="B55" t="s">
        <v>279</v>
      </c>
      <c r="C55" t="s">
        <v>279</v>
      </c>
      <c r="D55" t="s">
        <v>282</v>
      </c>
      <c r="E55" t="s">
        <v>372</v>
      </c>
      <c r="F55" t="s">
        <v>534</v>
      </c>
    </row>
    <row r="56" spans="1:6" x14ac:dyDescent="0.25">
      <c r="A56" t="s">
        <v>106</v>
      </c>
      <c r="B56" t="s">
        <v>279</v>
      </c>
      <c r="C56" t="s">
        <v>279</v>
      </c>
      <c r="D56" t="s">
        <v>282</v>
      </c>
      <c r="E56" t="s">
        <v>372</v>
      </c>
      <c r="F56" t="s">
        <v>534</v>
      </c>
    </row>
    <row r="57" spans="1:6" x14ac:dyDescent="0.25">
      <c r="A57" t="s">
        <v>106</v>
      </c>
      <c r="B57" t="s">
        <v>594</v>
      </c>
      <c r="C57" t="s">
        <v>279</v>
      </c>
      <c r="D57" t="s">
        <v>282</v>
      </c>
      <c r="E57" t="s">
        <v>372</v>
      </c>
      <c r="F57" t="s">
        <v>596</v>
      </c>
    </row>
    <row r="58" spans="1:6" x14ac:dyDescent="0.25">
      <c r="A58" t="s">
        <v>403</v>
      </c>
      <c r="B58" t="s">
        <v>529</v>
      </c>
      <c r="C58" t="s">
        <v>278</v>
      </c>
      <c r="D58" t="s">
        <v>291</v>
      </c>
      <c r="E58" t="s">
        <v>372</v>
      </c>
      <c r="F58" t="s">
        <v>536</v>
      </c>
    </row>
    <row r="59" spans="1:6" x14ac:dyDescent="0.25">
      <c r="A59" t="s">
        <v>406</v>
      </c>
      <c r="B59" t="s">
        <v>295</v>
      </c>
      <c r="C59" t="s">
        <v>295</v>
      </c>
      <c r="D59" t="s">
        <v>296</v>
      </c>
      <c r="E59" t="s">
        <v>372</v>
      </c>
      <c r="F59" t="s">
        <v>549</v>
      </c>
    </row>
    <row r="60" spans="1:6" x14ac:dyDescent="0.25">
      <c r="A60" t="s">
        <v>406</v>
      </c>
      <c r="B60" t="s">
        <v>524</v>
      </c>
      <c r="C60" t="s">
        <v>295</v>
      </c>
      <c r="D60" t="s">
        <v>296</v>
      </c>
      <c r="E60" t="s">
        <v>372</v>
      </c>
      <c r="F60" t="s">
        <v>549</v>
      </c>
    </row>
    <row r="61" spans="1:6" x14ac:dyDescent="0.25">
      <c r="A61" t="s">
        <v>100</v>
      </c>
      <c r="B61" t="s">
        <v>279</v>
      </c>
      <c r="C61" t="s">
        <v>279</v>
      </c>
      <c r="D61" t="s">
        <v>425</v>
      </c>
      <c r="E61" t="s">
        <v>372</v>
      </c>
      <c r="F61" t="s">
        <v>534</v>
      </c>
    </row>
    <row r="62" spans="1:6" x14ac:dyDescent="0.25">
      <c r="A62" t="s">
        <v>100</v>
      </c>
      <c r="B62" t="s">
        <v>578</v>
      </c>
      <c r="C62" t="s">
        <v>279</v>
      </c>
      <c r="D62" t="s">
        <v>282</v>
      </c>
      <c r="E62" t="s">
        <v>372</v>
      </c>
      <c r="F62" t="s">
        <v>116</v>
      </c>
    </row>
    <row r="63" spans="1:6" x14ac:dyDescent="0.25">
      <c r="A63" t="s">
        <v>100</v>
      </c>
      <c r="B63" t="s">
        <v>283</v>
      </c>
      <c r="C63" t="s">
        <v>279</v>
      </c>
      <c r="D63" t="s">
        <v>425</v>
      </c>
      <c r="E63" t="s">
        <v>372</v>
      </c>
      <c r="F63" t="s">
        <v>542</v>
      </c>
    </row>
    <row r="64" spans="1:6" x14ac:dyDescent="0.25">
      <c r="A64" t="s">
        <v>100</v>
      </c>
      <c r="B64" t="s">
        <v>520</v>
      </c>
      <c r="C64" t="s">
        <v>279</v>
      </c>
      <c r="D64" t="s">
        <v>425</v>
      </c>
      <c r="E64" t="s">
        <v>372</v>
      </c>
      <c r="F64" t="s">
        <v>543</v>
      </c>
    </row>
    <row r="65" spans="1:6" x14ac:dyDescent="0.25">
      <c r="A65" t="s">
        <v>135</v>
      </c>
      <c r="B65" t="s">
        <v>287</v>
      </c>
      <c r="C65" t="s">
        <v>287</v>
      </c>
      <c r="D65" t="s">
        <v>299</v>
      </c>
      <c r="E65" t="s">
        <v>372</v>
      </c>
      <c r="F65" t="s">
        <v>533</v>
      </c>
    </row>
    <row r="66" spans="1:6" x14ac:dyDescent="0.25">
      <c r="A66" t="s">
        <v>135</v>
      </c>
      <c r="B66" t="s">
        <v>279</v>
      </c>
      <c r="C66" t="s">
        <v>279</v>
      </c>
      <c r="D66" t="s">
        <v>299</v>
      </c>
      <c r="E66" t="s">
        <v>372</v>
      </c>
      <c r="F66" t="s">
        <v>550</v>
      </c>
    </row>
    <row r="67" spans="1:6" x14ac:dyDescent="0.25">
      <c r="A67" t="s">
        <v>135</v>
      </c>
      <c r="B67" t="s">
        <v>283</v>
      </c>
      <c r="C67" t="s">
        <v>279</v>
      </c>
      <c r="D67" t="s">
        <v>299</v>
      </c>
      <c r="E67" t="s">
        <v>372</v>
      </c>
      <c r="F67" t="s">
        <v>540</v>
      </c>
    </row>
    <row r="68" spans="1:6" x14ac:dyDescent="0.25">
      <c r="A68" t="s">
        <v>135</v>
      </c>
      <c r="B68" t="s">
        <v>520</v>
      </c>
      <c r="C68" t="s">
        <v>279</v>
      </c>
      <c r="D68" t="s">
        <v>299</v>
      </c>
      <c r="E68" t="s">
        <v>372</v>
      </c>
      <c r="F68" t="s">
        <v>541</v>
      </c>
    </row>
    <row r="69" spans="1:6" x14ac:dyDescent="0.25">
      <c r="A69" t="s">
        <v>84</v>
      </c>
      <c r="B69" t="s">
        <v>581</v>
      </c>
      <c r="C69" t="s">
        <v>279</v>
      </c>
      <c r="D69" t="s">
        <v>285</v>
      </c>
      <c r="E69" t="s">
        <v>372</v>
      </c>
      <c r="F69" t="s">
        <v>534</v>
      </c>
    </row>
    <row r="70" spans="1:6" x14ac:dyDescent="0.25">
      <c r="A70" t="s">
        <v>156</v>
      </c>
      <c r="B70" t="s">
        <v>281</v>
      </c>
      <c r="C70" t="s">
        <v>281</v>
      </c>
      <c r="D70" t="s">
        <v>289</v>
      </c>
      <c r="E70" t="s">
        <v>372</v>
      </c>
      <c r="F70" t="s">
        <v>551</v>
      </c>
    </row>
    <row r="71" spans="1:6" x14ac:dyDescent="0.25">
      <c r="A71" t="s">
        <v>156</v>
      </c>
      <c r="B71" t="s">
        <v>524</v>
      </c>
      <c r="C71" t="s">
        <v>295</v>
      </c>
      <c r="D71" t="s">
        <v>584</v>
      </c>
      <c r="E71" t="s">
        <v>372</v>
      </c>
      <c r="F71" t="s">
        <v>545</v>
      </c>
    </row>
    <row r="72" spans="1:6" x14ac:dyDescent="0.25">
      <c r="A72" t="s">
        <v>94</v>
      </c>
      <c r="B72" t="s">
        <v>279</v>
      </c>
      <c r="C72" t="s">
        <v>279</v>
      </c>
      <c r="D72" t="s">
        <v>282</v>
      </c>
      <c r="E72" t="s">
        <v>372</v>
      </c>
      <c r="F72" t="s">
        <v>534</v>
      </c>
    </row>
    <row r="73" spans="1:6" x14ac:dyDescent="0.25">
      <c r="A73" t="s">
        <v>82</v>
      </c>
      <c r="B73" t="s">
        <v>279</v>
      </c>
      <c r="C73" t="s">
        <v>279</v>
      </c>
      <c r="D73" t="s">
        <v>425</v>
      </c>
      <c r="E73" t="s">
        <v>372</v>
      </c>
      <c r="F73" t="s">
        <v>534</v>
      </c>
    </row>
    <row r="74" spans="1:6" x14ac:dyDescent="0.25">
      <c r="A74" t="s">
        <v>82</v>
      </c>
      <c r="B74" t="s">
        <v>578</v>
      </c>
      <c r="C74" t="s">
        <v>279</v>
      </c>
      <c r="D74" t="s">
        <v>282</v>
      </c>
      <c r="E74" t="s">
        <v>372</v>
      </c>
      <c r="F74" t="s">
        <v>116</v>
      </c>
    </row>
    <row r="75" spans="1:6" x14ac:dyDescent="0.25">
      <c r="A75" t="s">
        <v>82</v>
      </c>
      <c r="B75" t="s">
        <v>283</v>
      </c>
      <c r="C75" t="s">
        <v>279</v>
      </c>
      <c r="D75" t="s">
        <v>425</v>
      </c>
      <c r="E75" t="s">
        <v>372</v>
      </c>
      <c r="F75" t="s">
        <v>542</v>
      </c>
    </row>
    <row r="76" spans="1:6" x14ac:dyDescent="0.25">
      <c r="A76" t="s">
        <v>82</v>
      </c>
      <c r="B76" t="s">
        <v>520</v>
      </c>
      <c r="C76" t="s">
        <v>279</v>
      </c>
      <c r="D76" t="s">
        <v>425</v>
      </c>
      <c r="E76" t="s">
        <v>372</v>
      </c>
      <c r="F76" t="s">
        <v>543</v>
      </c>
    </row>
    <row r="77" spans="1:6" x14ac:dyDescent="0.25">
      <c r="A77" t="s">
        <v>112</v>
      </c>
      <c r="B77" t="s">
        <v>279</v>
      </c>
      <c r="C77" t="s">
        <v>279</v>
      </c>
      <c r="D77" t="s">
        <v>282</v>
      </c>
      <c r="E77" t="s">
        <v>372</v>
      </c>
      <c r="F77" t="s">
        <v>534</v>
      </c>
    </row>
    <row r="78" spans="1:6" x14ac:dyDescent="0.25">
      <c r="A78" t="s">
        <v>81</v>
      </c>
      <c r="B78" t="s">
        <v>279</v>
      </c>
      <c r="C78" t="s">
        <v>279</v>
      </c>
      <c r="D78" t="s">
        <v>282</v>
      </c>
      <c r="E78" t="s">
        <v>372</v>
      </c>
      <c r="F78" t="s">
        <v>534</v>
      </c>
    </row>
    <row r="79" spans="1:6" x14ac:dyDescent="0.25">
      <c r="A79" t="s">
        <v>81</v>
      </c>
      <c r="B79" t="s">
        <v>594</v>
      </c>
      <c r="C79" t="s">
        <v>279</v>
      </c>
      <c r="D79" t="s">
        <v>282</v>
      </c>
      <c r="E79" t="s">
        <v>372</v>
      </c>
      <c r="F79" t="s">
        <v>596</v>
      </c>
    </row>
    <row r="80" spans="1:6" x14ac:dyDescent="0.25">
      <c r="A80" t="s">
        <v>101</v>
      </c>
      <c r="B80" t="s">
        <v>279</v>
      </c>
      <c r="C80" t="s">
        <v>279</v>
      </c>
      <c r="D80" t="s">
        <v>425</v>
      </c>
      <c r="E80" t="s">
        <v>372</v>
      </c>
      <c r="F80" t="s">
        <v>534</v>
      </c>
    </row>
    <row r="81" spans="1:6" x14ac:dyDescent="0.25">
      <c r="A81" t="s">
        <v>101</v>
      </c>
      <c r="B81" t="s">
        <v>283</v>
      </c>
      <c r="C81" t="s">
        <v>279</v>
      </c>
      <c r="D81" t="s">
        <v>425</v>
      </c>
      <c r="E81" t="s">
        <v>372</v>
      </c>
      <c r="F81" t="s">
        <v>542</v>
      </c>
    </row>
    <row r="82" spans="1:6" x14ac:dyDescent="0.25">
      <c r="A82" t="s">
        <v>101</v>
      </c>
      <c r="B82" t="s">
        <v>520</v>
      </c>
      <c r="C82" t="s">
        <v>279</v>
      </c>
      <c r="D82" t="s">
        <v>425</v>
      </c>
      <c r="E82" t="s">
        <v>372</v>
      </c>
      <c r="F82" t="s">
        <v>543</v>
      </c>
    </row>
    <row r="83" spans="1:6" x14ac:dyDescent="0.25">
      <c r="A83" t="s">
        <v>90</v>
      </c>
      <c r="B83" t="s">
        <v>279</v>
      </c>
      <c r="C83" t="s">
        <v>279</v>
      </c>
      <c r="D83" t="s">
        <v>425</v>
      </c>
      <c r="E83" t="s">
        <v>372</v>
      </c>
      <c r="F83" t="s">
        <v>534</v>
      </c>
    </row>
    <row r="84" spans="1:6" x14ac:dyDescent="0.25">
      <c r="A84" t="s">
        <v>90</v>
      </c>
      <c r="B84" t="s">
        <v>283</v>
      </c>
      <c r="C84" t="s">
        <v>279</v>
      </c>
      <c r="D84" t="s">
        <v>425</v>
      </c>
      <c r="E84" t="s">
        <v>372</v>
      </c>
      <c r="F84" t="s">
        <v>542</v>
      </c>
    </row>
    <row r="85" spans="1:6" x14ac:dyDescent="0.25">
      <c r="A85" t="s">
        <v>90</v>
      </c>
      <c r="B85" t="s">
        <v>520</v>
      </c>
      <c r="C85" t="s">
        <v>279</v>
      </c>
      <c r="D85" t="s">
        <v>425</v>
      </c>
      <c r="E85" t="s">
        <v>372</v>
      </c>
      <c r="F85" t="s">
        <v>543</v>
      </c>
    </row>
    <row r="86" spans="1:6" x14ac:dyDescent="0.25">
      <c r="A86" t="s">
        <v>90</v>
      </c>
      <c r="B86" t="s">
        <v>594</v>
      </c>
      <c r="C86" t="s">
        <v>279</v>
      </c>
      <c r="D86" t="s">
        <v>425</v>
      </c>
      <c r="E86" t="s">
        <v>372</v>
      </c>
      <c r="F86" t="s">
        <v>596</v>
      </c>
    </row>
    <row r="87" spans="1:6" x14ac:dyDescent="0.25">
      <c r="A87" t="s">
        <v>88</v>
      </c>
      <c r="B87" t="s">
        <v>581</v>
      </c>
      <c r="C87" t="s">
        <v>279</v>
      </c>
      <c r="D87" t="s">
        <v>290</v>
      </c>
      <c r="E87" t="s">
        <v>372</v>
      </c>
      <c r="F87" t="s">
        <v>552</v>
      </c>
    </row>
    <row r="88" spans="1:6" x14ac:dyDescent="0.25">
      <c r="A88" t="s">
        <v>211</v>
      </c>
      <c r="B88" t="s">
        <v>279</v>
      </c>
      <c r="C88" t="s">
        <v>279</v>
      </c>
      <c r="D88" t="s">
        <v>396</v>
      </c>
      <c r="E88" t="s">
        <v>372</v>
      </c>
      <c r="F88" t="s">
        <v>534</v>
      </c>
    </row>
    <row r="89" spans="1:6" x14ac:dyDescent="0.25">
      <c r="A89" t="s">
        <v>211</v>
      </c>
      <c r="B89" t="s">
        <v>524</v>
      </c>
      <c r="C89" t="s">
        <v>295</v>
      </c>
      <c r="D89" t="s">
        <v>396</v>
      </c>
      <c r="E89" t="s">
        <v>372</v>
      </c>
      <c r="F89" t="s">
        <v>570</v>
      </c>
    </row>
    <row r="90" spans="1:6" x14ac:dyDescent="0.25">
      <c r="A90" t="s">
        <v>211</v>
      </c>
      <c r="B90" t="s">
        <v>594</v>
      </c>
      <c r="C90" t="s">
        <v>279</v>
      </c>
      <c r="D90" t="s">
        <v>396</v>
      </c>
      <c r="E90" t="s">
        <v>372</v>
      </c>
      <c r="F90" t="s">
        <v>596</v>
      </c>
    </row>
    <row r="91" spans="1:6" x14ac:dyDescent="0.25">
      <c r="A91" t="s">
        <v>107</v>
      </c>
      <c r="B91" t="s">
        <v>279</v>
      </c>
      <c r="C91" t="s">
        <v>279</v>
      </c>
      <c r="D91" t="s">
        <v>282</v>
      </c>
      <c r="E91" t="s">
        <v>372</v>
      </c>
      <c r="F91" t="s">
        <v>534</v>
      </c>
    </row>
    <row r="92" spans="1:6" x14ac:dyDescent="0.25">
      <c r="A92" t="s">
        <v>107</v>
      </c>
      <c r="B92" t="s">
        <v>594</v>
      </c>
      <c r="C92" t="s">
        <v>279</v>
      </c>
      <c r="D92" t="s">
        <v>282</v>
      </c>
      <c r="E92" t="s">
        <v>372</v>
      </c>
      <c r="F92" t="s">
        <v>596</v>
      </c>
    </row>
    <row r="93" spans="1:6" x14ac:dyDescent="0.25">
      <c r="A93" t="s">
        <v>261</v>
      </c>
      <c r="B93" t="s">
        <v>279</v>
      </c>
      <c r="C93" t="s">
        <v>279</v>
      </c>
      <c r="D93" t="s">
        <v>396</v>
      </c>
      <c r="E93" t="s">
        <v>372</v>
      </c>
      <c r="F93" t="s">
        <v>534</v>
      </c>
    </row>
    <row r="94" spans="1:6" x14ac:dyDescent="0.25">
      <c r="A94" t="s">
        <v>261</v>
      </c>
      <c r="B94" t="s">
        <v>594</v>
      </c>
      <c r="C94" t="s">
        <v>279</v>
      </c>
      <c r="D94" t="s">
        <v>396</v>
      </c>
      <c r="E94" t="s">
        <v>372</v>
      </c>
      <c r="F94" t="s">
        <v>596</v>
      </c>
    </row>
    <row r="95" spans="1:6" x14ac:dyDescent="0.25">
      <c r="A95" t="s">
        <v>86</v>
      </c>
      <c r="B95" t="s">
        <v>279</v>
      </c>
      <c r="C95" t="s">
        <v>279</v>
      </c>
      <c r="D95" t="s">
        <v>282</v>
      </c>
      <c r="E95" t="s">
        <v>372</v>
      </c>
      <c r="F95" t="s">
        <v>534</v>
      </c>
    </row>
    <row r="96" spans="1:6" x14ac:dyDescent="0.25">
      <c r="A96" t="s">
        <v>86</v>
      </c>
      <c r="B96" t="s">
        <v>594</v>
      </c>
      <c r="C96" t="s">
        <v>279</v>
      </c>
      <c r="D96" t="s">
        <v>282</v>
      </c>
      <c r="E96" t="s">
        <v>372</v>
      </c>
      <c r="F96" t="s">
        <v>596</v>
      </c>
    </row>
    <row r="97" spans="1:6" x14ac:dyDescent="0.25">
      <c r="A97" t="s">
        <v>118</v>
      </c>
      <c r="B97" t="s">
        <v>581</v>
      </c>
      <c r="C97" t="s">
        <v>279</v>
      </c>
      <c r="D97" t="s">
        <v>290</v>
      </c>
      <c r="E97" t="s">
        <v>372</v>
      </c>
      <c r="F97" t="s">
        <v>552</v>
      </c>
    </row>
    <row r="98" spans="1:6" x14ac:dyDescent="0.25">
      <c r="A98" t="s">
        <v>159</v>
      </c>
      <c r="B98" t="s">
        <v>279</v>
      </c>
      <c r="C98" t="s">
        <v>279</v>
      </c>
      <c r="D98" t="s">
        <v>292</v>
      </c>
      <c r="E98" t="s">
        <v>372</v>
      </c>
      <c r="F98" t="s">
        <v>534</v>
      </c>
    </row>
    <row r="99" spans="1:6" x14ac:dyDescent="0.25">
      <c r="A99" t="s">
        <v>204</v>
      </c>
      <c r="B99" t="s">
        <v>279</v>
      </c>
      <c r="C99" t="s">
        <v>279</v>
      </c>
      <c r="D99" t="s">
        <v>283</v>
      </c>
      <c r="E99" t="s">
        <v>372</v>
      </c>
      <c r="F99" t="s">
        <v>534</v>
      </c>
    </row>
    <row r="100" spans="1:6" x14ac:dyDescent="0.25">
      <c r="A100" t="s">
        <v>204</v>
      </c>
      <c r="B100" t="s">
        <v>283</v>
      </c>
      <c r="C100" t="s">
        <v>279</v>
      </c>
      <c r="D100" t="s">
        <v>283</v>
      </c>
      <c r="E100" t="s">
        <v>372</v>
      </c>
      <c r="F100" t="s">
        <v>553</v>
      </c>
    </row>
    <row r="101" spans="1:6" x14ac:dyDescent="0.25">
      <c r="A101" t="s">
        <v>92</v>
      </c>
      <c r="B101" t="s">
        <v>279</v>
      </c>
      <c r="C101" t="s">
        <v>279</v>
      </c>
      <c r="D101" t="s">
        <v>282</v>
      </c>
      <c r="E101" t="s">
        <v>372</v>
      </c>
      <c r="F101" t="s">
        <v>534</v>
      </c>
    </row>
    <row r="102" spans="1:6" x14ac:dyDescent="0.25">
      <c r="A102" t="s">
        <v>92</v>
      </c>
      <c r="B102" t="s">
        <v>594</v>
      </c>
      <c r="C102" t="s">
        <v>279</v>
      </c>
      <c r="D102" t="s">
        <v>282</v>
      </c>
      <c r="E102" t="s">
        <v>372</v>
      </c>
      <c r="F102" t="s">
        <v>596</v>
      </c>
    </row>
    <row r="103" spans="1:6" x14ac:dyDescent="0.25">
      <c r="A103" t="s">
        <v>468</v>
      </c>
      <c r="B103" t="s">
        <v>293</v>
      </c>
      <c r="C103" t="s">
        <v>293</v>
      </c>
      <c r="D103" t="s">
        <v>294</v>
      </c>
      <c r="E103" t="s">
        <v>372</v>
      </c>
      <c r="F103" t="s">
        <v>554</v>
      </c>
    </row>
    <row r="104" spans="1:6" x14ac:dyDescent="0.25">
      <c r="A104" t="s">
        <v>87</v>
      </c>
      <c r="B104" t="s">
        <v>279</v>
      </c>
      <c r="C104" t="s">
        <v>279</v>
      </c>
      <c r="D104" t="s">
        <v>282</v>
      </c>
      <c r="E104" t="s">
        <v>372</v>
      </c>
      <c r="F104" t="s">
        <v>534</v>
      </c>
    </row>
    <row r="105" spans="1:6" x14ac:dyDescent="0.25">
      <c r="A105" t="s">
        <v>87</v>
      </c>
      <c r="B105" t="s">
        <v>594</v>
      </c>
      <c r="C105" t="s">
        <v>279</v>
      </c>
      <c r="D105" t="s">
        <v>282</v>
      </c>
      <c r="E105" t="s">
        <v>372</v>
      </c>
      <c r="F105" t="s">
        <v>596</v>
      </c>
    </row>
    <row r="106" spans="1:6" x14ac:dyDescent="0.25">
      <c r="A106" t="s">
        <v>85</v>
      </c>
      <c r="B106" t="s">
        <v>279</v>
      </c>
      <c r="C106" t="s">
        <v>279</v>
      </c>
      <c r="D106" t="s">
        <v>425</v>
      </c>
      <c r="E106" t="s">
        <v>372</v>
      </c>
      <c r="F106" t="s">
        <v>534</v>
      </c>
    </row>
    <row r="107" spans="1:6" x14ac:dyDescent="0.25">
      <c r="A107" t="s">
        <v>85</v>
      </c>
      <c r="B107" t="s">
        <v>283</v>
      </c>
      <c r="C107" t="s">
        <v>279</v>
      </c>
      <c r="D107" t="s">
        <v>425</v>
      </c>
      <c r="E107" t="s">
        <v>372</v>
      </c>
      <c r="F107" t="s">
        <v>542</v>
      </c>
    </row>
    <row r="108" spans="1:6" x14ac:dyDescent="0.25">
      <c r="A108" t="s">
        <v>85</v>
      </c>
      <c r="B108" t="s">
        <v>520</v>
      </c>
      <c r="C108" t="s">
        <v>279</v>
      </c>
      <c r="D108" t="s">
        <v>425</v>
      </c>
      <c r="E108" t="s">
        <v>372</v>
      </c>
      <c r="F108" t="s">
        <v>543</v>
      </c>
    </row>
    <row r="109" spans="1:6" x14ac:dyDescent="0.25">
      <c r="A109" t="s">
        <v>93</v>
      </c>
      <c r="B109" t="s">
        <v>279</v>
      </c>
      <c r="C109" t="s">
        <v>279</v>
      </c>
      <c r="D109" t="s">
        <v>282</v>
      </c>
      <c r="E109" t="s">
        <v>372</v>
      </c>
      <c r="F109" t="s">
        <v>534</v>
      </c>
    </row>
    <row r="110" spans="1:6" x14ac:dyDescent="0.25">
      <c r="A110" t="s">
        <v>209</v>
      </c>
      <c r="B110" t="s">
        <v>279</v>
      </c>
      <c r="C110" t="s">
        <v>279</v>
      </c>
      <c r="D110" t="s">
        <v>426</v>
      </c>
      <c r="E110" t="s">
        <v>372</v>
      </c>
      <c r="F110" t="s">
        <v>534</v>
      </c>
    </row>
    <row r="111" spans="1:6" x14ac:dyDescent="0.25">
      <c r="A111" t="s">
        <v>209</v>
      </c>
      <c r="B111" t="s">
        <v>520</v>
      </c>
      <c r="C111" t="s">
        <v>279</v>
      </c>
      <c r="D111" t="s">
        <v>426</v>
      </c>
      <c r="E111" t="s">
        <v>372</v>
      </c>
      <c r="F111" t="s">
        <v>547</v>
      </c>
    </row>
    <row r="112" spans="1:6" x14ac:dyDescent="0.25">
      <c r="A112" t="s">
        <v>209</v>
      </c>
      <c r="B112" t="s">
        <v>594</v>
      </c>
      <c r="C112" t="s">
        <v>279</v>
      </c>
      <c r="D112" t="s">
        <v>426</v>
      </c>
      <c r="E112" t="s">
        <v>372</v>
      </c>
      <c r="F112" t="s">
        <v>596</v>
      </c>
    </row>
    <row r="113" spans="1:6" x14ac:dyDescent="0.25">
      <c r="A113" t="s">
        <v>97</v>
      </c>
      <c r="B113" t="s">
        <v>279</v>
      </c>
      <c r="C113" t="s">
        <v>279</v>
      </c>
      <c r="D113" t="s">
        <v>282</v>
      </c>
      <c r="E113" t="s">
        <v>372</v>
      </c>
      <c r="F113" t="s">
        <v>534</v>
      </c>
    </row>
    <row r="114" spans="1:6" x14ac:dyDescent="0.25">
      <c r="A114" t="s">
        <v>97</v>
      </c>
      <c r="B114" t="s">
        <v>594</v>
      </c>
      <c r="C114" t="s">
        <v>279</v>
      </c>
      <c r="D114" t="s">
        <v>282</v>
      </c>
      <c r="E114" t="s">
        <v>372</v>
      </c>
      <c r="F114" t="s">
        <v>596</v>
      </c>
    </row>
    <row r="115" spans="1:6" x14ac:dyDescent="0.25">
      <c r="A115" t="s">
        <v>162</v>
      </c>
      <c r="B115" t="s">
        <v>280</v>
      </c>
      <c r="C115" t="s">
        <v>280</v>
      </c>
      <c r="D115" t="s">
        <v>502</v>
      </c>
      <c r="E115" t="s">
        <v>372</v>
      </c>
      <c r="F115" t="s">
        <v>544</v>
      </c>
    </row>
    <row r="116" spans="1:6" x14ac:dyDescent="0.25">
      <c r="A116" t="s">
        <v>153</v>
      </c>
      <c r="B116" t="s">
        <v>529</v>
      </c>
      <c r="C116" t="s">
        <v>278</v>
      </c>
      <c r="D116" t="s">
        <v>291</v>
      </c>
      <c r="E116" t="s">
        <v>372</v>
      </c>
      <c r="F116" t="s">
        <v>536</v>
      </c>
    </row>
    <row r="117" spans="1:6" x14ac:dyDescent="0.25">
      <c r="A117" t="s">
        <v>153</v>
      </c>
      <c r="B117" t="s">
        <v>524</v>
      </c>
      <c r="C117" t="s">
        <v>295</v>
      </c>
      <c r="D117" t="s">
        <v>291</v>
      </c>
      <c r="E117" t="s">
        <v>372</v>
      </c>
      <c r="F117" t="s">
        <v>570</v>
      </c>
    </row>
    <row r="118" spans="1:6" x14ac:dyDescent="0.25">
      <c r="A118" t="s">
        <v>503</v>
      </c>
      <c r="B118" t="s">
        <v>287</v>
      </c>
      <c r="C118" t="s">
        <v>287</v>
      </c>
      <c r="D118" t="s">
        <v>386</v>
      </c>
      <c r="E118" t="s">
        <v>372</v>
      </c>
      <c r="F118" t="s">
        <v>533</v>
      </c>
    </row>
    <row r="119" spans="1:6" x14ac:dyDescent="0.25">
      <c r="A119" t="s">
        <v>503</v>
      </c>
      <c r="B119" t="s">
        <v>293</v>
      </c>
      <c r="C119" t="s">
        <v>293</v>
      </c>
      <c r="D119" t="s">
        <v>386</v>
      </c>
      <c r="E119" t="s">
        <v>372</v>
      </c>
      <c r="F119" t="s">
        <v>555</v>
      </c>
    </row>
    <row r="120" spans="1:6" x14ac:dyDescent="0.25">
      <c r="A120" t="s">
        <v>503</v>
      </c>
      <c r="B120" t="s">
        <v>524</v>
      </c>
      <c r="C120" t="s">
        <v>295</v>
      </c>
      <c r="D120" t="s">
        <v>386</v>
      </c>
      <c r="E120" t="s">
        <v>372</v>
      </c>
      <c r="F120" t="s">
        <v>570</v>
      </c>
    </row>
    <row r="121" spans="1:6" x14ac:dyDescent="0.25">
      <c r="A121" t="s">
        <v>435</v>
      </c>
      <c r="B121" t="s">
        <v>279</v>
      </c>
      <c r="C121" t="s">
        <v>279</v>
      </c>
      <c r="D121" t="s">
        <v>425</v>
      </c>
      <c r="E121" t="s">
        <v>372</v>
      </c>
      <c r="F121" t="s">
        <v>534</v>
      </c>
    </row>
    <row r="122" spans="1:6" x14ac:dyDescent="0.25">
      <c r="A122" t="s">
        <v>435</v>
      </c>
      <c r="B122" t="s">
        <v>283</v>
      </c>
      <c r="C122" t="s">
        <v>279</v>
      </c>
      <c r="D122" t="s">
        <v>425</v>
      </c>
      <c r="E122" t="s">
        <v>372</v>
      </c>
      <c r="F122" t="s">
        <v>542</v>
      </c>
    </row>
    <row r="123" spans="1:6" x14ac:dyDescent="0.25">
      <c r="A123" t="s">
        <v>435</v>
      </c>
      <c r="B123" t="s">
        <v>520</v>
      </c>
      <c r="C123" t="s">
        <v>279</v>
      </c>
      <c r="D123" t="s">
        <v>425</v>
      </c>
      <c r="E123" t="s">
        <v>372</v>
      </c>
      <c r="F123" t="s">
        <v>541</v>
      </c>
    </row>
    <row r="124" spans="1:6" x14ac:dyDescent="0.25">
      <c r="A124" t="s">
        <v>436</v>
      </c>
      <c r="B124" t="s">
        <v>279</v>
      </c>
      <c r="C124" t="s">
        <v>279</v>
      </c>
      <c r="D124" t="s">
        <v>425</v>
      </c>
      <c r="E124" t="s">
        <v>372</v>
      </c>
      <c r="F124" t="s">
        <v>534</v>
      </c>
    </row>
    <row r="125" spans="1:6" x14ac:dyDescent="0.25">
      <c r="A125" t="s">
        <v>436</v>
      </c>
      <c r="B125" t="s">
        <v>283</v>
      </c>
      <c r="C125" t="s">
        <v>279</v>
      </c>
      <c r="D125" t="s">
        <v>425</v>
      </c>
      <c r="E125" t="s">
        <v>372</v>
      </c>
      <c r="F125" t="s">
        <v>553</v>
      </c>
    </row>
    <row r="126" spans="1:6" x14ac:dyDescent="0.25">
      <c r="A126" t="s">
        <v>436</v>
      </c>
      <c r="B126" t="s">
        <v>520</v>
      </c>
      <c r="C126" t="s">
        <v>279</v>
      </c>
      <c r="D126" t="s">
        <v>425</v>
      </c>
      <c r="E126" t="s">
        <v>372</v>
      </c>
      <c r="F126" t="s">
        <v>541</v>
      </c>
    </row>
    <row r="127" spans="1:6" x14ac:dyDescent="0.25">
      <c r="A127" t="s">
        <v>437</v>
      </c>
      <c r="B127" t="s">
        <v>529</v>
      </c>
      <c r="C127" t="s">
        <v>278</v>
      </c>
      <c r="D127" t="s">
        <v>291</v>
      </c>
      <c r="E127" t="s">
        <v>372</v>
      </c>
      <c r="F127" t="s">
        <v>536</v>
      </c>
    </row>
    <row r="128" spans="1:6" x14ac:dyDescent="0.25">
      <c r="A128" t="s">
        <v>437</v>
      </c>
      <c r="B128" t="s">
        <v>524</v>
      </c>
      <c r="C128" t="s">
        <v>295</v>
      </c>
      <c r="D128" t="s">
        <v>289</v>
      </c>
      <c r="E128" t="s">
        <v>372</v>
      </c>
      <c r="F128" t="s">
        <v>570</v>
      </c>
    </row>
    <row r="129" spans="1:6" x14ac:dyDescent="0.25">
      <c r="A129" t="s">
        <v>556</v>
      </c>
      <c r="B129" t="s">
        <v>279</v>
      </c>
      <c r="C129" t="s">
        <v>279</v>
      </c>
      <c r="D129" t="s">
        <v>282</v>
      </c>
      <c r="E129" t="s">
        <v>372</v>
      </c>
      <c r="F129" t="s">
        <v>534</v>
      </c>
    </row>
    <row r="130" spans="1:6" x14ac:dyDescent="0.25">
      <c r="A130" t="s">
        <v>438</v>
      </c>
      <c r="B130" t="s">
        <v>279</v>
      </c>
      <c r="C130" t="s">
        <v>279</v>
      </c>
      <c r="D130" t="s">
        <v>283</v>
      </c>
      <c r="E130" t="s">
        <v>372</v>
      </c>
      <c r="F130" t="s">
        <v>534</v>
      </c>
    </row>
    <row r="131" spans="1:6" x14ac:dyDescent="0.25">
      <c r="A131" t="s">
        <v>438</v>
      </c>
      <c r="B131" t="s">
        <v>283</v>
      </c>
      <c r="C131" t="s">
        <v>279</v>
      </c>
      <c r="D131" t="s">
        <v>283</v>
      </c>
      <c r="E131" t="s">
        <v>372</v>
      </c>
      <c r="F131" t="s">
        <v>553</v>
      </c>
    </row>
    <row r="132" spans="1:6" x14ac:dyDescent="0.25">
      <c r="A132" t="s">
        <v>443</v>
      </c>
      <c r="B132" t="s">
        <v>529</v>
      </c>
      <c r="C132" t="s">
        <v>278</v>
      </c>
      <c r="D132" t="s">
        <v>291</v>
      </c>
      <c r="E132" t="s">
        <v>372</v>
      </c>
      <c r="F132" t="s">
        <v>536</v>
      </c>
    </row>
    <row r="133" spans="1:6" x14ac:dyDescent="0.25">
      <c r="A133" t="s">
        <v>440</v>
      </c>
      <c r="B133" t="s">
        <v>279</v>
      </c>
      <c r="C133" t="s">
        <v>279</v>
      </c>
      <c r="D133" t="s">
        <v>282</v>
      </c>
      <c r="E133" t="s">
        <v>372</v>
      </c>
      <c r="F133" t="s">
        <v>534</v>
      </c>
    </row>
    <row r="134" spans="1:6" x14ac:dyDescent="0.25">
      <c r="A134" t="s">
        <v>465</v>
      </c>
      <c r="B134" t="s">
        <v>295</v>
      </c>
      <c r="C134" t="s">
        <v>295</v>
      </c>
      <c r="D134" t="s">
        <v>442</v>
      </c>
      <c r="E134" t="s">
        <v>372</v>
      </c>
      <c r="F134" t="s">
        <v>557</v>
      </c>
    </row>
    <row r="135" spans="1:6" x14ac:dyDescent="0.25">
      <c r="A135" t="s">
        <v>465</v>
      </c>
      <c r="B135" t="s">
        <v>524</v>
      </c>
      <c r="C135" t="s">
        <v>295</v>
      </c>
      <c r="D135" t="s">
        <v>442</v>
      </c>
      <c r="E135" t="s">
        <v>372</v>
      </c>
      <c r="F135" t="s">
        <v>570</v>
      </c>
    </row>
    <row r="136" spans="1:6" x14ac:dyDescent="0.25">
      <c r="A136" t="s">
        <v>467</v>
      </c>
      <c r="B136" t="s">
        <v>279</v>
      </c>
      <c r="C136" t="s">
        <v>279</v>
      </c>
      <c r="D136" t="s">
        <v>283</v>
      </c>
      <c r="E136" t="s">
        <v>372</v>
      </c>
      <c r="F136" t="s">
        <v>534</v>
      </c>
    </row>
    <row r="137" spans="1:6" x14ac:dyDescent="0.25">
      <c r="A137" t="s">
        <v>467</v>
      </c>
      <c r="B137" t="s">
        <v>283</v>
      </c>
      <c r="C137" t="s">
        <v>279</v>
      </c>
      <c r="D137" t="s">
        <v>283</v>
      </c>
      <c r="E137" t="s">
        <v>372</v>
      </c>
      <c r="F137" t="s">
        <v>553</v>
      </c>
    </row>
    <row r="138" spans="1:6" x14ac:dyDescent="0.25">
      <c r="A138" t="s">
        <v>466</v>
      </c>
      <c r="B138" t="s">
        <v>279</v>
      </c>
      <c r="C138" t="s">
        <v>279</v>
      </c>
      <c r="D138" t="s">
        <v>283</v>
      </c>
      <c r="E138" t="s">
        <v>372</v>
      </c>
      <c r="F138" t="s">
        <v>534</v>
      </c>
    </row>
    <row r="139" spans="1:6" x14ac:dyDescent="0.25">
      <c r="A139" t="s">
        <v>466</v>
      </c>
      <c r="B139" t="s">
        <v>283</v>
      </c>
      <c r="C139" t="s">
        <v>279</v>
      </c>
      <c r="D139" t="s">
        <v>283</v>
      </c>
      <c r="E139" t="s">
        <v>372</v>
      </c>
      <c r="F139" t="s">
        <v>553</v>
      </c>
    </row>
    <row r="140" spans="1:6" x14ac:dyDescent="0.25">
      <c r="A140" t="s">
        <v>558</v>
      </c>
      <c r="B140" t="s">
        <v>279</v>
      </c>
      <c r="C140" t="s">
        <v>279</v>
      </c>
      <c r="D140" t="s">
        <v>282</v>
      </c>
      <c r="E140" t="s">
        <v>372</v>
      </c>
      <c r="F140" t="s">
        <v>534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9"/>
  <sheetViews>
    <sheetView workbookViewId="0">
      <selection activeCell="E22" sqref="E22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515</v>
      </c>
      <c r="C1" t="s">
        <v>559</v>
      </c>
      <c r="D1" t="s">
        <v>560</v>
      </c>
      <c r="E1" t="s">
        <v>4</v>
      </c>
    </row>
    <row r="2" spans="1:5" x14ac:dyDescent="0.25">
      <c r="A2" t="s">
        <v>24</v>
      </c>
      <c r="B2" t="s">
        <v>517</v>
      </c>
      <c r="C2" t="s">
        <v>372</v>
      </c>
      <c r="D2" t="s">
        <v>377</v>
      </c>
      <c r="E2" t="s">
        <v>561</v>
      </c>
    </row>
    <row r="3" spans="1:5" x14ac:dyDescent="0.25">
      <c r="A3" t="s">
        <v>20</v>
      </c>
      <c r="B3" t="s">
        <v>517</v>
      </c>
      <c r="C3" t="s">
        <v>372</v>
      </c>
      <c r="D3" t="s">
        <v>377</v>
      </c>
      <c r="E3" t="s">
        <v>562</v>
      </c>
    </row>
    <row r="4" spans="1:5" x14ac:dyDescent="0.25">
      <c r="A4" t="s">
        <v>126</v>
      </c>
      <c r="B4" t="s">
        <v>517</v>
      </c>
      <c r="C4" t="s">
        <v>372</v>
      </c>
      <c r="D4" t="s">
        <v>377</v>
      </c>
      <c r="E4" t="s">
        <v>563</v>
      </c>
    </row>
    <row r="5" spans="1:5" x14ac:dyDescent="0.25">
      <c r="A5" t="s">
        <v>353</v>
      </c>
      <c r="B5" t="s">
        <v>517</v>
      </c>
      <c r="C5" t="s">
        <v>372</v>
      </c>
      <c r="D5" t="s">
        <v>377</v>
      </c>
      <c r="E5" t="s">
        <v>564</v>
      </c>
    </row>
    <row r="6" spans="1:5" x14ac:dyDescent="0.25">
      <c r="A6" t="s">
        <v>124</v>
      </c>
      <c r="B6" t="s">
        <v>517</v>
      </c>
      <c r="C6" t="s">
        <v>372</v>
      </c>
      <c r="D6" t="s">
        <v>377</v>
      </c>
      <c r="E6" t="s">
        <v>565</v>
      </c>
    </row>
    <row r="7" spans="1:5" x14ac:dyDescent="0.25">
      <c r="A7" t="s">
        <v>137</v>
      </c>
      <c r="B7" t="s">
        <v>578</v>
      </c>
      <c r="C7" t="s">
        <v>372</v>
      </c>
      <c r="D7" t="s">
        <v>572</v>
      </c>
      <c r="E7" t="s">
        <v>580</v>
      </c>
    </row>
    <row r="8" spans="1:5" x14ac:dyDescent="0.25">
      <c r="A8" t="s">
        <v>76</v>
      </c>
      <c r="B8" t="s">
        <v>279</v>
      </c>
      <c r="C8" t="s">
        <v>372</v>
      </c>
      <c r="D8" t="s">
        <v>377</v>
      </c>
      <c r="E8" t="s">
        <v>566</v>
      </c>
    </row>
    <row r="9" spans="1:5" x14ac:dyDescent="0.25">
      <c r="A9" t="s">
        <v>110</v>
      </c>
      <c r="B9" t="s">
        <v>279</v>
      </c>
      <c r="C9" t="s">
        <v>372</v>
      </c>
      <c r="D9" t="s">
        <v>377</v>
      </c>
      <c r="E9" t="s">
        <v>566</v>
      </c>
    </row>
    <row r="10" spans="1:5" x14ac:dyDescent="0.25">
      <c r="A10" t="s">
        <v>177</v>
      </c>
      <c r="B10" t="s">
        <v>520</v>
      </c>
      <c r="C10" t="s">
        <v>372</v>
      </c>
      <c r="D10" t="s">
        <v>567</v>
      </c>
      <c r="E10" t="s">
        <v>568</v>
      </c>
    </row>
    <row r="11" spans="1:5" x14ac:dyDescent="0.25">
      <c r="A11" t="s">
        <v>29</v>
      </c>
      <c r="B11" t="s">
        <v>520</v>
      </c>
      <c r="C11" t="s">
        <v>372</v>
      </c>
      <c r="D11" t="s">
        <v>567</v>
      </c>
      <c r="E11" t="s">
        <v>568</v>
      </c>
    </row>
    <row r="12" spans="1:5" x14ac:dyDescent="0.25">
      <c r="A12" t="s">
        <v>27</v>
      </c>
      <c r="B12" t="s">
        <v>520</v>
      </c>
      <c r="C12" t="s">
        <v>372</v>
      </c>
      <c r="D12" t="s">
        <v>567</v>
      </c>
      <c r="E12" t="s">
        <v>568</v>
      </c>
    </row>
    <row r="13" spans="1:5" x14ac:dyDescent="0.25">
      <c r="A13" t="s">
        <v>382</v>
      </c>
      <c r="B13" t="s">
        <v>520</v>
      </c>
      <c r="C13" t="s">
        <v>372</v>
      </c>
      <c r="D13" t="s">
        <v>567</v>
      </c>
      <c r="E13" t="s">
        <v>568</v>
      </c>
    </row>
    <row r="14" spans="1:5" x14ac:dyDescent="0.25">
      <c r="A14" t="s">
        <v>175</v>
      </c>
      <c r="B14" t="s">
        <v>283</v>
      </c>
      <c r="C14" t="s">
        <v>372</v>
      </c>
      <c r="D14" t="s">
        <v>378</v>
      </c>
      <c r="E14" t="s">
        <v>569</v>
      </c>
    </row>
    <row r="15" spans="1:5" x14ac:dyDescent="0.25">
      <c r="A15" t="s">
        <v>32</v>
      </c>
      <c r="B15" t="s">
        <v>280</v>
      </c>
      <c r="C15" t="s">
        <v>372</v>
      </c>
      <c r="D15" t="s">
        <v>377</v>
      </c>
      <c r="E15" t="s">
        <v>571</v>
      </c>
    </row>
    <row r="16" spans="1:5" x14ac:dyDescent="0.25">
      <c r="A16" t="s">
        <v>221</v>
      </c>
      <c r="B16" t="s">
        <v>287</v>
      </c>
      <c r="C16" t="s">
        <v>372</v>
      </c>
      <c r="D16" t="s">
        <v>572</v>
      </c>
      <c r="E16" t="s">
        <v>582</v>
      </c>
    </row>
    <row r="17" spans="1:5" x14ac:dyDescent="0.25">
      <c r="A17" t="s">
        <v>232</v>
      </c>
      <c r="B17" t="s">
        <v>529</v>
      </c>
      <c r="C17" t="s">
        <v>372</v>
      </c>
      <c r="D17" t="s">
        <v>377</v>
      </c>
      <c r="E17" t="s">
        <v>593</v>
      </c>
    </row>
    <row r="18" spans="1:5" x14ac:dyDescent="0.25">
      <c r="A18" t="s">
        <v>232</v>
      </c>
      <c r="B18" t="s">
        <v>594</v>
      </c>
      <c r="C18" t="s">
        <v>372</v>
      </c>
      <c r="D18" t="s">
        <v>377</v>
      </c>
      <c r="E18" t="s">
        <v>595</v>
      </c>
    </row>
    <row r="19" spans="1:5" x14ac:dyDescent="0.25">
      <c r="A19" t="s">
        <v>219</v>
      </c>
      <c r="B19" t="s">
        <v>524</v>
      </c>
      <c r="C19" t="s">
        <v>372</v>
      </c>
      <c r="D19" t="s">
        <v>572</v>
      </c>
      <c r="E19" t="s">
        <v>573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opLeftCell="A4" zoomScaleNormal="100" zoomScaleSheetLayoutView="100" workbookViewId="0">
      <selection activeCell="A27" sqref="A27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156</v>
      </c>
      <c r="B1" s="37" t="s">
        <v>51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MUST01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212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213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Stephen Mutambu</v>
      </c>
      <c r="C8" s="80" t="s">
        <v>474</v>
      </c>
      <c r="D8" s="80" t="s">
        <v>475</v>
      </c>
      <c r="E8" s="80" t="s">
        <v>476</v>
      </c>
    </row>
    <row r="9" spans="1:5" s="35" customFormat="1" ht="27.75" customHeight="1" x14ac:dyDescent="0.25">
      <c r="A9" s="79" t="s">
        <v>477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RELIABILITY OFFICER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x14ac:dyDescent="0.25">
      <c r="A12" s="134" t="str" cm="1">
        <f t="array" aca="1" ref="A12:E44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CRM-REF</v>
      </c>
      <c r="B12" s="135" t="str">
        <f ca="1"/>
        <v>Crew Resource Management (Refresher)</v>
      </c>
      <c r="C12" s="136">
        <f ca="1"/>
        <v>44126</v>
      </c>
      <c r="D12" s="136">
        <f ca="1"/>
        <v>44856</v>
      </c>
      <c r="E12" s="136" t="str">
        <f ca="1"/>
        <v>Overdue</v>
      </c>
    </row>
    <row r="13" spans="1:5" x14ac:dyDescent="0.25">
      <c r="A13" s="134" t="str">
        <f ca="1"/>
        <v>CIT-REF</v>
      </c>
      <c r="B13" s="135" t="str">
        <f ca="1"/>
        <v>Core Instructional Technique (Refresher)</v>
      </c>
      <c r="C13" s="136">
        <f ca="1"/>
        <v>45597</v>
      </c>
      <c r="D13" s="136">
        <f ca="1"/>
        <v>46327</v>
      </c>
      <c r="E13" s="136" t="str">
        <f ca="1"/>
        <v>Due Soon</v>
      </c>
    </row>
    <row r="14" spans="1:5" x14ac:dyDescent="0.25">
      <c r="A14" s="134" t="str">
        <f ca="1"/>
        <v>SMS-REF</v>
      </c>
      <c r="B14" s="135" t="str">
        <f ca="1"/>
        <v>Safety Management Systems (Refresher)</v>
      </c>
      <c r="C14" s="136">
        <f ca="1"/>
        <v>46259</v>
      </c>
      <c r="D14" s="136">
        <f ca="1"/>
        <v>46990</v>
      </c>
      <c r="E14" s="136" t="str">
        <f ca="1"/>
        <v>OK</v>
      </c>
    </row>
    <row r="15" spans="1:5" x14ac:dyDescent="0.25">
      <c r="A15" s="134" t="str">
        <f ca="1"/>
        <v>AVSEC-INIT</v>
      </c>
      <c r="B15" s="135" t="str">
        <f ca="1"/>
        <v>Aviation Security (Initial)</v>
      </c>
      <c r="C15" s="136">
        <f ca="1"/>
        <v>46238</v>
      </c>
      <c r="D15" s="136" t="str">
        <f ca="1"/>
        <v/>
      </c>
      <c r="E15" s="136" t="str">
        <f ca="1"/>
        <v>OK</v>
      </c>
    </row>
    <row r="16" spans="1:5" x14ac:dyDescent="0.25">
      <c r="A16" s="134" t="str">
        <f ca="1"/>
        <v>AVSEC-REF</v>
      </c>
      <c r="B16" s="135" t="str">
        <f ca="1"/>
        <v>Aviation Security (Refresher)</v>
      </c>
      <c r="C16" s="136">
        <f ca="1"/>
        <v>46238</v>
      </c>
      <c r="D16" s="136">
        <f ca="1"/>
        <v>46969</v>
      </c>
      <c r="E16" s="136" t="str">
        <f ca="1"/>
        <v>OK</v>
      </c>
    </row>
    <row r="17" spans="1:5" ht="25.5" x14ac:dyDescent="0.25">
      <c r="A17" s="134" t="str">
        <f ca="1"/>
        <v>FTS-REF</v>
      </c>
      <c r="B17" s="135" t="str">
        <f ca="1"/>
        <v>Fuel Tank Safety Phase 1 &amp; 2 Course (Refresher)</v>
      </c>
      <c r="C17" s="136">
        <f ca="1"/>
        <v>46116</v>
      </c>
      <c r="D17" s="136">
        <f ca="1"/>
        <v>46847</v>
      </c>
      <c r="E17" s="136" t="str">
        <f ca="1"/>
        <v>OK</v>
      </c>
    </row>
    <row r="18" spans="1:5" ht="25.5" x14ac:dyDescent="0.25">
      <c r="A18" s="134" t="str">
        <f ca="1"/>
        <v>MPM-REF</v>
      </c>
      <c r="B18" s="135" t="str">
        <f ca="1"/>
        <v>Maintenance Procedures &amp; Standard Maintenance Practices (Refresher)</v>
      </c>
      <c r="C18" s="136">
        <f ca="1"/>
        <v>46073</v>
      </c>
      <c r="D18" s="136">
        <f ca="1"/>
        <v>46803</v>
      </c>
      <c r="E18" s="136" t="str">
        <f ca="1"/>
        <v>OK</v>
      </c>
    </row>
    <row r="19" spans="1:5" x14ac:dyDescent="0.25">
      <c r="A19" s="134" t="str">
        <f ca="1"/>
        <v>MNGMT</v>
      </c>
      <c r="B19" s="135" t="str">
        <f ca="1"/>
        <v>Leadership &amp; Management</v>
      </c>
      <c r="C19" s="136">
        <f ca="1"/>
        <v>46045</v>
      </c>
      <c r="D19" s="136" t="str">
        <f ca="1"/>
        <v/>
      </c>
      <c r="E19" s="136" t="str">
        <f ca="1"/>
        <v>OK</v>
      </c>
    </row>
    <row r="20" spans="1:5" x14ac:dyDescent="0.25">
      <c r="A20" s="134" t="str">
        <f ca="1"/>
        <v>REC</v>
      </c>
      <c r="B20" s="135" t="str">
        <f ca="1"/>
        <v>Records Management</v>
      </c>
      <c r="C20" s="136">
        <f ca="1"/>
        <v>45989</v>
      </c>
      <c r="D20" s="136" t="str">
        <f ca="1"/>
        <v/>
      </c>
      <c r="E20" s="136" t="str">
        <f ca="1"/>
        <v>OK</v>
      </c>
    </row>
    <row r="21" spans="1:5" ht="25.5" x14ac:dyDescent="0.25">
      <c r="A21" s="134" t="str">
        <f ca="1"/>
        <v>EWIS-INIT</v>
      </c>
      <c r="B21" s="135" t="str">
        <f ca="1"/>
        <v>Electrical Wiring Interconnection System Target Groups 1 &amp; 2 (Initial)</v>
      </c>
      <c r="C21" s="136">
        <f ca="1"/>
        <v>45942</v>
      </c>
      <c r="D21" s="136" t="str">
        <f ca="1"/>
        <v/>
      </c>
      <c r="E21" s="136" t="str">
        <f ca="1"/>
        <v>OK</v>
      </c>
    </row>
    <row r="22" spans="1:5" ht="25.5" x14ac:dyDescent="0.25">
      <c r="A22" s="134" t="str">
        <f ca="1"/>
        <v>EWIS-REF</v>
      </c>
      <c r="B22" s="135" t="str">
        <f ca="1"/>
        <v>Electrical Wiring Interconnection System Target Groups 1 &amp; 2 (Refresher)</v>
      </c>
      <c r="C22" s="136">
        <f ca="1"/>
        <v>45942</v>
      </c>
      <c r="D22" s="136">
        <f ca="1"/>
        <v>46672</v>
      </c>
      <c r="E22" s="136" t="str">
        <f ca="1"/>
        <v>OK</v>
      </c>
    </row>
    <row r="23" spans="1:5" ht="25.5" x14ac:dyDescent="0.25">
      <c r="A23" s="134" t="str">
        <f ca="1"/>
        <v>QMS-ADMIN</v>
      </c>
      <c r="B23" s="135" t="str">
        <f ca="1"/>
        <v>PR328: QMS ISO 9001:2015 (Lead Auditor Training)</v>
      </c>
      <c r="C23" s="136">
        <f ca="1"/>
        <v>45792</v>
      </c>
      <c r="D23" s="136">
        <f ca="1"/>
        <v>47618</v>
      </c>
      <c r="E23" s="136" t="str">
        <f ca="1"/>
        <v>OK</v>
      </c>
    </row>
    <row r="24" spans="1:5" x14ac:dyDescent="0.25">
      <c r="A24" s="134" t="str">
        <f ca="1"/>
        <v>QMS-INIT</v>
      </c>
      <c r="B24" s="135" t="str">
        <f ca="1"/>
        <v>Quality Management Systems (Initial)</v>
      </c>
      <c r="C24" s="136">
        <f ca="1"/>
        <v>45792</v>
      </c>
      <c r="D24" s="136" t="str">
        <f ca="1"/>
        <v/>
      </c>
      <c r="E24" s="136" t="str">
        <f ca="1"/>
        <v>OK</v>
      </c>
    </row>
    <row r="25" spans="1:5" x14ac:dyDescent="0.25">
      <c r="A25" s="134" t="str">
        <f ca="1"/>
        <v>QMS-REF</v>
      </c>
      <c r="B25" s="135" t="str">
        <f ca="1"/>
        <v>Quality Management Systems</v>
      </c>
      <c r="C25" s="136">
        <f ca="1"/>
        <v>45792</v>
      </c>
      <c r="D25" s="136">
        <f ca="1"/>
        <v>46888</v>
      </c>
      <c r="E25" s="136" t="str">
        <f ca="1"/>
        <v>OK</v>
      </c>
    </row>
    <row r="26" spans="1:5" ht="25.5" x14ac:dyDescent="0.25">
      <c r="A26" s="134" t="str">
        <f ca="1"/>
        <v>DGR-INIT</v>
      </c>
      <c r="B26" s="135" t="str">
        <f ca="1"/>
        <v>Dangerous Goods Regulations (CBTA 7.3) (Initial)</v>
      </c>
      <c r="C26" s="136">
        <f ca="1"/>
        <v>45758</v>
      </c>
      <c r="D26" s="136" t="str">
        <f ca="1"/>
        <v/>
      </c>
      <c r="E26" s="136" t="str">
        <f ca="1"/>
        <v>OK</v>
      </c>
    </row>
    <row r="27" spans="1:5" ht="25.5" x14ac:dyDescent="0.25">
      <c r="A27" s="134" t="str">
        <f ca="1"/>
        <v>DGR-REF</v>
      </c>
      <c r="B27" s="135" t="str">
        <f ca="1"/>
        <v>Dangerous Goods Regulations (CBTA 7.3) (Refresher)</v>
      </c>
      <c r="C27" s="136">
        <f ca="1"/>
        <v>45758</v>
      </c>
      <c r="D27" s="136">
        <f ca="1"/>
        <v>46488</v>
      </c>
      <c r="E27" s="136" t="str">
        <f ca="1"/>
        <v>OK</v>
      </c>
    </row>
    <row r="28" spans="1:5" ht="25.5" x14ac:dyDescent="0.25">
      <c r="A28" s="134" t="str">
        <f ca="1"/>
        <v>SMS-ADMIN</v>
      </c>
      <c r="B28" s="135" t="str">
        <f ca="1"/>
        <v>Safety Management Systems (For Managers)</v>
      </c>
      <c r="C28" s="136">
        <f ca="1"/>
        <v>45751</v>
      </c>
      <c r="D28" s="136" t="str">
        <f ca="1"/>
        <v/>
      </c>
      <c r="E28" s="136" t="str">
        <f ca="1"/>
        <v>OK</v>
      </c>
    </row>
    <row r="29" spans="1:5" x14ac:dyDescent="0.25">
      <c r="A29" s="134" t="str">
        <f ca="1"/>
        <v>FDM</v>
      </c>
      <c r="B29" s="135" t="str">
        <f ca="1"/>
        <v>Flight Data Monitoring</v>
      </c>
      <c r="C29" s="136">
        <f ca="1"/>
        <v>45722</v>
      </c>
      <c r="D29" s="136" t="str">
        <f ca="1"/>
        <v/>
      </c>
      <c r="E29" s="136" t="str">
        <f ca="1"/>
        <v>OK</v>
      </c>
    </row>
    <row r="30" spans="1:5" x14ac:dyDescent="0.25">
      <c r="A30" s="134" t="str">
        <f ca="1"/>
        <v>HF-REF</v>
      </c>
      <c r="B30" s="135" t="str">
        <f ca="1"/>
        <v>Human Factors in Aviation (Refresher)</v>
      </c>
      <c r="C30" s="136">
        <f ca="1"/>
        <v>45721</v>
      </c>
      <c r="D30" s="136">
        <f ca="1"/>
        <v>46451</v>
      </c>
      <c r="E30" s="136" t="str">
        <f ca="1"/>
        <v>OK</v>
      </c>
    </row>
    <row r="31" spans="1:5" ht="25.5" x14ac:dyDescent="0.25">
      <c r="A31" s="134" t="str">
        <f ca="1"/>
        <v>WBR-INIT</v>
      </c>
      <c r="B31" s="135" t="str">
        <f ca="1"/>
        <v>DHC8 -100/-200/-300 Collins Wheels &amp; Brakes Familiarization Training (Initial)</v>
      </c>
      <c r="C31" s="136">
        <f ca="1"/>
        <v>45637</v>
      </c>
      <c r="D31" s="136" t="str">
        <f ca="1"/>
        <v/>
      </c>
      <c r="E31" s="136" t="str">
        <f ca="1"/>
        <v>OK</v>
      </c>
    </row>
    <row r="32" spans="1:5" ht="38.25" x14ac:dyDescent="0.25">
      <c r="A32" s="134" t="str">
        <f ca="1"/>
        <v>WBR-REF</v>
      </c>
      <c r="B32" s="135" t="str">
        <f ca="1"/>
        <v>DHC8 -100/-200/-300 Collins Wheels &amp; Brakes Familiarization Training (Refresher)</v>
      </c>
      <c r="C32" s="136">
        <f ca="1"/>
        <v>45637</v>
      </c>
      <c r="D32" s="136">
        <f ca="1"/>
        <v>46367</v>
      </c>
      <c r="E32" s="136" t="str">
        <f ca="1"/>
        <v>OK</v>
      </c>
    </row>
    <row r="33" spans="1:5" x14ac:dyDescent="0.25">
      <c r="A33" s="134" t="str">
        <f ca="1"/>
        <v>CIT-INIT</v>
      </c>
      <c r="B33" s="135" t="str">
        <f ca="1"/>
        <v>Core Instructional Technique (Initial)</v>
      </c>
      <c r="C33" s="136">
        <f ca="1"/>
        <v>45597</v>
      </c>
      <c r="D33" s="136" t="str">
        <f ca="1"/>
        <v/>
      </c>
      <c r="E33" s="136" t="str">
        <f ca="1"/>
        <v>OK</v>
      </c>
    </row>
    <row r="34" spans="1:5" ht="25.5" x14ac:dyDescent="0.25">
      <c r="A34" s="134" t="str">
        <f ca="1"/>
        <v>FTS-INIT</v>
      </c>
      <c r="B34" s="135" t="str">
        <f ca="1"/>
        <v>Fuel Tank Safety Phase 1 &amp; 2 Course (Initial)</v>
      </c>
      <c r="C34" s="136">
        <f ca="1"/>
        <v>45395</v>
      </c>
      <c r="D34" s="136" t="str">
        <f ca="1"/>
        <v/>
      </c>
      <c r="E34" s="136" t="str">
        <f ca="1"/>
        <v>OK</v>
      </c>
    </row>
    <row r="35" spans="1:5" ht="25.5" x14ac:dyDescent="0.25">
      <c r="A35" s="134" t="str">
        <f ca="1"/>
        <v>TRS</v>
      </c>
      <c r="B35" s="135" t="str">
        <f ca="1"/>
        <v>Aviation Technical Records &amp; Stores Management (TRS)</v>
      </c>
      <c r="C35" s="136">
        <f ca="1"/>
        <v>45002</v>
      </c>
      <c r="D35" s="136" t="str">
        <f ca="1"/>
        <v/>
      </c>
      <c r="E35" s="136" t="str">
        <f ca="1"/>
        <v>OK</v>
      </c>
    </row>
    <row r="36" spans="1:5" ht="25.5" x14ac:dyDescent="0.25">
      <c r="A36" s="134" t="str">
        <f ca="1"/>
        <v>PW100-FAM</v>
      </c>
      <c r="B36" s="135" t="str">
        <f ca="1"/>
        <v>PW100 Series - General Familiarization ATA104 Level 1</v>
      </c>
      <c r="C36" s="136">
        <f ca="1"/>
        <v>44672</v>
      </c>
      <c r="D36" s="136" t="str">
        <f ca="1"/>
        <v/>
      </c>
      <c r="E36" s="136" t="str">
        <f ca="1"/>
        <v>OK</v>
      </c>
    </row>
    <row r="37" spans="1:5" ht="25.5" x14ac:dyDescent="0.25">
      <c r="A37" s="134" t="str">
        <f ca="1"/>
        <v>PT6A-FAM</v>
      </c>
      <c r="B37" s="135" t="str">
        <f ca="1"/>
        <v>PT6A Small &amp; Medium Series - General Familiarization ATA104 Level 1</v>
      </c>
      <c r="C37" s="136">
        <f ca="1"/>
        <v>44634</v>
      </c>
      <c r="D37" s="136" t="str">
        <f ca="1"/>
        <v/>
      </c>
      <c r="E37" s="136" t="str">
        <f ca="1"/>
        <v>OK</v>
      </c>
    </row>
    <row r="38" spans="1:5" x14ac:dyDescent="0.25">
      <c r="A38" s="134" t="str">
        <f ca="1"/>
        <v>AC-REL</v>
      </c>
      <c r="B38" s="135" t="str">
        <f ca="1"/>
        <v xml:space="preserve">Aircraft Reliability </v>
      </c>
      <c r="C38" s="136">
        <f ca="1"/>
        <v>44545</v>
      </c>
      <c r="D38" s="136" t="str">
        <f ca="1"/>
        <v/>
      </c>
      <c r="E38" s="136" t="str">
        <f ca="1"/>
        <v>OK</v>
      </c>
    </row>
    <row r="39" spans="1:5" x14ac:dyDescent="0.25">
      <c r="A39" s="134" t="str">
        <f ca="1"/>
        <v>HF-INIT</v>
      </c>
      <c r="B39" s="135" t="str">
        <f ca="1"/>
        <v>Human Factors in Aviation (Initial)</v>
      </c>
      <c r="C39" s="136">
        <f ca="1"/>
        <v>44205</v>
      </c>
      <c r="D39" s="136" t="str">
        <f ca="1"/>
        <v/>
      </c>
      <c r="E39" s="136" t="str">
        <f ca="1"/>
        <v>OK</v>
      </c>
    </row>
    <row r="40" spans="1:5" x14ac:dyDescent="0.25">
      <c r="A40" s="134" t="str">
        <f ca="1"/>
        <v>CRM-INIT</v>
      </c>
      <c r="B40" s="135" t="str">
        <f ca="1"/>
        <v>Crew Resource Management (Initial)</v>
      </c>
      <c r="C40" s="136">
        <f ca="1"/>
        <v>44126</v>
      </c>
      <c r="D40" s="136" t="str">
        <f ca="1"/>
        <v/>
      </c>
      <c r="E40" s="136" t="str">
        <f ca="1"/>
        <v>OK</v>
      </c>
    </row>
    <row r="41" spans="1:5" x14ac:dyDescent="0.25">
      <c r="A41" s="134" t="str">
        <f ca="1"/>
        <v>SMS-INIT</v>
      </c>
      <c r="B41" s="135" t="str">
        <f ca="1"/>
        <v>Safety Management Systems (Initial)</v>
      </c>
      <c r="C41" s="136">
        <f ca="1"/>
        <v>44070</v>
      </c>
      <c r="D41" s="136" t="str">
        <f ca="1"/>
        <v/>
      </c>
      <c r="E41" s="136" t="str">
        <f ca="1"/>
        <v>OK</v>
      </c>
    </row>
    <row r="42" spans="1:5" ht="25.5" x14ac:dyDescent="0.25">
      <c r="A42" s="134" t="str">
        <f ca="1"/>
        <v>MPM-INIT</v>
      </c>
      <c r="B42" s="135" t="str">
        <f ca="1"/>
        <v>Maintenance Procedures &amp; Standard Maintenance Practices (Initial)</v>
      </c>
      <c r="C42" s="136">
        <f ca="1"/>
        <v>43896</v>
      </c>
      <c r="D42" s="136" t="str">
        <f ca="1"/>
        <v/>
      </c>
      <c r="E42" s="136" t="str">
        <f ca="1"/>
        <v>OK</v>
      </c>
    </row>
    <row r="43" spans="1:5" x14ac:dyDescent="0.25">
      <c r="A43" s="134" t="str">
        <f ca="1"/>
        <v>SAFA-INIT</v>
      </c>
      <c r="B43" s="135" t="str">
        <f ca="1"/>
        <v>Maintenance Indoctrination</v>
      </c>
      <c r="C43" s="136">
        <f ca="1"/>
        <v>43895</v>
      </c>
      <c r="D43" s="136" t="str">
        <f ca="1"/>
        <v/>
      </c>
      <c r="E43" s="136" t="str">
        <f ca="1"/>
        <v>OK</v>
      </c>
    </row>
    <row r="44" spans="1:5" x14ac:dyDescent="0.25">
      <c r="A44" s="134" t="str">
        <f ca="1"/>
        <v>WinAir</v>
      </c>
      <c r="B44" s="135" t="str">
        <f ca="1"/>
        <v>WinAir Version 7</v>
      </c>
      <c r="C44" s="136">
        <f ca="1"/>
        <v>43805</v>
      </c>
      <c r="D44" s="136" t="str">
        <f ca="1"/>
        <v/>
      </c>
      <c r="E44" s="136" t="str">
        <f ca="1"/>
        <v>OK</v>
      </c>
    </row>
    <row r="45" spans="1:5" x14ac:dyDescent="0.25">
      <c r="A45" s="127"/>
      <c r="B45" s="128"/>
      <c r="C45" s="129"/>
      <c r="D45" s="129"/>
      <c r="E45" s="129"/>
    </row>
    <row r="46" spans="1:5" x14ac:dyDescent="0.25">
      <c r="A46" s="130"/>
      <c r="B46" s="131"/>
      <c r="C46" s="129"/>
      <c r="D46" s="132"/>
      <c r="E46" s="133"/>
    </row>
    <row r="47" spans="1:5" x14ac:dyDescent="0.25">
      <c r="A47" s="130"/>
      <c r="B47" s="131"/>
      <c r="C47" s="129"/>
      <c r="D47" s="132"/>
      <c r="E47" s="133"/>
    </row>
    <row r="48" spans="1:5" x14ac:dyDescent="0.25">
      <c r="A48" s="130"/>
      <c r="B48" s="131"/>
      <c r="C48" s="129"/>
      <c r="D48" s="132"/>
      <c r="E48" s="133"/>
    </row>
    <row r="49" spans="1:5" x14ac:dyDescent="0.25">
      <c r="A49" s="130"/>
      <c r="B49" s="131"/>
      <c r="C49" s="129"/>
      <c r="D49" s="132"/>
      <c r="E49" s="133"/>
    </row>
    <row r="50" spans="1:5" x14ac:dyDescent="0.25">
      <c r="A50" s="130"/>
      <c r="B50" s="131"/>
      <c r="C50" s="129"/>
      <c r="D50" s="132"/>
      <c r="E50" s="133"/>
    </row>
    <row r="51" spans="1:5" x14ac:dyDescent="0.25">
      <c r="A51" s="130"/>
      <c r="B51" s="131"/>
      <c r="C51" s="129"/>
      <c r="D51" s="132"/>
      <c r="E51" s="133"/>
    </row>
    <row r="52" spans="1:5" x14ac:dyDescent="0.25">
      <c r="A52" s="130"/>
      <c r="B52" s="131"/>
      <c r="C52" s="129"/>
      <c r="D52" s="132"/>
      <c r="E52" s="133"/>
    </row>
    <row r="53" spans="1:5" x14ac:dyDescent="0.25">
      <c r="A53" s="130"/>
      <c r="B53" s="131"/>
      <c r="C53" s="129"/>
      <c r="D53" s="132"/>
      <c r="E53" s="133"/>
    </row>
    <row r="54" spans="1:5" x14ac:dyDescent="0.25">
      <c r="A54" s="130"/>
      <c r="B54" s="131"/>
      <c r="C54" s="129"/>
      <c r="D54" s="132"/>
      <c r="E54" s="133"/>
    </row>
    <row r="55" spans="1:5" x14ac:dyDescent="0.25">
      <c r="A55" s="130"/>
      <c r="B55" s="131"/>
      <c r="C55" s="129"/>
      <c r="D55" s="132"/>
      <c r="E55" s="133"/>
    </row>
    <row r="56" spans="1:5" x14ac:dyDescent="0.25">
      <c r="A56" s="130"/>
      <c r="B56" s="131"/>
      <c r="C56" s="129"/>
      <c r="D56" s="132"/>
      <c r="E56" s="133"/>
    </row>
    <row r="57" spans="1:5" x14ac:dyDescent="0.25">
      <c r="A57" s="130"/>
      <c r="B57" s="131"/>
      <c r="C57" s="129"/>
      <c r="D57" s="132"/>
      <c r="E57" s="133"/>
    </row>
    <row r="58" spans="1:5" x14ac:dyDescent="0.25">
      <c r="A58" s="130"/>
      <c r="B58" s="131"/>
      <c r="C58" s="131"/>
      <c r="D58" s="132"/>
      <c r="E58" s="132"/>
    </row>
    <row r="59" spans="1:5" x14ac:dyDescent="0.25">
      <c r="A59" s="130"/>
      <c r="B59" s="131"/>
      <c r="C59" s="131"/>
      <c r="D59" s="132"/>
      <c r="E59" s="132"/>
    </row>
    <row r="60" spans="1:5" x14ac:dyDescent="0.25">
      <c r="A60" s="130"/>
      <c r="B60" s="131"/>
      <c r="C60" s="131"/>
      <c r="D60" s="132"/>
      <c r="E60" s="132"/>
    </row>
    <row r="61" spans="1:5" x14ac:dyDescent="0.25">
      <c r="A61" s="130"/>
      <c r="B61" s="131"/>
      <c r="C61" s="131"/>
      <c r="D61" s="132"/>
      <c r="E61" s="132"/>
    </row>
    <row r="62" spans="1:5" x14ac:dyDescent="0.25">
      <c r="A62" s="130"/>
      <c r="B62" s="131"/>
      <c r="C62" s="131"/>
      <c r="D62" s="132"/>
      <c r="E62" s="132"/>
    </row>
    <row r="63" spans="1:5" x14ac:dyDescent="0.25">
      <c r="A63" s="130"/>
      <c r="B63" s="131"/>
      <c r="C63" s="131"/>
      <c r="D63" s="132"/>
      <c r="E63" s="132"/>
    </row>
    <row r="64" spans="1:5" x14ac:dyDescent="0.25">
      <c r="A64" s="130"/>
      <c r="B64" s="131"/>
      <c r="C64" s="131"/>
      <c r="D64" s="132"/>
      <c r="E64" s="132"/>
    </row>
    <row r="65" spans="1:5" x14ac:dyDescent="0.25">
      <c r="A65" s="130"/>
      <c r="B65" s="131"/>
      <c r="C65" s="131"/>
      <c r="D65" s="132"/>
      <c r="E65" s="132"/>
    </row>
    <row r="66" spans="1:5" x14ac:dyDescent="0.25">
      <c r="A66" s="130"/>
      <c r="B66" s="131"/>
      <c r="C66" s="131"/>
      <c r="D66" s="132"/>
      <c r="E66" s="132"/>
    </row>
    <row r="67" spans="1:5" x14ac:dyDescent="0.25">
      <c r="A67" s="130"/>
      <c r="B67" s="131"/>
      <c r="C67" s="131"/>
      <c r="D67" s="132"/>
      <c r="E67" s="132"/>
    </row>
    <row r="68" spans="1:5" x14ac:dyDescent="0.25">
      <c r="A68" s="130"/>
      <c r="B68" s="131"/>
      <c r="C68" s="131"/>
      <c r="D68" s="132"/>
      <c r="E68" s="132"/>
    </row>
    <row r="69" spans="1:5" x14ac:dyDescent="0.25">
      <c r="A69" s="130"/>
      <c r="B69" s="131"/>
      <c r="C69" s="131"/>
      <c r="D69" s="132"/>
      <c r="E69" s="132"/>
    </row>
    <row r="70" spans="1:5" x14ac:dyDescent="0.25">
      <c r="A70" s="130"/>
      <c r="B70" s="131"/>
      <c r="C70" s="131"/>
      <c r="D70" s="132"/>
      <c r="E70" s="132"/>
    </row>
    <row r="71" spans="1:5" x14ac:dyDescent="0.25">
      <c r="A71" s="130"/>
      <c r="B71" s="131"/>
      <c r="C71" s="131"/>
      <c r="D71" s="132"/>
      <c r="E71" s="132"/>
    </row>
    <row r="72" spans="1:5" x14ac:dyDescent="0.25">
      <c r="A72" s="130"/>
      <c r="B72" s="131"/>
      <c r="C72" s="131"/>
      <c r="D72" s="132"/>
      <c r="E72" s="132"/>
    </row>
    <row r="73" spans="1:5" x14ac:dyDescent="0.25">
      <c r="A73" s="130"/>
      <c r="B73" s="131"/>
      <c r="C73" s="131"/>
      <c r="D73" s="132"/>
      <c r="E73" s="132"/>
    </row>
    <row r="74" spans="1:5" x14ac:dyDescent="0.25">
      <c r="A74" s="130"/>
      <c r="B74" s="131"/>
      <c r="C74" s="131"/>
      <c r="D74" s="132"/>
      <c r="E74" s="132"/>
    </row>
    <row r="75" spans="1:5" x14ac:dyDescent="0.25">
      <c r="A75" s="130"/>
      <c r="B75" s="131"/>
      <c r="C75" s="131"/>
      <c r="D75" s="132"/>
      <c r="E75" s="132"/>
    </row>
    <row r="76" spans="1:5" x14ac:dyDescent="0.25">
      <c r="A76" s="130"/>
      <c r="B76" s="131"/>
      <c r="C76" s="131"/>
      <c r="D76" s="132"/>
      <c r="E76" s="132"/>
    </row>
    <row r="77" spans="1:5" x14ac:dyDescent="0.25">
      <c r="A77" s="130"/>
      <c r="B77" s="131"/>
      <c r="C77" s="131"/>
      <c r="D77" s="132"/>
      <c r="E77" s="132"/>
    </row>
    <row r="78" spans="1:5" x14ac:dyDescent="0.25">
      <c r="A78" s="130"/>
      <c r="B78" s="131"/>
      <c r="C78" s="131"/>
      <c r="D78" s="132"/>
      <c r="E78" s="132"/>
    </row>
    <row r="79" spans="1:5" x14ac:dyDescent="0.25">
      <c r="A79" s="130"/>
      <c r="B79" s="131"/>
      <c r="C79" s="131"/>
      <c r="D79" s="132"/>
      <c r="E79" s="132"/>
    </row>
    <row r="80" spans="1:5" x14ac:dyDescent="0.25">
      <c r="A80" s="130"/>
      <c r="B80" s="131"/>
      <c r="C80" s="131"/>
      <c r="D80" s="132"/>
      <c r="E80" s="132"/>
    </row>
    <row r="81" spans="1:5" x14ac:dyDescent="0.25">
      <c r="A81" s="130"/>
      <c r="B81" s="131"/>
      <c r="C81" s="131"/>
      <c r="D81" s="132"/>
      <c r="E81" s="132"/>
    </row>
    <row r="82" spans="1:5" x14ac:dyDescent="0.25">
      <c r="A82" s="130"/>
      <c r="B82" s="131"/>
      <c r="C82" s="131"/>
      <c r="D82" s="132"/>
      <c r="E82" s="132"/>
    </row>
    <row r="83" spans="1:5" x14ac:dyDescent="0.25">
      <c r="A83" s="130"/>
      <c r="B83" s="131"/>
      <c r="C83" s="131"/>
      <c r="D83" s="132"/>
      <c r="E83" s="132"/>
    </row>
    <row r="84" spans="1:5" x14ac:dyDescent="0.25">
      <c r="A84" s="130"/>
      <c r="B84" s="131"/>
      <c r="C84" s="131"/>
      <c r="D84" s="132"/>
      <c r="E84" s="132"/>
    </row>
    <row r="85" spans="1:5" x14ac:dyDescent="0.25">
      <c r="A85" s="130"/>
      <c r="B85" s="131"/>
      <c r="C85" s="131"/>
      <c r="D85" s="132"/>
      <c r="E85" s="132"/>
    </row>
    <row r="86" spans="1:5" x14ac:dyDescent="0.25">
      <c r="A86" s="130"/>
      <c r="B86" s="131"/>
      <c r="C86" s="131"/>
      <c r="D86" s="132"/>
      <c r="E86" s="132"/>
    </row>
    <row r="87" spans="1:5" x14ac:dyDescent="0.25">
      <c r="A87" s="130"/>
      <c r="B87" s="131"/>
      <c r="C87" s="131"/>
      <c r="D87" s="132"/>
      <c r="E87" s="132"/>
    </row>
    <row r="88" spans="1:5" x14ac:dyDescent="0.25">
      <c r="A88" s="130"/>
      <c r="B88" s="131"/>
      <c r="C88" s="131"/>
      <c r="D88" s="132"/>
      <c r="E88" s="132"/>
    </row>
    <row r="89" spans="1:5" x14ac:dyDescent="0.25">
      <c r="A89" s="130"/>
      <c r="B89" s="131"/>
      <c r="C89" s="131"/>
      <c r="D89" s="132"/>
      <c r="E89" s="132"/>
    </row>
    <row r="90" spans="1:5" x14ac:dyDescent="0.25">
      <c r="A90" s="130"/>
      <c r="B90" s="131"/>
      <c r="C90" s="131"/>
      <c r="D90" s="132"/>
      <c r="E90" s="132"/>
    </row>
    <row r="91" spans="1:5" x14ac:dyDescent="0.25">
      <c r="A91" s="130"/>
      <c r="B91" s="131"/>
      <c r="C91" s="131"/>
      <c r="D91" s="132"/>
      <c r="E91" s="132"/>
    </row>
    <row r="92" spans="1:5" x14ac:dyDescent="0.25">
      <c r="A92" s="130"/>
      <c r="B92" s="131"/>
      <c r="C92" s="131"/>
      <c r="D92" s="132"/>
      <c r="E92" s="132"/>
    </row>
    <row r="93" spans="1:5" x14ac:dyDescent="0.25">
      <c r="A93" s="130"/>
      <c r="B93" s="131"/>
      <c r="C93" s="131"/>
      <c r="D93" s="132"/>
      <c r="E93" s="132"/>
    </row>
    <row r="94" spans="1:5" x14ac:dyDescent="0.25">
      <c r="A94" s="130"/>
      <c r="B94" s="131"/>
      <c r="C94" s="131"/>
      <c r="D94" s="132"/>
      <c r="E94" s="132"/>
    </row>
    <row r="95" spans="1:5" x14ac:dyDescent="0.25">
      <c r="A95" s="130"/>
      <c r="B95" s="131"/>
      <c r="C95" s="131"/>
      <c r="D95" s="132"/>
      <c r="E95" s="132"/>
    </row>
    <row r="96" spans="1:5" x14ac:dyDescent="0.25">
      <c r="A96" s="130"/>
      <c r="B96" s="131"/>
      <c r="C96" s="131"/>
      <c r="D96" s="132"/>
      <c r="E96" s="132"/>
    </row>
    <row r="97" spans="1:5" x14ac:dyDescent="0.25">
      <c r="A97" s="130"/>
      <c r="B97" s="131"/>
      <c r="C97" s="131"/>
      <c r="D97" s="132"/>
      <c r="E97" s="132"/>
    </row>
    <row r="98" spans="1:5" x14ac:dyDescent="0.25">
      <c r="A98" s="130"/>
      <c r="B98" s="131"/>
      <c r="C98" s="131"/>
      <c r="D98" s="132"/>
      <c r="E98" s="132"/>
    </row>
    <row r="99" spans="1:5" x14ac:dyDescent="0.25">
      <c r="A99" s="130"/>
      <c r="B99" s="131"/>
      <c r="C99" s="131"/>
      <c r="D99" s="132"/>
      <c r="E99" s="132"/>
    </row>
    <row r="100" spans="1:5" x14ac:dyDescent="0.25">
      <c r="A100" s="130"/>
      <c r="B100" s="131"/>
      <c r="C100" s="131"/>
      <c r="D100" s="132"/>
      <c r="E100" s="132"/>
    </row>
    <row r="101" spans="1:5" x14ac:dyDescent="0.25">
      <c r="A101" s="130"/>
      <c r="B101" s="131"/>
      <c r="C101" s="131"/>
      <c r="D101" s="132"/>
      <c r="E101" s="132"/>
    </row>
    <row r="102" spans="1:5" x14ac:dyDescent="0.25">
      <c r="A102" s="130"/>
      <c r="B102" s="131"/>
      <c r="C102" s="131"/>
      <c r="D102" s="132"/>
      <c r="E102" s="132"/>
    </row>
    <row r="103" spans="1:5" x14ac:dyDescent="0.25">
      <c r="A103" s="130"/>
      <c r="B103" s="131"/>
      <c r="C103" s="131"/>
      <c r="D103" s="132"/>
      <c r="E103" s="132"/>
    </row>
    <row r="104" spans="1:5" x14ac:dyDescent="0.25">
      <c r="A104" s="130"/>
      <c r="B104" s="131"/>
      <c r="C104" s="131"/>
      <c r="D104" s="132"/>
      <c r="E104" s="132"/>
    </row>
    <row r="105" spans="1:5" x14ac:dyDescent="0.25">
      <c r="A105" s="130"/>
      <c r="B105" s="131"/>
      <c r="C105" s="131"/>
      <c r="D105" s="132"/>
      <c r="E105" s="132"/>
    </row>
    <row r="106" spans="1:5" x14ac:dyDescent="0.25">
      <c r="A106" s="130"/>
      <c r="B106" s="131"/>
      <c r="C106" s="131"/>
      <c r="D106" s="132"/>
      <c r="E106" s="132"/>
    </row>
    <row r="107" spans="1:5" x14ac:dyDescent="0.25">
      <c r="A107" s="130"/>
      <c r="B107" s="131"/>
      <c r="C107" s="131"/>
      <c r="D107" s="132"/>
      <c r="E107" s="132"/>
    </row>
    <row r="108" spans="1:5" x14ac:dyDescent="0.25">
      <c r="A108" s="130"/>
      <c r="B108" s="131"/>
      <c r="C108" s="131"/>
      <c r="D108" s="132"/>
      <c r="E108" s="132"/>
    </row>
    <row r="109" spans="1:5" x14ac:dyDescent="0.25">
      <c r="A109" s="130"/>
      <c r="B109" s="131"/>
      <c r="C109" s="131"/>
      <c r="D109" s="132"/>
      <c r="E109" s="132"/>
    </row>
    <row r="110" spans="1:5" x14ac:dyDescent="0.25">
      <c r="A110" s="130"/>
      <c r="B110" s="131"/>
      <c r="C110" s="131"/>
      <c r="D110" s="132"/>
      <c r="E110" s="132"/>
    </row>
    <row r="111" spans="1:5" x14ac:dyDescent="0.25">
      <c r="A111" s="130"/>
      <c r="B111" s="131"/>
      <c r="C111" s="131"/>
      <c r="D111" s="132"/>
      <c r="E111" s="132"/>
    </row>
    <row r="112" spans="1:5" x14ac:dyDescent="0.25">
      <c r="A112" s="130"/>
      <c r="B112" s="131"/>
      <c r="C112" s="131"/>
      <c r="D112" s="132"/>
      <c r="E112" s="132"/>
    </row>
    <row r="113" spans="1:5" x14ac:dyDescent="0.25">
      <c r="A113" s="130"/>
      <c r="B113" s="131"/>
      <c r="C113" s="131"/>
      <c r="D113" s="132"/>
      <c r="E113" s="132"/>
    </row>
    <row r="114" spans="1:5" x14ac:dyDescent="0.25">
      <c r="A114" s="130"/>
      <c r="B114" s="131"/>
      <c r="C114" s="131"/>
      <c r="D114" s="132"/>
      <c r="E114" s="132"/>
    </row>
    <row r="115" spans="1:5" x14ac:dyDescent="0.25">
      <c r="A115" s="130"/>
      <c r="B115" s="131"/>
      <c r="C115" s="131"/>
      <c r="D115" s="132"/>
      <c r="E115" s="132"/>
    </row>
    <row r="116" spans="1:5" x14ac:dyDescent="0.25">
      <c r="A116" s="130"/>
      <c r="B116" s="131"/>
      <c r="C116" s="131"/>
      <c r="D116" s="132"/>
      <c r="E116" s="132"/>
    </row>
    <row r="117" spans="1:5" x14ac:dyDescent="0.25">
      <c r="A117" s="130"/>
      <c r="B117" s="131"/>
      <c r="C117" s="131"/>
      <c r="D117" s="132"/>
      <c r="E117" s="132"/>
    </row>
    <row r="118" spans="1:5" x14ac:dyDescent="0.25">
      <c r="A118" s="130"/>
      <c r="B118" s="131"/>
      <c r="C118" s="131"/>
      <c r="D118" s="132"/>
      <c r="E118" s="132"/>
    </row>
    <row r="119" spans="1:5" x14ac:dyDescent="0.25">
      <c r="A119" s="130"/>
      <c r="B119" s="131"/>
      <c r="C119" s="131"/>
      <c r="D119" s="132"/>
      <c r="E119" s="132"/>
    </row>
    <row r="120" spans="1:5" x14ac:dyDescent="0.25">
      <c r="A120" s="130"/>
      <c r="B120" s="131"/>
      <c r="C120" s="131"/>
      <c r="D120" s="132"/>
      <c r="E120" s="132"/>
    </row>
    <row r="121" spans="1:5" x14ac:dyDescent="0.25">
      <c r="A121" s="130"/>
      <c r="B121" s="131"/>
      <c r="C121" s="131"/>
      <c r="D121" s="132"/>
      <c r="E121" s="132"/>
    </row>
    <row r="122" spans="1:5" x14ac:dyDescent="0.25">
      <c r="A122" s="130"/>
      <c r="B122" s="131"/>
      <c r="C122" s="131"/>
      <c r="D122" s="132"/>
      <c r="E122" s="132"/>
    </row>
    <row r="123" spans="1:5" x14ac:dyDescent="0.25">
      <c r="A123" s="130"/>
      <c r="B123" s="131"/>
      <c r="C123" s="131"/>
      <c r="D123" s="132"/>
      <c r="E123" s="132"/>
    </row>
    <row r="124" spans="1:5" x14ac:dyDescent="0.25">
      <c r="A124" s="130"/>
      <c r="B124" s="131"/>
      <c r="C124" s="131"/>
      <c r="D124" s="132"/>
      <c r="E124" s="132"/>
    </row>
    <row r="125" spans="1:5" x14ac:dyDescent="0.25">
      <c r="A125" s="130"/>
      <c r="B125" s="131"/>
      <c r="C125" s="131"/>
      <c r="D125" s="132"/>
      <c r="E125" s="132"/>
    </row>
    <row r="126" spans="1:5" x14ac:dyDescent="0.25">
      <c r="A126" s="130"/>
      <c r="B126" s="131"/>
      <c r="C126" s="131"/>
      <c r="D126" s="132"/>
      <c r="E126" s="132"/>
    </row>
    <row r="127" spans="1:5" x14ac:dyDescent="0.25">
      <c r="A127" s="130"/>
      <c r="B127" s="131"/>
      <c r="C127" s="131"/>
      <c r="D127" s="132"/>
      <c r="E127" s="132"/>
    </row>
    <row r="128" spans="1:5" x14ac:dyDescent="0.25">
      <c r="A128" s="130"/>
      <c r="B128" s="131"/>
      <c r="C128" s="131"/>
      <c r="D128" s="132"/>
      <c r="E128" s="132"/>
    </row>
    <row r="129" spans="1:5" x14ac:dyDescent="0.25">
      <c r="A129" s="130"/>
      <c r="B129" s="131"/>
      <c r="C129" s="131"/>
      <c r="D129" s="132"/>
      <c r="E129" s="132"/>
    </row>
    <row r="130" spans="1:5" x14ac:dyDescent="0.25">
      <c r="A130" s="130"/>
      <c r="B130" s="131"/>
      <c r="C130" s="131"/>
      <c r="D130" s="132"/>
      <c r="E130" s="132"/>
    </row>
    <row r="131" spans="1:5" x14ac:dyDescent="0.25">
      <c r="A131" s="130"/>
      <c r="B131" s="131"/>
      <c r="C131" s="131"/>
      <c r="D131" s="132"/>
      <c r="E131" s="132"/>
    </row>
    <row r="132" spans="1:5" x14ac:dyDescent="0.25">
      <c r="A132" s="130"/>
      <c r="B132" s="131"/>
      <c r="C132" s="131"/>
      <c r="D132" s="132"/>
      <c r="E132" s="132"/>
    </row>
    <row r="133" spans="1:5" x14ac:dyDescent="0.25">
      <c r="A133" s="130"/>
      <c r="B133" s="131"/>
      <c r="C133" s="131"/>
      <c r="D133" s="132"/>
      <c r="E133" s="132"/>
    </row>
    <row r="134" spans="1:5" x14ac:dyDescent="0.25">
      <c r="A134" s="130"/>
      <c r="B134" s="131"/>
      <c r="C134" s="131"/>
      <c r="D134" s="132"/>
      <c r="E134" s="132"/>
    </row>
    <row r="135" spans="1:5" x14ac:dyDescent="0.25">
      <c r="A135" s="130"/>
      <c r="B135" s="131"/>
      <c r="C135" s="131"/>
      <c r="D135" s="132"/>
      <c r="E135" s="132"/>
    </row>
    <row r="136" spans="1:5" x14ac:dyDescent="0.25">
      <c r="A136" s="130"/>
      <c r="B136" s="131"/>
      <c r="C136" s="131"/>
      <c r="D136" s="132"/>
      <c r="E136" s="132"/>
    </row>
    <row r="137" spans="1:5" x14ac:dyDescent="0.25">
      <c r="A137" s="130"/>
      <c r="B137" s="131"/>
      <c r="C137" s="131"/>
      <c r="D137" s="132"/>
      <c r="E137" s="132"/>
    </row>
    <row r="138" spans="1:5" x14ac:dyDescent="0.25">
      <c r="A138" s="130"/>
      <c r="B138" s="131"/>
      <c r="C138" s="131"/>
      <c r="D138" s="132"/>
      <c r="E138" s="132"/>
    </row>
    <row r="139" spans="1:5" x14ac:dyDescent="0.25">
      <c r="A139" s="130"/>
      <c r="B139" s="131"/>
      <c r="C139" s="131"/>
      <c r="D139" s="132"/>
      <c r="E139" s="132"/>
    </row>
    <row r="140" spans="1:5" x14ac:dyDescent="0.25">
      <c r="A140" s="130"/>
      <c r="B140" s="131"/>
      <c r="C140" s="131"/>
      <c r="D140" s="132"/>
      <c r="E140" s="132"/>
    </row>
    <row r="141" spans="1:5" x14ac:dyDescent="0.25">
      <c r="A141" s="130"/>
      <c r="B141" s="131"/>
      <c r="C141" s="131"/>
      <c r="D141" s="132"/>
      <c r="E141" s="132"/>
    </row>
    <row r="142" spans="1:5" x14ac:dyDescent="0.25">
      <c r="A142" s="130"/>
      <c r="B142" s="131"/>
      <c r="C142" s="131"/>
      <c r="D142" s="132"/>
      <c r="E142" s="132"/>
    </row>
    <row r="143" spans="1:5" x14ac:dyDescent="0.25">
      <c r="A143" s="130"/>
      <c r="B143" s="131"/>
      <c r="C143" s="131"/>
      <c r="D143" s="132"/>
      <c r="E143" s="132"/>
    </row>
    <row r="144" spans="1:5" x14ac:dyDescent="0.25">
      <c r="A144" s="130"/>
      <c r="B144" s="131"/>
      <c r="C144" s="131"/>
      <c r="D144" s="132"/>
      <c r="E144" s="132"/>
    </row>
    <row r="145" spans="1:5" x14ac:dyDescent="0.25">
      <c r="A145" s="130"/>
      <c r="B145" s="131"/>
      <c r="C145" s="131"/>
      <c r="D145" s="132"/>
      <c r="E145" s="132"/>
    </row>
    <row r="146" spans="1:5" x14ac:dyDescent="0.25">
      <c r="A146" s="130"/>
      <c r="B146" s="131"/>
      <c r="C146" s="131"/>
      <c r="D146" s="132"/>
      <c r="E146" s="132"/>
    </row>
    <row r="147" spans="1:5" x14ac:dyDescent="0.25">
      <c r="A147" s="130"/>
      <c r="B147" s="131"/>
      <c r="C147" s="131"/>
      <c r="D147" s="132"/>
      <c r="E147" s="132"/>
    </row>
    <row r="148" spans="1:5" x14ac:dyDescent="0.25">
      <c r="A148" s="130"/>
      <c r="B148" s="131"/>
      <c r="C148" s="131"/>
      <c r="D148" s="132"/>
      <c r="E148" s="132"/>
    </row>
    <row r="149" spans="1:5" x14ac:dyDescent="0.25">
      <c r="A149" s="130"/>
      <c r="B149" s="131"/>
      <c r="C149" s="131"/>
      <c r="D149" s="132"/>
      <c r="E149" s="132"/>
    </row>
    <row r="150" spans="1:5" x14ac:dyDescent="0.25">
      <c r="A150" s="130"/>
      <c r="B150" s="131"/>
      <c r="C150" s="131"/>
      <c r="D150" s="132"/>
      <c r="E150" s="132"/>
    </row>
    <row r="151" spans="1:5" x14ac:dyDescent="0.25">
      <c r="A151" s="130"/>
      <c r="B151" s="131"/>
      <c r="C151" s="131"/>
      <c r="D151" s="132"/>
      <c r="E151" s="132"/>
    </row>
    <row r="152" spans="1:5" x14ac:dyDescent="0.25">
      <c r="A152" s="130"/>
      <c r="B152" s="131"/>
      <c r="C152" s="131"/>
      <c r="D152" s="132"/>
      <c r="E152" s="132"/>
    </row>
    <row r="153" spans="1:5" x14ac:dyDescent="0.25">
      <c r="A153" s="130"/>
      <c r="B153" s="131"/>
      <c r="C153" s="131"/>
      <c r="D153" s="132"/>
      <c r="E153" s="132"/>
    </row>
    <row r="154" spans="1:5" x14ac:dyDescent="0.25">
      <c r="A154" s="130"/>
      <c r="B154" s="131"/>
      <c r="C154" s="131"/>
      <c r="D154" s="132"/>
      <c r="E154" s="132"/>
    </row>
    <row r="155" spans="1:5" x14ac:dyDescent="0.25">
      <c r="A155" s="130"/>
      <c r="B155" s="131"/>
      <c r="C155" s="131"/>
      <c r="D155" s="132"/>
      <c r="E155" s="132"/>
    </row>
    <row r="156" spans="1:5" x14ac:dyDescent="0.25">
      <c r="A156" s="130"/>
      <c r="B156" s="131"/>
      <c r="C156" s="131"/>
      <c r="D156" s="132"/>
      <c r="E156" s="132"/>
    </row>
    <row r="157" spans="1:5" x14ac:dyDescent="0.25">
      <c r="A157" s="130"/>
      <c r="B157" s="131"/>
      <c r="C157" s="131"/>
      <c r="D157" s="132"/>
      <c r="E157" s="132"/>
    </row>
    <row r="158" spans="1:5" x14ac:dyDescent="0.25">
      <c r="A158" s="130"/>
      <c r="B158" s="131"/>
      <c r="C158" s="131"/>
      <c r="D158" s="132"/>
      <c r="E158" s="132"/>
    </row>
    <row r="159" spans="1:5" x14ac:dyDescent="0.25">
      <c r="A159" s="130"/>
      <c r="B159" s="131"/>
      <c r="C159" s="131"/>
      <c r="D159" s="132"/>
      <c r="E159" s="132"/>
    </row>
    <row r="160" spans="1:5" x14ac:dyDescent="0.25">
      <c r="A160" s="130"/>
      <c r="B160" s="131"/>
      <c r="C160" s="131"/>
      <c r="D160" s="132"/>
      <c r="E160" s="132"/>
    </row>
    <row r="161" spans="1:5" x14ac:dyDescent="0.25">
      <c r="A161" s="130"/>
      <c r="B161" s="131"/>
      <c r="C161" s="131"/>
      <c r="D161" s="132"/>
      <c r="E161" s="132"/>
    </row>
    <row r="162" spans="1:5" x14ac:dyDescent="0.25">
      <c r="A162" s="130"/>
      <c r="B162" s="131"/>
      <c r="C162" s="131"/>
      <c r="D162" s="132"/>
      <c r="E162" s="132"/>
    </row>
    <row r="163" spans="1:5" x14ac:dyDescent="0.25">
      <c r="A163" s="130"/>
      <c r="B163" s="131"/>
      <c r="C163" s="131"/>
      <c r="D163" s="132"/>
      <c r="E163" s="132"/>
    </row>
    <row r="164" spans="1:5" x14ac:dyDescent="0.25">
      <c r="A164" s="130"/>
      <c r="B164" s="131"/>
      <c r="C164" s="131"/>
      <c r="D164" s="132"/>
      <c r="E164" s="132"/>
    </row>
    <row r="165" spans="1:5" x14ac:dyDescent="0.25">
      <c r="A165" s="130"/>
      <c r="B165" s="131"/>
      <c r="C165" s="131"/>
      <c r="D165" s="132"/>
      <c r="E165" s="132"/>
    </row>
    <row r="166" spans="1:5" x14ac:dyDescent="0.25">
      <c r="A166" s="130"/>
      <c r="B166" s="131"/>
      <c r="C166" s="131"/>
      <c r="D166" s="132"/>
      <c r="E166" s="132"/>
    </row>
    <row r="167" spans="1:5" x14ac:dyDescent="0.25">
      <c r="A167" s="130"/>
      <c r="B167" s="131"/>
      <c r="C167" s="131"/>
      <c r="D167" s="132"/>
      <c r="E167" s="132"/>
    </row>
    <row r="168" spans="1:5" x14ac:dyDescent="0.25">
      <c r="A168" s="130"/>
      <c r="B168" s="131"/>
      <c r="C168" s="131"/>
      <c r="D168" s="132"/>
      <c r="E168" s="132"/>
    </row>
    <row r="169" spans="1:5" x14ac:dyDescent="0.25">
      <c r="A169" s="130"/>
      <c r="B169" s="131"/>
      <c r="C169" s="131"/>
      <c r="D169" s="132"/>
      <c r="E169" s="132"/>
    </row>
    <row r="170" spans="1:5" x14ac:dyDescent="0.25">
      <c r="A170" s="130"/>
      <c r="B170" s="131"/>
      <c r="C170" s="131"/>
      <c r="D170" s="132"/>
      <c r="E170" s="132"/>
    </row>
    <row r="171" spans="1:5" x14ac:dyDescent="0.25">
      <c r="A171" s="130"/>
      <c r="B171" s="131"/>
      <c r="C171" s="131"/>
      <c r="D171" s="132"/>
      <c r="E171" s="132"/>
    </row>
    <row r="172" spans="1:5" x14ac:dyDescent="0.25">
      <c r="A172" s="130"/>
      <c r="B172" s="131"/>
      <c r="C172" s="131"/>
      <c r="D172" s="132"/>
      <c r="E172" s="132"/>
    </row>
    <row r="173" spans="1:5" x14ac:dyDescent="0.25">
      <c r="A173" s="130"/>
      <c r="B173" s="131"/>
      <c r="C173" s="131"/>
      <c r="D173" s="132"/>
      <c r="E173" s="132"/>
    </row>
    <row r="174" spans="1:5" x14ac:dyDescent="0.25">
      <c r="A174" s="130"/>
      <c r="B174" s="131"/>
      <c r="C174" s="131"/>
      <c r="D174" s="132"/>
      <c r="E174" s="132"/>
    </row>
    <row r="175" spans="1:5" x14ac:dyDescent="0.25">
      <c r="A175" s="130"/>
      <c r="B175" s="131"/>
      <c r="C175" s="131"/>
      <c r="D175" s="132"/>
      <c r="E175" s="132"/>
    </row>
    <row r="176" spans="1:5" x14ac:dyDescent="0.25">
      <c r="A176" s="130"/>
      <c r="B176" s="131"/>
      <c r="C176" s="131"/>
      <c r="D176" s="132"/>
      <c r="E176" s="132"/>
    </row>
    <row r="177" spans="1:5" x14ac:dyDescent="0.25">
      <c r="A177" s="130"/>
      <c r="B177" s="131"/>
      <c r="C177" s="131"/>
      <c r="D177" s="132"/>
      <c r="E177" s="132"/>
    </row>
    <row r="178" spans="1:5" x14ac:dyDescent="0.25">
      <c r="A178" s="130"/>
      <c r="B178" s="131"/>
      <c r="C178" s="131"/>
      <c r="D178" s="132"/>
      <c r="E178" s="132"/>
    </row>
    <row r="179" spans="1:5" x14ac:dyDescent="0.25">
      <c r="A179" s="130"/>
      <c r="B179" s="131"/>
      <c r="C179" s="131"/>
      <c r="D179" s="132"/>
      <c r="E179" s="132"/>
    </row>
    <row r="180" spans="1:5" x14ac:dyDescent="0.25">
      <c r="A180" s="130"/>
      <c r="B180" s="131"/>
      <c r="C180" s="131"/>
      <c r="D180" s="132"/>
      <c r="E180" s="132"/>
    </row>
    <row r="181" spans="1:5" x14ac:dyDescent="0.25">
      <c r="A181" s="130"/>
      <c r="B181" s="131"/>
      <c r="C181" s="131"/>
      <c r="D181" s="132"/>
      <c r="E181" s="132"/>
    </row>
    <row r="182" spans="1:5" x14ac:dyDescent="0.25">
      <c r="A182" s="130"/>
      <c r="B182" s="131"/>
      <c r="C182" s="131"/>
      <c r="D182" s="132"/>
      <c r="E182" s="132"/>
    </row>
    <row r="183" spans="1:5" x14ac:dyDescent="0.25">
      <c r="A183" s="130"/>
      <c r="B183" s="131"/>
      <c r="C183" s="131"/>
      <c r="D183" s="132"/>
      <c r="E183" s="132"/>
    </row>
    <row r="184" spans="1:5" x14ac:dyDescent="0.25">
      <c r="A184" s="130"/>
      <c r="B184" s="131"/>
      <c r="C184" s="131"/>
      <c r="D184" s="132"/>
      <c r="E184" s="132"/>
    </row>
    <row r="185" spans="1:5" x14ac:dyDescent="0.25">
      <c r="A185" s="130"/>
      <c r="B185" s="131"/>
      <c r="C185" s="131"/>
      <c r="D185" s="132"/>
      <c r="E185" s="132"/>
    </row>
    <row r="186" spans="1:5" x14ac:dyDescent="0.25">
      <c r="A186" s="130"/>
      <c r="B186" s="131"/>
      <c r="C186" s="131"/>
      <c r="D186" s="132"/>
      <c r="E186" s="132"/>
    </row>
    <row r="187" spans="1:5" x14ac:dyDescent="0.25">
      <c r="A187" s="130"/>
      <c r="B187" s="131"/>
      <c r="C187" s="131"/>
      <c r="D187" s="132"/>
      <c r="E187" s="132"/>
    </row>
    <row r="188" spans="1:5" x14ac:dyDescent="0.25">
      <c r="A188" s="130"/>
      <c r="B188" s="131"/>
      <c r="C188" s="131"/>
      <c r="D188" s="132"/>
      <c r="E188" s="132"/>
    </row>
    <row r="189" spans="1:5" x14ac:dyDescent="0.25">
      <c r="A189" s="130"/>
      <c r="B189" s="131"/>
      <c r="C189" s="131"/>
      <c r="D189" s="132"/>
      <c r="E189" s="132"/>
    </row>
    <row r="190" spans="1:5" x14ac:dyDescent="0.25">
      <c r="A190" s="130"/>
      <c r="B190" s="131"/>
      <c r="C190" s="131"/>
      <c r="D190" s="132"/>
      <c r="E190" s="132"/>
    </row>
    <row r="191" spans="1:5" x14ac:dyDescent="0.25">
      <c r="A191" s="130"/>
      <c r="B191" s="131"/>
      <c r="C191" s="131"/>
      <c r="D191" s="132"/>
      <c r="E191" s="132"/>
    </row>
    <row r="192" spans="1:5" x14ac:dyDescent="0.25">
      <c r="A192" s="130"/>
      <c r="B192" s="131"/>
      <c r="C192" s="131"/>
      <c r="D192" s="132"/>
      <c r="E192" s="132"/>
    </row>
    <row r="193" spans="1:5" x14ac:dyDescent="0.25">
      <c r="A193" s="130"/>
      <c r="B193" s="131"/>
      <c r="C193" s="131"/>
      <c r="D193" s="132"/>
      <c r="E193" s="132"/>
    </row>
    <row r="194" spans="1:5" x14ac:dyDescent="0.25">
      <c r="A194" s="130"/>
      <c r="B194" s="131"/>
      <c r="C194" s="131"/>
      <c r="D194" s="132"/>
      <c r="E194" s="132"/>
    </row>
    <row r="195" spans="1:5" x14ac:dyDescent="0.25">
      <c r="A195" s="130"/>
      <c r="B195" s="131"/>
      <c r="C195" s="131"/>
      <c r="D195" s="132"/>
      <c r="E195" s="132"/>
    </row>
    <row r="196" spans="1:5" x14ac:dyDescent="0.25">
      <c r="A196" s="130"/>
      <c r="B196" s="131"/>
      <c r="C196" s="131"/>
      <c r="D196" s="132"/>
      <c r="E196" s="132"/>
    </row>
    <row r="197" spans="1:5" x14ac:dyDescent="0.25">
      <c r="A197" s="130"/>
      <c r="B197" s="131"/>
      <c r="C197" s="131"/>
      <c r="D197" s="132"/>
      <c r="E197" s="132"/>
    </row>
    <row r="198" spans="1:5" x14ac:dyDescent="0.25">
      <c r="A198" s="130"/>
      <c r="B198" s="131"/>
      <c r="C198" s="131"/>
      <c r="D198" s="132"/>
      <c r="E198" s="132"/>
    </row>
    <row r="199" spans="1:5" x14ac:dyDescent="0.25">
      <c r="A199" s="130"/>
      <c r="B199" s="131"/>
      <c r="C199" s="131"/>
      <c r="D199" s="132"/>
      <c r="E199" s="132"/>
    </row>
    <row r="200" spans="1:5" x14ac:dyDescent="0.25">
      <c r="A200" s="130"/>
      <c r="B200" s="131"/>
      <c r="C200" s="131"/>
      <c r="D200" s="132"/>
      <c r="E200" s="132"/>
    </row>
    <row r="201" spans="1:5" x14ac:dyDescent="0.25">
      <c r="A201" s="130"/>
      <c r="B201" s="131"/>
      <c r="C201" s="131"/>
      <c r="D201" s="132"/>
      <c r="E201" s="132"/>
    </row>
    <row r="202" spans="1:5" x14ac:dyDescent="0.25">
      <c r="A202" s="130"/>
      <c r="B202" s="131"/>
      <c r="C202" s="131"/>
      <c r="D202" s="132"/>
      <c r="E202" s="132"/>
    </row>
    <row r="203" spans="1:5" x14ac:dyDescent="0.25">
      <c r="A203" s="130"/>
      <c r="B203" s="131"/>
      <c r="C203" s="131"/>
      <c r="D203" s="132"/>
      <c r="E203" s="132"/>
    </row>
    <row r="204" spans="1:5" x14ac:dyDescent="0.25">
      <c r="A204" s="130"/>
      <c r="B204" s="131"/>
      <c r="C204" s="131"/>
      <c r="D204" s="132"/>
      <c r="E204" s="132"/>
    </row>
    <row r="205" spans="1:5" x14ac:dyDescent="0.25">
      <c r="A205" s="130"/>
      <c r="B205" s="131"/>
      <c r="C205" s="131"/>
      <c r="D205" s="132"/>
      <c r="E205" s="132"/>
    </row>
    <row r="206" spans="1:5" x14ac:dyDescent="0.25">
      <c r="A206" s="130"/>
      <c r="B206" s="131"/>
      <c r="C206" s="131"/>
      <c r="D206" s="132"/>
      <c r="E206" s="132"/>
    </row>
    <row r="207" spans="1:5" x14ac:dyDescent="0.25">
      <c r="A207" s="130"/>
      <c r="B207" s="131"/>
      <c r="C207" s="131"/>
      <c r="D207" s="132"/>
      <c r="E207" s="132"/>
    </row>
    <row r="208" spans="1:5" x14ac:dyDescent="0.25">
      <c r="A208" s="130"/>
      <c r="B208" s="131"/>
      <c r="C208" s="131"/>
      <c r="D208" s="132"/>
      <c r="E208" s="132"/>
    </row>
    <row r="209" spans="1:5" x14ac:dyDescent="0.25">
      <c r="A209" s="130"/>
      <c r="B209" s="131"/>
      <c r="C209" s="131"/>
      <c r="D209" s="132"/>
      <c r="E209" s="132"/>
    </row>
    <row r="210" spans="1:5" x14ac:dyDescent="0.25">
      <c r="A210" s="130"/>
      <c r="B210" s="131"/>
      <c r="C210" s="131"/>
      <c r="D210" s="132"/>
      <c r="E210" s="132"/>
    </row>
    <row r="211" spans="1:5" x14ac:dyDescent="0.25">
      <c r="A211" s="130"/>
      <c r="B211" s="131"/>
      <c r="C211" s="131"/>
      <c r="D211" s="132"/>
      <c r="E211" s="132"/>
    </row>
    <row r="212" spans="1:5" x14ac:dyDescent="0.25">
      <c r="A212" s="130"/>
      <c r="B212" s="131"/>
      <c r="C212" s="131"/>
      <c r="D212" s="132"/>
      <c r="E212" s="132"/>
    </row>
  </sheetData>
  <mergeCells count="1">
    <mergeCell ref="A6:E6"/>
  </mergeCells>
  <conditionalFormatting sqref="A11:E11">
    <cfRule type="expression" dxfId="362" priority="3848" stopIfTrue="1">
      <formula>AND($A11&lt;&gt;"", MOD(ROW()-12,2)=0)</formula>
    </cfRule>
  </conditionalFormatting>
  <conditionalFormatting sqref="E11">
    <cfRule type="expression" dxfId="361" priority="3844" stopIfTrue="1">
      <formula>$E11="Overdue"</formula>
    </cfRule>
    <cfRule type="expression" dxfId="360" priority="3849" stopIfTrue="1">
      <formula>$E11="Due Soon"</formula>
    </cfRule>
  </conditionalFormatting>
  <conditionalFormatting sqref="A213:E213">
    <cfRule type="expression" dxfId="359" priority="3852" stopIfTrue="1">
      <formula>AND($A213&lt;&gt;"", MOD(ROW()-12,2)=0)</formula>
    </cfRule>
  </conditionalFormatting>
  <conditionalFormatting sqref="E213">
    <cfRule type="expression" dxfId="358" priority="3831" stopIfTrue="1">
      <formula>$E213="Overdue"</formula>
    </cfRule>
    <cfRule type="expression" dxfId="357" priority="3853" stopIfTrue="1">
      <formula>$E213="Due Soon"</formula>
    </cfRule>
  </conditionalFormatting>
  <conditionalFormatting sqref="A12:E212">
    <cfRule type="expression" dxfId="5" priority="3854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855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270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271</v>
      </c>
      <c r="C3" s="100" t="s">
        <v>198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272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273</v>
      </c>
      <c r="C7" s="101"/>
      <c r="D7" s="54"/>
      <c r="E7" s="54"/>
      <c r="I7" s="58" t="s">
        <v>359</v>
      </c>
      <c r="P7" s="58" t="s">
        <v>360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274</v>
      </c>
      <c r="C9" s="102"/>
      <c r="D9" s="54"/>
      <c r="E9" s="54"/>
      <c r="I9" s="62" t="s">
        <v>361</v>
      </c>
      <c r="P9" s="53" t="s">
        <v>362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269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269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269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266</v>
      </c>
      <c r="F16" s="94" t="s">
        <v>277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266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1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8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229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230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230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287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287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287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287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287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287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287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417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417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452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SAWE01</v>
      </c>
      <c r="C30" s="14" t="str">
        <v>Sydney Sawe</v>
      </c>
      <c r="D30" s="56" t="str">
        <v>MAINTENANCE</v>
      </c>
      <c r="E30" s="56" t="str">
        <v>TECHNICIAN</v>
      </c>
      <c r="F30" s="95" t="str">
        <f>IFERROR(VLOOKUP(B30,tblPeople[],14,FALSE),"")</f>
        <v>sawesydney@gmail.com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497</v>
      </c>
      <c r="N30" s="12" t="str">
        <f ca="1"/>
        <v>OK</v>
      </c>
      <c r="O30" s="65">
        <v>14</v>
      </c>
      <c r="P30" s="12" t="str">
        <v>OMON01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14.25" x14ac:dyDescent="0.25">
      <c r="A31" s="65">
        <f t="shared" si="0"/>
        <v>15</v>
      </c>
      <c r="B31" s="14" t="str">
        <v>WAMB02</v>
      </c>
      <c r="C31" s="14" t="str">
        <v>Hannah Wambui</v>
      </c>
      <c r="D31" s="56" t="str">
        <v>STORES</v>
      </c>
      <c r="E31" s="56" t="str">
        <v>STORES CLERK</v>
      </c>
      <c r="F31" s="95" t="str">
        <f>IFERROR(VLOOKUP(B31,tblPeople[],14,FALSE),"")</f>
        <v>annewambui48@gmail.com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517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 t="str">
        <f t="shared" si="0"/>
        <v/>
      </c>
      <c r="B32" s="14"/>
      <c r="C32" s="14"/>
      <c r="D32" s="56"/>
      <c r="E32" s="56"/>
      <c r="F32" s="95" t="str">
        <f>IFERROR(VLOOKUP(B32,tblPeople[],14,FALSE),"")</f>
        <v/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517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517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517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517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517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517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517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517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517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517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517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517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517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517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523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523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WAND01</v>
      </c>
      <c r="J48" s="12" t="str">
        <f ca="1"/>
        <v>Judith Wandera</v>
      </c>
      <c r="K48" s="29">
        <f ca="1"/>
        <v>46079</v>
      </c>
      <c r="L48" s="29">
        <f ca="1"/>
        <v>46809</v>
      </c>
      <c r="M48" s="30">
        <f ca="1"/>
        <v>523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NYAW01</v>
      </c>
      <c r="J49" s="12" t="str">
        <f ca="1"/>
        <v>Julius Nyawira</v>
      </c>
      <c r="K49" s="29">
        <f ca="1"/>
        <v>46079</v>
      </c>
      <c r="L49" s="29">
        <f ca="1"/>
        <v>46809</v>
      </c>
      <c r="M49" s="30">
        <f ca="1"/>
        <v>523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ETEN01</v>
      </c>
      <c r="J50" s="12" t="str">
        <f ca="1"/>
        <v>Mercy Etende</v>
      </c>
      <c r="K50" s="29">
        <f ca="1"/>
        <v>46079</v>
      </c>
      <c r="L50" s="29">
        <f ca="1"/>
        <v>46809</v>
      </c>
      <c r="M50" s="30">
        <f ca="1"/>
        <v>523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MUSA01</v>
      </c>
      <c r="J51" s="12" t="str">
        <f ca="1"/>
        <v>Patrick Musau</v>
      </c>
      <c r="K51" s="29">
        <f ca="1"/>
        <v>46079</v>
      </c>
      <c r="L51" s="29">
        <f ca="1"/>
        <v>46809</v>
      </c>
      <c r="M51" s="30">
        <f ca="1"/>
        <v>523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MWAN06</v>
      </c>
      <c r="J52" s="12" t="str">
        <f ca="1"/>
        <v>Patrick Mwangi</v>
      </c>
      <c r="K52" s="29">
        <f ca="1"/>
        <v>46079</v>
      </c>
      <c r="L52" s="29">
        <f ca="1"/>
        <v>46809</v>
      </c>
      <c r="M52" s="30">
        <f ca="1"/>
        <v>523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MWAN01</v>
      </c>
      <c r="J53" s="12" t="str">
        <f ca="1"/>
        <v>Philip Mwania</v>
      </c>
      <c r="K53" s="29">
        <f ca="1"/>
        <v>46079</v>
      </c>
      <c r="L53" s="29">
        <f ca="1"/>
        <v>46809</v>
      </c>
      <c r="M53" s="30">
        <f ca="1"/>
        <v>523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HARU01</v>
      </c>
      <c r="J54" s="12" t="str">
        <f ca="1"/>
        <v>Smith Harun</v>
      </c>
      <c r="K54" s="29">
        <f ca="1"/>
        <v>46079</v>
      </c>
      <c r="L54" s="29">
        <f ca="1"/>
        <v>46809</v>
      </c>
      <c r="M54" s="30">
        <f ca="1"/>
        <v>523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MUEM02</v>
      </c>
      <c r="J55" s="12" t="str">
        <f ca="1"/>
        <v>Urbanus Muema</v>
      </c>
      <c r="K55" s="29">
        <f ca="1"/>
        <v>46079</v>
      </c>
      <c r="L55" s="29">
        <f ca="1"/>
        <v>46809</v>
      </c>
      <c r="M55" s="30">
        <f ca="1"/>
        <v>523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KANA01</v>
      </c>
      <c r="J56" s="12" t="str">
        <f ca="1"/>
        <v>Wycliffe Kanana</v>
      </c>
      <c r="K56" s="29">
        <f ca="1"/>
        <v>46079</v>
      </c>
      <c r="L56" s="29">
        <f ca="1"/>
        <v>46809</v>
      </c>
      <c r="M56" s="30">
        <f ca="1"/>
        <v>523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OKUD01</v>
      </c>
      <c r="J57" s="12" t="str">
        <f ca="1"/>
        <v>Alfred Okudo</v>
      </c>
      <c r="K57" s="29">
        <f ca="1"/>
        <v>46155</v>
      </c>
      <c r="L57" s="29">
        <f ca="1"/>
        <v>46886</v>
      </c>
      <c r="M57" s="30">
        <f ca="1"/>
        <v>600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KIMI01</v>
      </c>
      <c r="J58" s="12" t="str">
        <f ca="1"/>
        <v>Benard Kimiti</v>
      </c>
      <c r="K58" s="29">
        <f ca="1"/>
        <v>46155</v>
      </c>
      <c r="L58" s="29">
        <f ca="1"/>
        <v>46886</v>
      </c>
      <c r="M58" s="30">
        <f ca="1"/>
        <v>600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GITA01</v>
      </c>
      <c r="J59" s="12" t="str">
        <f ca="1"/>
        <v>Benson Gitahi</v>
      </c>
      <c r="K59" s="29">
        <f ca="1"/>
        <v>46155</v>
      </c>
      <c r="L59" s="29">
        <f ca="1"/>
        <v>46886</v>
      </c>
      <c r="M59" s="30">
        <f ca="1"/>
        <v>600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MUGA01</v>
      </c>
      <c r="J60" s="12" t="str">
        <f ca="1"/>
        <v>Brian Muga</v>
      </c>
      <c r="K60" s="29">
        <f ca="1"/>
        <v>46155</v>
      </c>
      <c r="L60" s="29">
        <f ca="1"/>
        <v>46886</v>
      </c>
      <c r="M60" s="30">
        <f ca="1"/>
        <v>600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MZUN01</v>
      </c>
      <c r="J61" s="12" t="str">
        <f ca="1"/>
        <v>Dickson Mzungu</v>
      </c>
      <c r="K61" s="29">
        <f ca="1"/>
        <v>46155</v>
      </c>
      <c r="L61" s="29">
        <f ca="1"/>
        <v>46886</v>
      </c>
      <c r="M61" s="30">
        <f ca="1"/>
        <v>600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MWAN07</v>
      </c>
      <c r="J62" s="12" t="str">
        <f ca="1"/>
        <v>Erick Mwanje</v>
      </c>
      <c r="K62" s="29">
        <f ca="1"/>
        <v>46155</v>
      </c>
      <c r="L62" s="29">
        <f ca="1"/>
        <v>46886</v>
      </c>
      <c r="M62" s="30">
        <f ca="1"/>
        <v>600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MAIN01</v>
      </c>
      <c r="J63" s="12" t="str">
        <f ca="1"/>
        <v>Evans Maingi</v>
      </c>
      <c r="K63" s="29">
        <f ca="1"/>
        <v>46155</v>
      </c>
      <c r="L63" s="29">
        <f ca="1"/>
        <v>46886</v>
      </c>
      <c r="M63" s="30">
        <f ca="1"/>
        <v>600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MUTO01</v>
      </c>
      <c r="J64" s="12" t="str">
        <f ca="1"/>
        <v>Francis Mutonga</v>
      </c>
      <c r="K64" s="29">
        <f ca="1"/>
        <v>46155</v>
      </c>
      <c r="L64" s="29">
        <f ca="1"/>
        <v>46886</v>
      </c>
      <c r="M64" s="30">
        <f ca="1"/>
        <v>600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MUIS01</v>
      </c>
      <c r="J65" s="12" t="str">
        <f ca="1"/>
        <v>James Muisyo</v>
      </c>
      <c r="K65" s="29">
        <f ca="1"/>
        <v>46155</v>
      </c>
      <c r="L65" s="29">
        <f ca="1"/>
        <v>46886</v>
      </c>
      <c r="M65" s="30">
        <f ca="1"/>
        <v>600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CHEG01</v>
      </c>
      <c r="J66" s="12" t="str">
        <f ca="1"/>
        <v>Martin Chege</v>
      </c>
      <c r="K66" s="29">
        <f ca="1"/>
        <v>46155</v>
      </c>
      <c r="L66" s="29">
        <f ca="1"/>
        <v>46886</v>
      </c>
      <c r="M66" s="30">
        <f ca="1"/>
        <v>600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CHEL01</v>
      </c>
      <c r="J67" s="12" t="str">
        <f ca="1"/>
        <v>Mary Chelagat</v>
      </c>
      <c r="K67" s="29">
        <f ca="1"/>
        <v>46155</v>
      </c>
      <c r="L67" s="29">
        <f ca="1"/>
        <v>46886</v>
      </c>
      <c r="M67" s="12">
        <f ca="1"/>
        <v>600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MUHA01</v>
      </c>
      <c r="J68" s="12" t="str">
        <f ca="1"/>
        <v>Prudence Muhami</v>
      </c>
      <c r="K68" s="29">
        <f ca="1"/>
        <v>46155</v>
      </c>
      <c r="L68" s="29">
        <f ca="1"/>
        <v>46886</v>
      </c>
      <c r="M68" s="12">
        <f ca="1"/>
        <v>600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IKIL01</v>
      </c>
      <c r="J69" s="12" t="str">
        <f ca="1"/>
        <v>Venessa Ikileng'</v>
      </c>
      <c r="K69" s="29">
        <f ca="1"/>
        <v>46155</v>
      </c>
      <c r="L69" s="29">
        <f ca="1"/>
        <v>46886</v>
      </c>
      <c r="M69" s="12">
        <f ca="1"/>
        <v>600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KEME01</v>
      </c>
      <c r="J70" s="12" t="str">
        <f ca="1"/>
        <v xml:space="preserve">Edwin Kemei </v>
      </c>
      <c r="K70" s="29">
        <f ca="1"/>
        <v>46184</v>
      </c>
      <c r="L70" s="29">
        <f ca="1"/>
        <v>46915</v>
      </c>
      <c r="M70" s="12">
        <f ca="1"/>
        <v>629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MUGO01</v>
      </c>
      <c r="J71" s="12" t="str">
        <f ca="1"/>
        <v>James Mugo</v>
      </c>
      <c r="K71" s="29">
        <f ca="1"/>
        <v>46184</v>
      </c>
      <c r="L71" s="29">
        <f ca="1"/>
        <v>46915</v>
      </c>
      <c r="M71" s="12">
        <f ca="1"/>
        <v>629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NJIH01</v>
      </c>
      <c r="J72" s="12" t="str">
        <f ca="1"/>
        <v>Michael Njihia</v>
      </c>
      <c r="K72" s="29">
        <f ca="1"/>
        <v>46184</v>
      </c>
      <c r="L72" s="29">
        <f ca="1"/>
        <v>46915</v>
      </c>
      <c r="M72" s="12">
        <f ca="1"/>
        <v>629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OKOT01</v>
      </c>
      <c r="J73" s="12" t="str">
        <f ca="1"/>
        <v>Samuel Okoth</v>
      </c>
      <c r="K73" s="29">
        <f ca="1"/>
        <v>46184</v>
      </c>
      <c r="L73" s="29">
        <f ca="1"/>
        <v>46915</v>
      </c>
      <c r="M73" s="12">
        <f ca="1"/>
        <v>629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SAWE01</v>
      </c>
      <c r="J74" s="12" t="str">
        <f ca="1"/>
        <v>Sydney Sawe</v>
      </c>
      <c r="K74" s="29">
        <f ca="1"/>
        <v>46184</v>
      </c>
      <c r="L74" s="29">
        <f ca="1"/>
        <v>46915</v>
      </c>
      <c r="M74" s="12">
        <f ca="1"/>
        <v>629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MONG01</v>
      </c>
      <c r="J75" s="12" t="str">
        <f ca="1"/>
        <v>Thadeus Mong’are</v>
      </c>
      <c r="K75" s="29">
        <f ca="1"/>
        <v>46184</v>
      </c>
      <c r="L75" s="29">
        <f ca="1"/>
        <v>46915</v>
      </c>
      <c r="M75" s="12">
        <f ca="1"/>
        <v>629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WAMB01</v>
      </c>
      <c r="J76" s="12" t="str">
        <f ca="1"/>
        <v>Thomas Wambunya</v>
      </c>
      <c r="K76" s="29">
        <f ca="1"/>
        <v>46184</v>
      </c>
      <c r="L76" s="29">
        <f ca="1"/>
        <v>46915</v>
      </c>
      <c r="M76" s="12">
        <f ca="1"/>
        <v>629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SHUN01</v>
      </c>
      <c r="J77" s="12" t="str">
        <f ca="1"/>
        <v>Titus Shunza</v>
      </c>
      <c r="K77" s="29">
        <f ca="1"/>
        <v>46184</v>
      </c>
      <c r="L77" s="29">
        <f ca="1"/>
        <v>46915</v>
      </c>
      <c r="M77" s="12">
        <f ca="1"/>
        <v>629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AVED01</v>
      </c>
      <c r="J78" s="12" t="str">
        <f ca="1"/>
        <v>Alex Avedi</v>
      </c>
      <c r="K78" s="29">
        <f ca="1"/>
        <v>46234</v>
      </c>
      <c r="L78" s="29">
        <f ca="1"/>
        <v>46965</v>
      </c>
      <c r="M78" s="12">
        <f ca="1"/>
        <v>679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/>
      <c r="J79" s="12"/>
      <c r="K79" s="29"/>
      <c r="L79" s="29"/>
      <c r="M79" s="12"/>
      <c r="N79" s="12"/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24"/>
  <sheetViews>
    <sheetView tabSelected="1" zoomScaleNormal="100" workbookViewId="0">
      <selection activeCell="L12" sqref="L12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81</v>
      </c>
      <c r="C5" s="15" t="str" cm="1">
        <f t="array" ref="C5">IFERROR(_xlfn.XLOOKUP(B5, tblPeople[PersonID], tblPeople[PersonName], ""), "")</f>
        <v>Gideon Mwasio</v>
      </c>
      <c r="D5" s="15" t="s">
        <v>124</v>
      </c>
      <c r="E5" s="16" t="str">
        <f>IFERROR(_xlfn.XLOOKUP(D5, tblCourses[CourseID], tblCourses[CourseName], ""), "")</f>
        <v>Aviation Security (Initial)</v>
      </c>
      <c r="F5" s="17">
        <v>45716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" spans="1:9" x14ac:dyDescent="0.25">
      <c r="A6" s="15">
        <f t="shared" si="0"/>
        <v>5</v>
      </c>
      <c r="B6" s="15" t="s">
        <v>153</v>
      </c>
      <c r="C6" s="15" t="str" cm="1">
        <f t="array" ref="C6">IFERROR(_xlfn.XLOOKUP(B6, tblPeople[PersonID], tblPeople[PersonName], ""), "")</f>
        <v>Judith Wandera</v>
      </c>
      <c r="D6" s="15" t="s">
        <v>126</v>
      </c>
      <c r="E6" s="16" t="str">
        <f>IFERROR(_xlfn.XLOOKUP(D6, tblCourses[CourseID], tblCourses[CourseName], ""), "")</f>
        <v>Maintenance Indoctrination</v>
      </c>
      <c r="F6" s="17">
        <v>45146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88</v>
      </c>
      <c r="C7" s="15" t="str" cm="1">
        <f t="array" ref="C7">IFERROR(_xlfn.XLOOKUP(B7, tblPeople[PersonID], tblPeople[PersonName], ""), "")</f>
        <v>Michael Njihia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44690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84</v>
      </c>
      <c r="C8" s="15" t="str" cm="1">
        <f t="array" ref="C8">IFERROR(_xlfn.XLOOKUP(B8, tblPeople[PersonID], tblPeople[PersonName], ""), "")</f>
        <v>Patrick Musau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44505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83</v>
      </c>
      <c r="C9" s="15" t="str" cm="1">
        <f t="array" ref="C9">IFERROR(_xlfn.XLOOKUP(B9, tblPeople[PersonID], tblPeople[PersonName], ""), "")</f>
        <v>Wycliffe Kanana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43600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120</v>
      </c>
      <c r="C10" s="15" t="str" cm="1">
        <f t="array" ref="C10">IFERROR(_xlfn.XLOOKUP(B10, tblPeople[PersonID], tblPeople[PersonName], ""), "")</f>
        <v>Churchill Bil</v>
      </c>
      <c r="D10" s="15" t="s">
        <v>24</v>
      </c>
      <c r="E10" s="16" t="str">
        <f>IFERROR(_xlfn.XLOOKUP(D10, tblCourses[CourseID], tblCourses[CourseName], ""), "")</f>
        <v>Human Factors in Aviation (Initial)</v>
      </c>
      <c r="F10" s="18">
        <v>45684</v>
      </c>
      <c r="G10" s="17" t="str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" s="15" t="str">
        <f ca="1">IF(OR(tblTraining[[#This Row],[Status]]="Renewed",tblTraining[[#This Row],[NextDueDate]]=""),"",tblTraining[[#This Row],[NextDueDate]]-TODAY())</f>
        <v/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" spans="1:9" x14ac:dyDescent="0.25">
      <c r="A11" s="15">
        <f t="shared" si="0"/>
        <v>10</v>
      </c>
      <c r="B11" s="15" t="s">
        <v>104</v>
      </c>
      <c r="C11" s="15" t="str" cm="1">
        <f t="array" ref="C11">IFERROR(_xlfn.XLOOKUP(B11, tblPeople[PersonID], tblPeople[PersonName], ""), "")</f>
        <v>Douglas Hurgins</v>
      </c>
      <c r="D11" s="15" t="s">
        <v>175</v>
      </c>
      <c r="E11" s="16" t="str">
        <f>IFERROR(_xlfn.XLOOKUP(D11, tblCourses[CourseID], tblCourses[CourseName], ""), "")</f>
        <v>Aircraft Maintenance Engineers' Licence</v>
      </c>
      <c r="F11" s="17">
        <v>45866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" spans="1:9" x14ac:dyDescent="0.25">
      <c r="A12" s="15">
        <f t="shared" si="0"/>
        <v>11</v>
      </c>
      <c r="B12" s="15" t="s">
        <v>89</v>
      </c>
      <c r="C12" s="15" t="str" cm="1">
        <f t="array" ref="C12">IFERROR(_xlfn.XLOOKUP(B12, tblPeople[PersonID], tblPeople[PersonName], ""), "")</f>
        <v>Elina Guda</v>
      </c>
      <c r="D12" s="15" t="s">
        <v>169</v>
      </c>
      <c r="E12" s="16" t="str">
        <f>IFERROR(_xlfn.XLOOKUP(D12, tblCourses[CourseID], tblCourses[CourseName], ""), "")</f>
        <v>Quality Management Systems</v>
      </c>
      <c r="F12" s="17">
        <v>45541</v>
      </c>
      <c r="G12" s="17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2" s="15">
        <f ca="1">IF(OR(tblTraining[[#This Row],[Status]]="Renewed",tblTraining[[#This Row],[NextDueDate]]=""),"",tblTraining[[#This Row],[NextDueDate]]-TODAY())</f>
        <v>350</v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81</v>
      </c>
      <c r="C13" s="15" t="str" cm="1">
        <f t="array" ref="C13">IFERROR(_xlfn.XLOOKUP(B13, tblPeople[PersonID], tblPeople[PersonName], ""), "")</f>
        <v>Gideon Mwasio</v>
      </c>
      <c r="D13" s="15" t="s">
        <v>125</v>
      </c>
      <c r="E13" s="16" t="str">
        <f>IFERROR(_xlfn.XLOOKUP(D13, tblCourses[CourseID], tblCourses[CourseName], ""), "")</f>
        <v>Aviation Security (Refresher)</v>
      </c>
      <c r="F13" s="17">
        <v>45716</v>
      </c>
      <c r="G13" s="17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" s="15">
        <f ca="1">IF(OR(tblTraining[[#This Row],[Status]]="Renewed",tblTraining[[#This Row],[NextDueDate]]=""),"",tblTraining[[#This Row],[NextDueDate]]-TODAY())</f>
        <v>160</v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" spans="1:9" x14ac:dyDescent="0.25">
      <c r="A14" s="15">
        <f t="shared" si="0"/>
        <v>13</v>
      </c>
      <c r="B14" s="15" t="s">
        <v>153</v>
      </c>
      <c r="C14" s="15" t="str" cm="1">
        <f t="array" ref="C14">IFERROR(_xlfn.XLOOKUP(B14, tblPeople[PersonID], tblPeople[PersonName], ""), "")</f>
        <v>Judith Wandera</v>
      </c>
      <c r="D14" s="15" t="s">
        <v>172</v>
      </c>
      <c r="E14" s="16" t="str">
        <f>IFERROR(_xlfn.XLOOKUP(D14, tblCourses[CourseID], tblCourses[CourseName], ""), "")</f>
        <v>Aviation Technical Records &amp; Stores Management (TRS)</v>
      </c>
      <c r="F14" s="17">
        <v>45737</v>
      </c>
      <c r="G14" s="17" t="str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" s="15" t="str">
        <f ca="1">IF(OR(tblTraining[[#This Row],[Status]]="Renewed",tblTraining[[#This Row],[NextDueDate]]=""),"",tblTraining[[#This Row],[NextDueDate]]-TODAY())</f>
        <v/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88</v>
      </c>
      <c r="C15" s="15" t="str" cm="1">
        <f t="array" ref="C15">IFERROR(_xlfn.XLOOKUP(B15, tblPeople[PersonID], tblPeople[PersonName], ""), "")</f>
        <v>Michael Njihia</v>
      </c>
      <c r="D15" s="15" t="s">
        <v>17</v>
      </c>
      <c r="E15" s="16" t="str">
        <f>IFERROR(_xlfn.XLOOKUP(D15, tblCourses[CourseID], tblCourses[CourseName], ""), "")</f>
        <v>Safety Management Systems (Refresher)</v>
      </c>
      <c r="F15" s="17">
        <v>45590</v>
      </c>
      <c r="G15" s="17" t="str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" s="15" t="str">
        <f ca="1">IF(OR(tblTraining[[#This Row],[Status]]="Renewed",tblTraining[[#This Row],[NextDueDate]]=""),"",tblTraining[[#This Row],[NextDueDate]]-TODAY())</f>
        <v/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" spans="1:9" x14ac:dyDescent="0.25">
      <c r="A16" s="15">
        <f t="shared" si="0"/>
        <v>15</v>
      </c>
      <c r="B16" s="15" t="s">
        <v>84</v>
      </c>
      <c r="C16" s="15" t="str" cm="1">
        <f t="array" ref="C16">IFERROR(_xlfn.XLOOKUP(B16, tblPeople[PersonID], tblPeople[PersonName], ""), "")</f>
        <v>Patrick Musau</v>
      </c>
      <c r="D16" s="15" t="s">
        <v>17</v>
      </c>
      <c r="E16" s="16" t="str">
        <f>IFERROR(_xlfn.XLOOKUP(D16, tblCourses[CourseID], tblCourses[CourseName], ""), "")</f>
        <v>Safety Management Systems (Refresher)</v>
      </c>
      <c r="F16" s="17">
        <v>45343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" spans="1:9" x14ac:dyDescent="0.25">
      <c r="A17" s="15">
        <f t="shared" si="0"/>
        <v>16</v>
      </c>
      <c r="B17" s="15" t="s">
        <v>83</v>
      </c>
      <c r="C17" s="15" t="str" cm="1">
        <f t="array" ref="C17">IFERROR(_xlfn.XLOOKUP(B17, tblPeople[PersonID], tblPeople[PersonName], ""), "")</f>
        <v>Wycliffe Kanana</v>
      </c>
      <c r="D17" s="15" t="s">
        <v>124</v>
      </c>
      <c r="E17" s="16" t="str">
        <f>IFERROR(_xlfn.XLOOKUP(D17, tblCourses[CourseID], tblCourses[CourseName], ""), "")</f>
        <v>Aviation Security (Initial)</v>
      </c>
      <c r="F17" s="17">
        <v>44123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" spans="1:9" x14ac:dyDescent="0.25">
      <c r="A18" s="15">
        <f t="shared" si="0"/>
        <v>17</v>
      </c>
      <c r="B18" s="15" t="s">
        <v>120</v>
      </c>
      <c r="C18" s="15" t="str" cm="1">
        <f t="array" ref="C18">IFERROR(_xlfn.XLOOKUP(B18, tblPeople[PersonID], tblPeople[PersonName], ""), "")</f>
        <v>Churchill Bil</v>
      </c>
      <c r="D18" s="15" t="s">
        <v>22</v>
      </c>
      <c r="E18" s="16" t="str">
        <f>IFERROR(_xlfn.XLOOKUP(D18, tblCourses[CourseID], tblCourses[CourseName], ""), "")</f>
        <v>Human Factors in Aviation (Refresher)</v>
      </c>
      <c r="F18" s="17">
        <v>45684</v>
      </c>
      <c r="G18" s="17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18" s="15">
        <f ca="1">IF(OR(tblTraining[[#This Row],[Status]]="Renewed",tblTraining[[#This Row],[NextDueDate]]=""),"",tblTraining[[#This Row],[NextDueDate]]-TODAY())</f>
        <v>128</v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" spans="1:9" x14ac:dyDescent="0.25">
      <c r="A19" s="15">
        <f t="shared" si="0"/>
        <v>18</v>
      </c>
      <c r="B19" s="15" t="s">
        <v>104</v>
      </c>
      <c r="C19" s="15" t="str" cm="1">
        <f t="array" ref="C19">IFERROR(_xlfn.XLOOKUP(B19, tblPeople[PersonID], tblPeople[PersonName], ""), "")</f>
        <v>Douglas Hurgins</v>
      </c>
      <c r="D19" s="15" t="s">
        <v>77</v>
      </c>
      <c r="E19" s="16" t="str">
        <f>IFERROR(_xlfn.XLOOKUP(D19, tblCourses[CourseID], tblCourses[CourseName], ""), "")</f>
        <v>DHC8 -100/-200/-300 Collins Wheels &amp; Brakes Familiarization Training (Refresher)</v>
      </c>
      <c r="F19" s="17">
        <v>45637</v>
      </c>
      <c r="G19" s="17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" s="15">
        <f ca="1">IF(OR(tblTraining[[#This Row],[Status]]="Renewed",tblTraining[[#This Row],[NextDueDate]]=""),"",tblTraining[[#This Row],[NextDueDate]]-TODAY())</f>
        <v>81</v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89</v>
      </c>
      <c r="C20" s="15" t="str" cm="1">
        <f t="array" ref="C20">IFERROR(_xlfn.XLOOKUP(B20, tblPeople[PersonID], tblPeople[PersonName], ""), "")</f>
        <v>Elina Guda</v>
      </c>
      <c r="D20" s="15" t="s">
        <v>30</v>
      </c>
      <c r="E20" s="16" t="str">
        <f>IFERROR(_xlfn.XLOOKUP(D20, tblCourses[CourseID], tblCourses[CourseName], ""), "")</f>
        <v>Dangerous Goods Regulations (CBTA 7.3) (Refresher)</v>
      </c>
      <c r="F20" s="17">
        <v>45726</v>
      </c>
      <c r="G20" s="17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0" s="15">
        <f ca="1">IF(OR(tblTraining[[#This Row],[Status]]="Renewed",tblTraining[[#This Row],[NextDueDate]]=""),"",tblTraining[[#This Row],[NextDueDate]]-TODAY())</f>
        <v>170</v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81</v>
      </c>
      <c r="C21" s="15" t="str" cm="1">
        <f t="array" ref="C21">IFERROR(_xlfn.XLOOKUP(B21, tblPeople[PersonID], tblPeople[PersonName], ""), "")</f>
        <v>Gideon Mwasio</v>
      </c>
      <c r="D21" s="15" t="s">
        <v>20</v>
      </c>
      <c r="E21" s="16" t="str">
        <f>IFERROR(_xlfn.XLOOKUP(D21, tblCourses[CourseID], tblCourses[CourseName], ""), "")</f>
        <v>Safety Management Systems (Initial)</v>
      </c>
      <c r="F21" s="17">
        <v>45379</v>
      </c>
      <c r="G21" s="17" t="str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" s="15" t="str">
        <f ca="1">IF(OR(tblTraining[[#This Row],[Status]]="Renewed",tblTraining[[#This Row],[NextDueDate]]=""),"",tblTraining[[#This Row],[NextDueDate]]-TODAY())</f>
        <v/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153</v>
      </c>
      <c r="C22" s="15" t="str" cm="1">
        <f t="array" ref="C22">IFERROR(_xlfn.XLOOKUP(B22, tblPeople[PersonID], tblPeople[PersonName], ""), "")</f>
        <v>Judith Wandera</v>
      </c>
      <c r="D22" s="15" t="s">
        <v>20</v>
      </c>
      <c r="E22" s="16" t="str">
        <f>IFERROR(_xlfn.XLOOKUP(D22, tblCourses[CourseID], tblCourses[CourseName], ""), "")</f>
        <v>Safety Management Systems (Initial)</v>
      </c>
      <c r="F22" s="17">
        <v>45379</v>
      </c>
      <c r="G22" s="17" t="str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" s="15" t="str">
        <f ca="1">IF(OR(tblTraining[[#This Row],[Status]]="Renewed",tblTraining[[#This Row],[NextDueDate]]=""),"",tblTraining[[#This Row],[NextDueDate]]-TODAY())</f>
        <v/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88</v>
      </c>
      <c r="C23" s="15" t="str" cm="1">
        <f t="array" ref="C23">IFERROR(_xlfn.XLOOKUP(B23, tblPeople[PersonID], tblPeople[PersonName], ""), "")</f>
        <v>Michael Njihia</v>
      </c>
      <c r="D23" s="15" t="s">
        <v>20</v>
      </c>
      <c r="E23" s="16" t="str">
        <f>IFERROR(_xlfn.XLOOKUP(D23, tblCourses[CourseID], tblCourses[CourseName], ""), "")</f>
        <v>Safety Management Systems (Initial)</v>
      </c>
      <c r="F23" s="17">
        <v>44853</v>
      </c>
      <c r="G23" s="17" t="str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" s="15" t="str">
        <f ca="1">IF(OR(tblTraining[[#This Row],[Status]]="Renewed",tblTraining[[#This Row],[NextDueDate]]=""),"",tblTraining[[#This Row],[NextDueDate]]-TODAY())</f>
        <v/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84</v>
      </c>
      <c r="C24" s="15" t="str" cm="1">
        <f t="array" ref="C24">IFERROR(_xlfn.XLOOKUP(B24, tblPeople[PersonID], tblPeople[PersonName], ""), "")</f>
        <v>Patrick Musau</v>
      </c>
      <c r="D24" s="15" t="s">
        <v>20</v>
      </c>
      <c r="E24" s="16" t="str">
        <f>IFERROR(_xlfn.XLOOKUP(D24, tblCourses[CourseID], tblCourses[CourseName], ""), "")</f>
        <v>Safety Management Systems (Initial)</v>
      </c>
      <c r="F24" s="17">
        <v>44512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83</v>
      </c>
      <c r="C25" s="15" t="str" cm="1">
        <f t="array" ref="C25">IFERROR(_xlfn.XLOOKUP(B25, tblPeople[PersonID], tblPeople[PersonName], ""), "")</f>
        <v>Wycliffe Kanana</v>
      </c>
      <c r="D25" s="15" t="s">
        <v>125</v>
      </c>
      <c r="E25" s="16" t="str">
        <f>IFERROR(_xlfn.XLOOKUP(D25, tblCourses[CourseID], tblCourses[CourseName], ""), "")</f>
        <v>Aviation Security (Refresher)</v>
      </c>
      <c r="F25" s="17">
        <v>45730</v>
      </c>
      <c r="G25" s="17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5" s="15">
        <f ca="1">IF(OR(tblTraining[[#This Row],[Status]]="Renewed",tblTraining[[#This Row],[NextDueDate]]=""),"",tblTraining[[#This Row],[NextDueDate]]-TODAY())</f>
        <v>174</v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120</v>
      </c>
      <c r="C26" s="15" t="str" cm="1">
        <f t="array" ref="C26">IFERROR(_xlfn.XLOOKUP(B26, tblPeople[PersonID], tblPeople[PersonName], ""), "")</f>
        <v>Churchill Bil</v>
      </c>
      <c r="D26" s="15" t="s">
        <v>17</v>
      </c>
      <c r="E26" s="16" t="str">
        <f>IFERROR(_xlfn.XLOOKUP(D26, tblCourses[CourseID], tblCourses[CourseName], ""), "")</f>
        <v>Safety Management Systems (Refresher)</v>
      </c>
      <c r="F26" s="17">
        <v>45742</v>
      </c>
      <c r="G26" s="17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26" s="15">
        <f ca="1">IF(OR(tblTraining[[#This Row],[Status]]="Renewed",tblTraining[[#This Row],[NextDueDate]]=""),"",tblTraining[[#This Row],[NextDueDate]]-TODAY())</f>
        <v>186</v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104</v>
      </c>
      <c r="C27" s="15" t="str" cm="1">
        <f t="array" ref="C27">IFERROR(_xlfn.XLOOKUP(B27, tblPeople[PersonID], tblPeople[PersonName], ""), "")</f>
        <v>Douglas Hurgins</v>
      </c>
      <c r="D27" s="15" t="s">
        <v>75</v>
      </c>
      <c r="E27" s="16" t="str">
        <f>IFERROR(_xlfn.XLOOKUP(D27, tblCourses[CourseID], tblCourses[CourseName], ""), "")</f>
        <v>Fuel Tank Safety Phase 1 &amp; 2 Course (Refresher)</v>
      </c>
      <c r="F27" s="17">
        <v>45405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" spans="1:9" x14ac:dyDescent="0.25">
      <c r="A28" s="15">
        <f t="shared" si="0"/>
        <v>27</v>
      </c>
      <c r="B28" s="15" t="s">
        <v>89</v>
      </c>
      <c r="C28" s="15" t="str" cm="1">
        <f t="array" ref="C28">IFERROR(_xlfn.XLOOKUP(B28, tblPeople[PersonID], tblPeople[PersonName], ""), "")</f>
        <v>Elina Guda</v>
      </c>
      <c r="D28" s="15" t="s">
        <v>32</v>
      </c>
      <c r="E28" s="16" t="str">
        <f>IFERROR(_xlfn.XLOOKUP(D28, tblCourses[CourseID], tblCourses[CourseName], ""), "")</f>
        <v>Dangerous Goods Regulations (CBTA 7.3) (Initial)</v>
      </c>
      <c r="F28" s="17">
        <v>45008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81</v>
      </c>
      <c r="C29" s="15" t="str" cm="1">
        <f t="array" ref="C29">IFERROR(_xlfn.XLOOKUP(B29, tblPeople[PersonID], tblPeople[PersonName], ""), "")</f>
        <v>Gideon Mwasio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45379</v>
      </c>
      <c r="G29" s="17" t="str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" s="15" t="str">
        <f ca="1">IF(OR(tblTraining[[#This Row],[Status]]="Renewed",tblTraining[[#This Row],[NextDueDate]]=""),"",tblTraining[[#This Row],[NextDueDate]]-TODAY())</f>
        <v/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" spans="1:9" x14ac:dyDescent="0.25">
      <c r="A30" s="15">
        <f t="shared" si="0"/>
        <v>29</v>
      </c>
      <c r="B30" s="15" t="s">
        <v>153</v>
      </c>
      <c r="C30" s="15" t="str" cm="1">
        <f t="array" ref="C30">IFERROR(_xlfn.XLOOKUP(B30, tblPeople[PersonID], tblPeople[PersonName], ""), "")</f>
        <v>Judith Wandera</v>
      </c>
      <c r="D30" s="15" t="s">
        <v>17</v>
      </c>
      <c r="E30" s="16" t="str">
        <f>IFERROR(_xlfn.XLOOKUP(D30, tblCourses[CourseID], tblCourses[CourseName], ""), "")</f>
        <v>Safety Management Systems (Refresher)</v>
      </c>
      <c r="F30" s="17">
        <v>45379</v>
      </c>
      <c r="G30" s="17" t="str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" s="15" t="str">
        <f ca="1">IF(OR(tblTraining[[#This Row],[Status]]="Renewed",tblTraining[[#This Row],[NextDueDate]]=""),"",tblTraining[[#This Row],[NextDueDate]]-TODAY())</f>
        <v/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" spans="1:9" x14ac:dyDescent="0.25">
      <c r="A31" s="15">
        <f t="shared" si="0"/>
        <v>30</v>
      </c>
      <c r="B31" s="15" t="s">
        <v>88</v>
      </c>
      <c r="C31" s="15" t="str" cm="1">
        <f t="array" ref="C31">IFERROR(_xlfn.XLOOKUP(B31, tblPeople[PersonID], tblPeople[PersonName], ""), "")</f>
        <v>Michael Njihia</v>
      </c>
      <c r="D31" s="15" t="s">
        <v>22</v>
      </c>
      <c r="E31" s="16" t="str">
        <f>IFERROR(_xlfn.XLOOKUP(D31, tblCourses[CourseID], tblCourses[CourseName], ""), "")</f>
        <v>Human Factors in Aviation (Refresher)</v>
      </c>
      <c r="F31" s="17">
        <v>45895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1" s="15">
        <f ca="1">IF(OR(tblTraining[[#This Row],[Status]]="Renewed",tblTraining[[#This Row],[NextDueDate]]=""),"",tblTraining[[#This Row],[NextDueDate]]-TODAY())</f>
        <v>339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84</v>
      </c>
      <c r="C32" s="15" t="str" cm="1">
        <f t="array" ref="C32">IFERROR(_xlfn.XLOOKUP(B32, tblPeople[PersonID], tblPeople[PersonName], ""), "")</f>
        <v>Patrick Musau</v>
      </c>
      <c r="D32" s="15" t="s">
        <v>24</v>
      </c>
      <c r="E32" s="16" t="str">
        <f>IFERROR(_xlfn.XLOOKUP(D32, tblCourses[CourseID], tblCourses[CourseName], ""), "")</f>
        <v>Human Factors in Aviation (Initial)</v>
      </c>
      <c r="F32" s="17">
        <v>44633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" spans="1:9" x14ac:dyDescent="0.25">
      <c r="A33" s="15">
        <f t="shared" si="0"/>
        <v>32</v>
      </c>
      <c r="B33" s="15" t="s">
        <v>156</v>
      </c>
      <c r="C33" s="15" t="str" cm="1">
        <f t="array" ref="C33">IFERROR(_xlfn.XLOOKUP(B33, tblPeople[PersonID], tblPeople[PersonName], ""), "")</f>
        <v>Stephen Mutambu</v>
      </c>
      <c r="D33" s="15" t="s">
        <v>126</v>
      </c>
      <c r="E33" s="16" t="str">
        <f>IFERROR(_xlfn.XLOOKUP(D33, tblCourses[CourseID], tblCourses[CourseName], ""), "")</f>
        <v>Maintenance Indoctrination</v>
      </c>
      <c r="F33" s="17">
        <v>43895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83</v>
      </c>
      <c r="C34" s="15" t="str" cm="1">
        <f t="array" ref="C34">IFERROR(_xlfn.XLOOKUP(B34, tblPeople[PersonID], tblPeople[PersonName], ""), "")</f>
        <v>Wycliffe Kanana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45343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0"/>
        <v>34</v>
      </c>
      <c r="B35" s="15" t="s">
        <v>104</v>
      </c>
      <c r="C35" s="15" t="str" cm="1">
        <f t="array" ref="C35">IFERROR(_xlfn.XLOOKUP(B35, tblPeople[PersonID], tblPeople[PersonName], ""), "")</f>
        <v>Douglas Hurgins</v>
      </c>
      <c r="D35" s="15" t="s">
        <v>28</v>
      </c>
      <c r="E35" s="16" t="str">
        <f>IFERROR(_xlfn.XLOOKUP(D35, tblCourses[CourseID], tblCourses[CourseName], ""), "")</f>
        <v>DHC-8 100/200/300 with PWC 120/120A/121/123B/C/D/E Series Engines(Refresher)</v>
      </c>
      <c r="F35" s="17">
        <v>45373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89</v>
      </c>
      <c r="C36" s="15" t="str" cm="1">
        <f t="array" ref="C36">IFERROR(_xlfn.XLOOKUP(B36, tblPeople[PersonID], tblPeople[PersonName], ""), "")</f>
        <v>Elina Guda</v>
      </c>
      <c r="D36" s="15" t="s">
        <v>22</v>
      </c>
      <c r="E36" s="16" t="str">
        <f>IFERROR(_xlfn.XLOOKUP(D36, tblCourses[CourseID], tblCourses[CourseName], ""), "")</f>
        <v>Human Factors in Aviation (Refresher)</v>
      </c>
      <c r="F36" s="17">
        <v>45703</v>
      </c>
      <c r="G36" s="17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36" s="15">
        <f ca="1">IF(OR(tblTraining[[#This Row],[Status]]="Renewed",tblTraining[[#This Row],[NextDueDate]]=""),"",tblTraining[[#This Row],[NextDueDate]]-TODAY())</f>
        <v>147</v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" spans="1:9" x14ac:dyDescent="0.25">
      <c r="A37" s="15">
        <f t="shared" si="0"/>
        <v>36</v>
      </c>
      <c r="B37" s="15" t="s">
        <v>81</v>
      </c>
      <c r="C37" s="15" t="str" cm="1">
        <f t="array" ref="C37">IFERROR(_xlfn.XLOOKUP(B37, tblPeople[PersonID], tblPeople[PersonName], ""), "")</f>
        <v>Gideon Mwasio</v>
      </c>
      <c r="D37" s="15" t="s">
        <v>132</v>
      </c>
      <c r="E37" s="16" t="str">
        <f>IFERROR(_xlfn.XLOOKUP(D37, tblCourses[CourseID], tblCourses[CourseName], ""), "")</f>
        <v>Marshalling Techniques Course</v>
      </c>
      <c r="F37" s="17">
        <v>45469</v>
      </c>
      <c r="G37" s="17" t="str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" s="15" t="str">
        <f ca="1">IF(OR(tblTraining[[#This Row],[Status]]="Renewed",tblTraining[[#This Row],[NextDueDate]]=""),"",tblTraining[[#This Row],[NextDueDate]]-TODAY())</f>
        <v/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153</v>
      </c>
      <c r="C38" s="15" t="str" cm="1">
        <f t="array" ref="C38">IFERROR(_xlfn.XLOOKUP(B38, tblPeople[PersonID], tblPeople[PersonName], ""), "")</f>
        <v>Judith Wandera</v>
      </c>
      <c r="D38" s="15" t="s">
        <v>32</v>
      </c>
      <c r="E38" s="16" t="str">
        <f>IFERROR(_xlfn.XLOOKUP(D38, tblCourses[CourseID], tblCourses[CourseName], ""), "")</f>
        <v>Dangerous Goods Regulations (CBTA 7.3) (Initial)</v>
      </c>
      <c r="F38" s="17">
        <v>45427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84</v>
      </c>
      <c r="C39" s="15" t="str" cm="1">
        <f t="array" ref="C39">IFERROR(_xlfn.XLOOKUP(B39, tblPeople[PersonID], tblPeople[PersonName], ""), "")</f>
        <v>Patrick Musau</v>
      </c>
      <c r="D39" s="15" t="s">
        <v>22</v>
      </c>
      <c r="E39" s="16" t="str">
        <f>IFERROR(_xlfn.XLOOKUP(D39, tblCourses[CourseID], tblCourses[CourseName], ""), "")</f>
        <v>Human Factors in Aviation (Refresher)</v>
      </c>
      <c r="F39" s="17">
        <v>44633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" spans="1:9" x14ac:dyDescent="0.25">
      <c r="A40" s="15">
        <f t="shared" si="0"/>
        <v>39</v>
      </c>
      <c r="B40" s="15" t="s">
        <v>156</v>
      </c>
      <c r="C40" s="15" t="str" cm="1">
        <f t="array" ref="C40">IFERROR(_xlfn.XLOOKUP(B40, tblPeople[PersonID], tblPeople[PersonName], ""), "")</f>
        <v>Stephen Mutambu</v>
      </c>
      <c r="D40" s="15" t="s">
        <v>168</v>
      </c>
      <c r="E40" s="16" t="str">
        <f>IFERROR(_xlfn.XLOOKUP(D40, tblCourses[CourseID], tblCourses[CourseName], ""), "")</f>
        <v>PR328: QMS ISO 9001:2015 (Lead Auditor Training)</v>
      </c>
      <c r="F40" s="17">
        <v>45792</v>
      </c>
      <c r="G40" s="17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0" s="15">
        <f ca="1">IF(OR(tblTraining[[#This Row],[Status]]="Renewed",tblTraining[[#This Row],[NextDueDate]]=""),"",tblTraining[[#This Row],[NextDueDate]]-TODAY())</f>
        <v>1332</v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" spans="1:9" x14ac:dyDescent="0.25">
      <c r="A41" s="15">
        <f t="shared" si="0"/>
        <v>40</v>
      </c>
      <c r="B41" s="15" t="s">
        <v>83</v>
      </c>
      <c r="C41" s="15" t="str" cm="1">
        <f t="array" ref="C41">IFERROR(_xlfn.XLOOKUP(B41, tblPeople[PersonID], tblPeople[PersonName], ""), "")</f>
        <v>Wycliffe Kanana</v>
      </c>
      <c r="D41" s="15" t="s">
        <v>22</v>
      </c>
      <c r="E41" s="16" t="str">
        <f>IFERROR(_xlfn.XLOOKUP(D41, tblCourses[CourseID], tblCourses[CourseName], ""), "")</f>
        <v>Human Factors in Aviation (Refresher)</v>
      </c>
      <c r="F41" s="17">
        <v>45111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104</v>
      </c>
      <c r="C42" s="15" t="str" cm="1">
        <f t="array" ref="C42">IFERROR(_xlfn.XLOOKUP(B42, tblPeople[PersonID], tblPeople[PersonName], ""), "")</f>
        <v>Douglas Hurgins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45119</v>
      </c>
      <c r="G42" s="17" t="str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" s="15" t="str">
        <f ca="1">IF(OR(tblTraining[[#This Row],[Status]]="Renewed",tblTraining[[#This Row],[NextDueDate]]=""),"",tblTraining[[#This Row],[NextDueDate]]-TODAY())</f>
        <v/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" spans="1:9" x14ac:dyDescent="0.25">
      <c r="A43" s="15">
        <f t="shared" si="0"/>
        <v>42</v>
      </c>
      <c r="B43" s="15" t="s">
        <v>89</v>
      </c>
      <c r="C43" s="15" t="str" cm="1">
        <f t="array" ref="C43">IFERROR(_xlfn.XLOOKUP(B43, tblPeople[PersonID], tblPeople[PersonName], ""), "")</f>
        <v>Elina Guda</v>
      </c>
      <c r="D43" s="15" t="s">
        <v>33</v>
      </c>
      <c r="E43" s="16" t="str">
        <f>IFERROR(_xlfn.XLOOKUP(D43, tblCourses[CourseID], tblCourses[CourseName], ""), "")</f>
        <v>Audit Techniques</v>
      </c>
      <c r="F43" s="17">
        <v>45756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81</v>
      </c>
      <c r="C44" s="15" t="str" cm="1">
        <f t="array" ref="C44">IFERROR(_xlfn.XLOOKUP(B44, tblPeople[PersonID], tblPeople[PersonName], ""), "")</f>
        <v>Gideon Mwasio</v>
      </c>
      <c r="D44" s="15" t="s">
        <v>126</v>
      </c>
      <c r="E44" s="16" t="str">
        <f>IFERROR(_xlfn.XLOOKUP(D44, tblCourses[CourseID], tblCourses[CourseName], ""), "")</f>
        <v>Maintenance Indoctrination</v>
      </c>
      <c r="F44" s="17">
        <v>45146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153</v>
      </c>
      <c r="C45" s="15" t="str" cm="1">
        <f t="array" ref="C45">IFERROR(_xlfn.XLOOKUP(B45, tblPeople[PersonID], tblPeople[PersonName], ""), "")</f>
        <v>Judith Wandera</v>
      </c>
      <c r="D45" s="15" t="s">
        <v>30</v>
      </c>
      <c r="E45" s="16" t="str">
        <f>IFERROR(_xlfn.XLOOKUP(D45, tblCourses[CourseID], tblCourses[CourseName], ""), "")</f>
        <v>Dangerous Goods Regulations (CBTA 7.3) (Refresher)</v>
      </c>
      <c r="F45" s="17">
        <v>45427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84</v>
      </c>
      <c r="C46" s="15" t="str" cm="1">
        <f t="array" ref="C46">IFERROR(_xlfn.XLOOKUP(B46, tblPeople[PersonID], tblPeople[PersonName], ""), "")</f>
        <v>Patrick Musau</v>
      </c>
      <c r="D46" s="15" t="s">
        <v>22</v>
      </c>
      <c r="E46" s="16" t="str">
        <f>IFERROR(_xlfn.XLOOKUP(D46, tblCourses[CourseID], tblCourses[CourseName], ""), "")</f>
        <v>Human Factors in Aviation (Refresher)</v>
      </c>
      <c r="F46" s="17">
        <v>45337</v>
      </c>
      <c r="G46" s="17" t="str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" s="15" t="str">
        <f ca="1">IF(OR(tblTraining[[#This Row],[Status]]="Renewed",tblTraining[[#This Row],[NextDueDate]]=""),"",tblTraining[[#This Row],[NextDueDate]]-TODAY())</f>
        <v/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" spans="1:9" x14ac:dyDescent="0.25">
      <c r="A47" s="15">
        <f t="shared" si="0"/>
        <v>46</v>
      </c>
      <c r="B47" s="15" t="s">
        <v>156</v>
      </c>
      <c r="C47" s="15" t="str" cm="1">
        <f t="array" ref="C47">IFERROR(_xlfn.XLOOKUP(B47, tblPeople[PersonID], tblPeople[PersonName], ""), "")</f>
        <v>Stephen Mutambu</v>
      </c>
      <c r="D47" s="15" t="s">
        <v>167</v>
      </c>
      <c r="E47" s="16" t="str">
        <f>IFERROR(_xlfn.XLOOKUP(D47, tblCourses[CourseID], tblCourses[CourseName], ""), "")</f>
        <v>Safety Management Systems (For Managers)</v>
      </c>
      <c r="F47" s="17">
        <v>45751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" spans="1:9" x14ac:dyDescent="0.25">
      <c r="A48" s="15">
        <f t="shared" si="0"/>
        <v>47</v>
      </c>
      <c r="B48" s="15" t="s">
        <v>83</v>
      </c>
      <c r="C48" s="15" t="str" cm="1">
        <f t="array" ref="C48">IFERROR(_xlfn.XLOOKUP(B48, tblPeople[PersonID], tblPeople[PersonName], ""), "")</f>
        <v>Wycliffe Kanana</v>
      </c>
      <c r="D48" s="15" t="s">
        <v>30</v>
      </c>
      <c r="E48" s="16" t="str">
        <f>IFERROR(_xlfn.XLOOKUP(D48, tblCourses[CourseID], tblCourses[CourseName], ""), "")</f>
        <v>Dangerous Goods Regulations (CBTA 7.3) (Refresher)</v>
      </c>
      <c r="F48" s="17">
        <v>44897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104</v>
      </c>
      <c r="C49" s="15" t="str" cm="1">
        <f t="array" ref="C49">IFERROR(_xlfn.XLOOKUP(B49, tblPeople[PersonID], tblPeople[PersonName], ""), "")</f>
        <v>Douglas Hurgins</v>
      </c>
      <c r="D49" s="15" t="s">
        <v>17</v>
      </c>
      <c r="E49" s="16" t="str">
        <f>IFERROR(_xlfn.XLOOKUP(D49, tblCourses[CourseID], tblCourses[CourseName], ""), "")</f>
        <v>Safety Management Systems (Refresher)</v>
      </c>
      <c r="F49" s="17">
        <v>45195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" spans="1:9" x14ac:dyDescent="0.25">
      <c r="A50" s="15">
        <f t="shared" si="0"/>
        <v>49</v>
      </c>
      <c r="B50" s="15" t="s">
        <v>89</v>
      </c>
      <c r="C50" s="15" t="str" cm="1">
        <f t="array" ref="C50">IFERROR(_xlfn.XLOOKUP(B50, tblPeople[PersonID], tblPeople[PersonName], ""), "")</f>
        <v>Elina Guda</v>
      </c>
      <c r="D50" s="15" t="s">
        <v>24</v>
      </c>
      <c r="E50" s="16" t="str">
        <f>IFERROR(_xlfn.XLOOKUP(D50, tblCourses[CourseID], tblCourses[CourseName], ""), "")</f>
        <v>Human Factors in Aviation (Initial)</v>
      </c>
      <c r="F50" s="17">
        <v>44984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29</v>
      </c>
      <c r="E51" s="16" t="str">
        <f>IFERROR(_xlfn.XLOOKUP(D51, tblCourses[CourseID], tblCourses[CourseName], ""), "")</f>
        <v>DHC-8 100/200/300 with PWC 120/120A/121/123B/C/D/E Series Engines(Initial)</v>
      </c>
      <c r="F51" s="17">
        <v>45637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153</v>
      </c>
      <c r="C52" s="15" t="str" cm="1">
        <f t="array" ref="C52">IFERROR(_xlfn.XLOOKUP(B52, tblPeople[PersonID], tblPeople[PersonName], ""), "")</f>
        <v>Judith Wandera</v>
      </c>
      <c r="D52" s="15" t="s">
        <v>124</v>
      </c>
      <c r="E52" s="16" t="str">
        <f>IFERROR(_xlfn.XLOOKUP(D52, tblCourses[CourseID], tblCourses[CourseName], ""), "")</f>
        <v>Aviation Security (Initial)</v>
      </c>
      <c r="F52" s="17">
        <v>45716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17</v>
      </c>
      <c r="E53" s="16" t="str">
        <f>IFERROR(_xlfn.XLOOKUP(D53, tblCourses[CourseID], tblCourses[CourseName], ""), "")</f>
        <v>Safety Management Systems (Refresher)</v>
      </c>
      <c r="F53" s="17">
        <v>45895</v>
      </c>
      <c r="G53" s="17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53" s="15">
        <f ca="1">IF(OR(tblTraining[[#This Row],[Status]]="Renewed",tblTraining[[#This Row],[NextDueDate]]=""),"",tblTraining[[#This Row],[NextDueDate]]-TODAY())</f>
        <v>339</v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" spans="1:9" x14ac:dyDescent="0.25">
      <c r="A54" s="15">
        <f t="shared" si="0"/>
        <v>53</v>
      </c>
      <c r="B54" s="15" t="s">
        <v>156</v>
      </c>
      <c r="C54" s="15" t="str" cm="1">
        <f t="array" ref="C54">IFERROR(_xlfn.XLOOKUP(B54, tblPeople[PersonID], tblPeople[PersonName], ""), "")</f>
        <v>Stephen Mutambu</v>
      </c>
      <c r="D54" s="15" t="s">
        <v>22</v>
      </c>
      <c r="E54" s="16" t="str">
        <f>IFERROR(_xlfn.XLOOKUP(D54, tblCourses[CourseID], tblCourses[CourseName], ""), "")</f>
        <v>Human Factors in Aviation (Refresher)</v>
      </c>
      <c r="F54" s="17">
        <v>45721</v>
      </c>
      <c r="G54" s="17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54" s="15">
        <f ca="1">IF(OR(tblTraining[[#This Row],[Status]]="Renewed",tblTraining[[#This Row],[NextDueDate]]=""),"",tblTraining[[#This Row],[NextDueDate]]-TODAY())</f>
        <v>165</v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17</v>
      </c>
      <c r="E55" s="16" t="str">
        <f>IFERROR(_xlfn.XLOOKUP(D55, tblCourses[CourseID], tblCourses[CourseName], ""), "")</f>
        <v>Safety Management Systems (Refresher)</v>
      </c>
      <c r="F55" s="17">
        <v>44610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45910</v>
      </c>
      <c r="G56" s="17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6" s="15">
        <f ca="1">IF(OR(tblTraining[[#This Row],[Status]]="Renewed",tblTraining[[#This Row],[NextDueDate]]=""),"",tblTraining[[#This Row],[NextDueDate]]-TODAY())</f>
        <v>354</v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17</v>
      </c>
      <c r="E57" s="16" t="str">
        <f>IFERROR(_xlfn.XLOOKUP(D57, tblCourses[CourseID], tblCourses[CourseName], ""), "")</f>
        <v>Safety Management Systems (Refresher)</v>
      </c>
      <c r="F57" s="17">
        <v>45590</v>
      </c>
      <c r="G57" s="17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57" s="15">
        <f ca="1">IF(OR(tblTraining[[#This Row],[Status]]="Renewed",tblTraining[[#This Row],[NextDueDate]]=""),"",tblTraining[[#This Row],[NextDueDate]]-TODAY())</f>
        <v>34</v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8" spans="1:9" x14ac:dyDescent="0.25">
      <c r="A58" s="15">
        <f t="shared" si="0"/>
        <v>57</v>
      </c>
      <c r="B58" s="15" t="s">
        <v>81</v>
      </c>
      <c r="C58" s="15" t="str" cm="1">
        <f t="array" ref="C58">IFERROR(_xlfn.XLOOKUP(B58, tblPeople[PersonID], tblPeople[PersonName], ""), "")</f>
        <v>Gideon Mwasio</v>
      </c>
      <c r="D58" s="15" t="s">
        <v>28</v>
      </c>
      <c r="E58" s="16" t="str">
        <f>IFERROR(_xlfn.XLOOKUP(D58, tblCourses[CourseID], tblCourses[CourseName], ""), "")</f>
        <v>DHC-8 100/200/300 with PWC 120/120A/121/123B/C/D/E Series Engines(Refresher)</v>
      </c>
      <c r="F58" s="17">
        <v>45637</v>
      </c>
      <c r="G58" s="17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" s="15">
        <f ca="1">IF(OR(tblTraining[[#This Row],[Status]]="Renewed",tblTraining[[#This Row],[NextDueDate]]=""),"",tblTraining[[#This Row],[NextDueDate]]-TODAY())</f>
        <v>81</v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" spans="1:9" x14ac:dyDescent="0.25">
      <c r="A59" s="15">
        <f t="shared" si="0"/>
        <v>58</v>
      </c>
      <c r="B59" s="15" t="s">
        <v>153</v>
      </c>
      <c r="C59" s="15" t="str" cm="1">
        <f t="array" ref="C59">IFERROR(_xlfn.XLOOKUP(B59, tblPeople[PersonID], tblPeople[PersonName], ""), "")</f>
        <v>Judith Wandera</v>
      </c>
      <c r="D59" s="15" t="s">
        <v>125</v>
      </c>
      <c r="E59" s="16" t="str">
        <f>IFERROR(_xlfn.XLOOKUP(D59, tblCourses[CourseID], tblCourses[CourseName], ""), "")</f>
        <v>Aviation Security (Refresher)</v>
      </c>
      <c r="F59" s="17">
        <v>45716</v>
      </c>
      <c r="G59" s="17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9" s="15">
        <f ca="1">IF(OR(tblTraining[[#This Row],[Status]]="Renewed",tblTraining[[#This Row],[NextDueDate]]=""),"",tblTraining[[#This Row],[NextDueDate]]-TODAY())</f>
        <v>160</v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94</v>
      </c>
      <c r="C60" s="15" t="str" cm="1">
        <f t="array" ref="C60">IFERROR(_xlfn.XLOOKUP(B60, tblPeople[PersonID], tblPeople[PersonName], ""), "")</f>
        <v>Moses Musyoka</v>
      </c>
      <c r="D60" s="15" t="s">
        <v>17</v>
      </c>
      <c r="E60" s="16" t="str">
        <f>IFERROR(_xlfn.XLOOKUP(D60, tblCourses[CourseID], tblCourses[CourseName], ""), "")</f>
        <v>Safety Management Systems (Refresher)</v>
      </c>
      <c r="F60" s="17">
        <v>45379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" spans="1:9" x14ac:dyDescent="0.25">
      <c r="A61" s="15">
        <f t="shared" si="0"/>
        <v>60</v>
      </c>
      <c r="B61" s="15" t="s">
        <v>156</v>
      </c>
      <c r="C61" s="15" t="str" cm="1">
        <f t="array" ref="C61">IFERROR(_xlfn.XLOOKUP(B61, tblPeople[PersonID], tblPeople[PersonName], ""), "")</f>
        <v>Stephen Mutambu</v>
      </c>
      <c r="D61" s="15" t="s">
        <v>77</v>
      </c>
      <c r="E61" s="16" t="str">
        <f>IFERROR(_xlfn.XLOOKUP(D61, tblCourses[CourseID], tblCourses[CourseName], ""), "")</f>
        <v>DHC8 -100/-200/-300 Collins Wheels &amp; Brakes Familiarization Training (Refresher)</v>
      </c>
      <c r="F61" s="17">
        <v>45637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1" s="15">
        <f ca="1">IF(OR(tblTraining[[#This Row],[Status]]="Renewed",tblTraining[[#This Row],[NextDueDate]]=""),"",tblTraining[[#This Row],[NextDueDate]]-TODAY())</f>
        <v>81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83</v>
      </c>
      <c r="C62" s="15" t="str" cm="1">
        <f t="array" ref="C62">IFERROR(_xlfn.XLOOKUP(B62, tblPeople[PersonID], tblPeople[PersonName], ""), "")</f>
        <v>Wycliffe Kanana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45850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62" s="15">
        <f ca="1">IF(OR(tblTraining[[#This Row],[Status]]="Renewed",tblTraining[[#This Row],[NextDueDate]]=""),"",tblTraining[[#This Row],[NextDueDate]]-TODAY())</f>
        <v>294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104</v>
      </c>
      <c r="C63" s="15" t="str" cm="1">
        <f t="array" ref="C63">IFERROR(_xlfn.XLOOKUP(B63, tblPeople[PersonID], tblPeople[PersonName], ""), "")</f>
        <v>Douglas Hurgins</v>
      </c>
      <c r="D63" s="15" t="s">
        <v>110</v>
      </c>
      <c r="E63" s="16" t="str">
        <f>IFERROR(_xlfn.XLOOKUP(D63, tblCourses[CourseID], tblCourses[CourseName], ""), "")</f>
        <v>Electrical Wiring Interconnection System Target Groups 1 &amp; 2 (Initial)</v>
      </c>
      <c r="F63" s="17">
        <v>45839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" spans="1:9" x14ac:dyDescent="0.25">
      <c r="A64" s="15">
        <f t="shared" si="0"/>
        <v>63</v>
      </c>
      <c r="B64" s="15" t="s">
        <v>89</v>
      </c>
      <c r="C64" s="15" t="str" cm="1">
        <f t="array" ref="C64">IFERROR(_xlfn.XLOOKUP(B64, tblPeople[PersonID], tblPeople[PersonName], ""), "")</f>
        <v>Elina Guda</v>
      </c>
      <c r="D64" s="15" t="s">
        <v>20</v>
      </c>
      <c r="E64" s="16" t="str">
        <f>IFERROR(_xlfn.XLOOKUP(D64, tblCourses[CourseID], tblCourses[CourseName], ""), "")</f>
        <v>Safety Management Systems (Initial)</v>
      </c>
      <c r="F64" s="17">
        <v>44853</v>
      </c>
      <c r="G64" s="17" t="str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" s="15" t="str">
        <f ca="1">IF(OR(tblTraining[[#This Row],[Status]]="Renewed",tblTraining[[#This Row],[NextDueDate]]=""),"",tblTraining[[#This Row],[NextDueDate]]-TODAY())</f>
        <v/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105</v>
      </c>
      <c r="C65" s="15" t="str" cm="1">
        <f t="array" ref="C65">IFERROR(_xlfn.XLOOKUP(B65, tblPeople[PersonID], tblPeople[PersonName], ""), "")</f>
        <v>Fred Magotsi</v>
      </c>
      <c r="D65" s="15" t="s">
        <v>126</v>
      </c>
      <c r="E65" s="16" t="str">
        <f>IFERROR(_xlfn.XLOOKUP(D65, tblCourses[CourseID], tblCourses[CourseName], ""), "")</f>
        <v>Maintenance Indoctrination</v>
      </c>
      <c r="F65" s="17">
        <v>43600</v>
      </c>
      <c r="G65" s="17" t="str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" s="15" t="str">
        <f ca="1">IF(OR(tblTraining[[#This Row],[Status]]="Renewed",tblTraining[[#This Row],[NextDueDate]]=""),"",tblTraining[[#This Row],[NextDueDate]]-TODAY())</f>
        <v/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76</v>
      </c>
      <c r="E66" s="16" t="str">
        <f>IFERROR(_xlfn.XLOOKUP(D66, tblCourses[CourseID], tblCourses[CourseName], ""), "")</f>
        <v>Fuel Tank Safety Phase 1 &amp; 2 Course (Initial)</v>
      </c>
      <c r="F66" s="17">
        <v>45184</v>
      </c>
      <c r="G66" s="17" t="str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" s="15" t="str">
        <f ca="1">IF(OR(tblTraining[[#This Row],[Status]]="Renewed",tblTraining[[#This Row],[NextDueDate]]=""),"",tblTraining[[#This Row],[NextDueDate]]-TODAY())</f>
        <v/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153</v>
      </c>
      <c r="C67" s="15" t="str" cm="1">
        <f t="array" ref="C67">IFERROR(_xlfn.XLOOKUP(B67, tblPeople[PersonID], tblPeople[PersonName], ""), "")</f>
        <v>Judith Wandera</v>
      </c>
      <c r="D67" s="15" t="s">
        <v>24</v>
      </c>
      <c r="E67" s="16" t="str">
        <f>IFERROR(_xlfn.XLOOKUP(D67, tblCourses[CourseID], tblCourses[CourseName], ""), "")</f>
        <v>Human Factors in Aviation (Initial)</v>
      </c>
      <c r="F67" s="17">
        <v>45213</v>
      </c>
      <c r="G67" s="17" t="str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" s="15" t="str">
        <f ca="1">IF(OR(tblTraining[[#This Row],[Status]]="Renewed",tblTraining[[#This Row],[NextDueDate]]=""),"",tblTraining[[#This Row],[NextDueDate]]-TODAY())</f>
        <v/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156</v>
      </c>
      <c r="C68" s="15" t="str" cm="1">
        <f t="array" ref="C68">IFERROR(_xlfn.XLOOKUP(B68, tblPeople[PersonID], tblPeople[PersonName], ""), "")</f>
        <v>Stephen Mutambu</v>
      </c>
      <c r="D68" s="15" t="s">
        <v>75</v>
      </c>
      <c r="E68" s="16" t="str">
        <f>IFERROR(_xlfn.XLOOKUP(D68, tblCourses[CourseID], tblCourses[CourseName], ""), "")</f>
        <v>Fuel Tank Safety Phase 1 &amp; 2 Course (Refresher)</v>
      </c>
      <c r="F68" s="17">
        <v>45395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83</v>
      </c>
      <c r="C69" s="15" t="str" cm="1">
        <f t="array" ref="C69">IFERROR(_xlfn.XLOOKUP(B69, tblPeople[PersonID], tblPeople[PersonName], ""), "")</f>
        <v>Wycliffe Kanana</v>
      </c>
      <c r="D69" s="15" t="s">
        <v>138</v>
      </c>
      <c r="E69" s="16" t="str">
        <f>IFERROR(_xlfn.XLOOKUP(D69, tblCourses[CourseID], tblCourses[CourseName], ""), "")</f>
        <v>Fire Marshal Training (OSHA, 2007)</v>
      </c>
      <c r="F69" s="17">
        <v>45184</v>
      </c>
      <c r="G69" s="17" t="str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" s="15" t="str">
        <f ca="1">IF(OR(tblTraining[[#This Row],[Status]]="Renewed",tblTraining[[#This Row],[NextDueDate]]=""),"",tblTraining[[#This Row],[NextDueDate]]-TODAY())</f>
        <v/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" spans="1:9" x14ac:dyDescent="0.25">
      <c r="A70" s="15">
        <f t="shared" si="1"/>
        <v>69</v>
      </c>
      <c r="B70" s="15" t="s">
        <v>104</v>
      </c>
      <c r="C70" s="15" t="str" cm="1">
        <f t="array" ref="C70">IFERROR(_xlfn.XLOOKUP(B70, tblPeople[PersonID], tblPeople[PersonName], ""), "")</f>
        <v>Douglas Hurgins</v>
      </c>
      <c r="D70" s="15" t="s">
        <v>109</v>
      </c>
      <c r="E70" s="16" t="str">
        <f>IFERROR(_xlfn.XLOOKUP(D70, tblCourses[CourseID], tblCourses[CourseName], ""), "")</f>
        <v>Electrical Wiring Interconnection System Target Groups 1 &amp; 2 (Refresher)</v>
      </c>
      <c r="F70" s="17">
        <v>45839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0" s="15">
        <f ca="1">IF(OR(tblTraining[[#This Row],[Status]]="Renewed",tblTraining[[#This Row],[NextDueDate]]=""),"",tblTraining[[#This Row],[NextDueDate]]-TODAY())</f>
        <v>283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89</v>
      </c>
      <c r="C71" s="15" t="str" cm="1">
        <f t="array" ref="C71">IFERROR(_xlfn.XLOOKUP(B71, tblPeople[PersonID], tblPeople[PersonName], ""), "")</f>
        <v>Elina Guda</v>
      </c>
      <c r="D71" s="15" t="s">
        <v>172</v>
      </c>
      <c r="E71" s="16" t="str">
        <f>IFERROR(_xlfn.XLOOKUP(D71, tblCourses[CourseID], tblCourses[CourseName], ""), "")</f>
        <v>Aviation Technical Records &amp; Stores Management (TRS)</v>
      </c>
      <c r="F71" s="17">
        <v>45002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105</v>
      </c>
      <c r="C72" s="15" t="str" cm="1">
        <f t="array" ref="C72">IFERROR(_xlfn.XLOOKUP(B72, tblPeople[PersonID], tblPeople[PersonName], ""), "")</f>
        <v>Fred Magotsi</v>
      </c>
      <c r="D72" s="15" t="s">
        <v>110</v>
      </c>
      <c r="E72" s="16" t="str">
        <f>IFERROR(_xlfn.XLOOKUP(D72, tblCourses[CourseID], tblCourses[CourseName], ""), "")</f>
        <v>Electrical Wiring Interconnection System Target Groups 1 &amp; 2 (Initial)</v>
      </c>
      <c r="F72" s="17">
        <v>45808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81</v>
      </c>
      <c r="C73" s="15" t="str" cm="1">
        <f t="array" ref="C73">IFERROR(_xlfn.XLOOKUP(B73, tblPeople[PersonID], tblPeople[PersonName], ""), "")</f>
        <v>Gideon Mwasio</v>
      </c>
      <c r="D73" s="15" t="s">
        <v>138</v>
      </c>
      <c r="E73" s="16" t="str">
        <f>IFERROR(_xlfn.XLOOKUP(D73, tblCourses[CourseID], tblCourses[CourseName], ""), "")</f>
        <v>Fire Marshal Training (OSHA, 2007)</v>
      </c>
      <c r="F73" s="17">
        <v>45184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4" spans="1:9" x14ac:dyDescent="0.25">
      <c r="A74" s="15">
        <f t="shared" si="1"/>
        <v>73</v>
      </c>
      <c r="B74" s="15" t="s">
        <v>153</v>
      </c>
      <c r="C74" s="15" t="str" cm="1">
        <f t="array" ref="C74">IFERROR(_xlfn.XLOOKUP(B74, tblPeople[PersonID], tblPeople[PersonName], ""), "")</f>
        <v>Judith Wandera</v>
      </c>
      <c r="D74" s="15" t="s">
        <v>22</v>
      </c>
      <c r="E74" s="16" t="str">
        <f>IFERROR(_xlfn.XLOOKUP(D74, tblCourses[CourseID], tblCourses[CourseName], ""), "")</f>
        <v>Human Factors in Aviation (Refresher)</v>
      </c>
      <c r="F74" s="17">
        <v>45213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" spans="1:9" x14ac:dyDescent="0.25">
      <c r="A75" s="15">
        <f t="shared" si="1"/>
        <v>74</v>
      </c>
      <c r="B75" s="15" t="s">
        <v>156</v>
      </c>
      <c r="C75" s="15" t="str" cm="1">
        <f t="array" ref="C75">IFERROR(_xlfn.XLOOKUP(B75, tblPeople[PersonID], tblPeople[PersonName], ""), "")</f>
        <v>Stephen Mutambu</v>
      </c>
      <c r="D75" s="15" t="s">
        <v>30</v>
      </c>
      <c r="E75" s="16" t="str">
        <f>IFERROR(_xlfn.XLOOKUP(D75, tblCourses[CourseID], tblCourses[CourseName], ""), "")</f>
        <v>Dangerous Goods Regulations (CBTA 7.3) (Refresher)</v>
      </c>
      <c r="F75" s="17">
        <v>45758</v>
      </c>
      <c r="G75" s="17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75" s="15">
        <f ca="1">IF(OR(tblTraining[[#This Row],[Status]]="Renewed",tblTraining[[#This Row],[NextDueDate]]=""),"",tblTraining[[#This Row],[NextDueDate]]-TODAY())</f>
        <v>202</v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104</v>
      </c>
      <c r="C76" s="15" t="str" cm="1">
        <f t="array" ref="C76">IFERROR(_xlfn.XLOOKUP(B76, tblPeople[PersonID], tblPeople[PersonName], ""), "")</f>
        <v>Douglas Hurgins</v>
      </c>
      <c r="D76" s="15" t="s">
        <v>22</v>
      </c>
      <c r="E76" s="16" t="str">
        <f>IFERROR(_xlfn.XLOOKUP(D76, tblCourses[CourseID], tblCourses[CourseName], ""), "")</f>
        <v>Human Factors in Aviation (Refresher)</v>
      </c>
      <c r="F76" s="17">
        <v>45913</v>
      </c>
      <c r="G76" s="17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76" s="15">
        <f ca="1">IF(OR(tblTraining[[#This Row],[Status]]="Renewed",tblTraining[[#This Row],[NextDueDate]]=""),"",tblTraining[[#This Row],[NextDueDate]]-TODAY())</f>
        <v>357</v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" spans="1:9" x14ac:dyDescent="0.25">
      <c r="A77" s="15">
        <f t="shared" si="1"/>
        <v>76</v>
      </c>
      <c r="B77" s="15" t="s">
        <v>135</v>
      </c>
      <c r="C77" s="15" t="str" cm="1">
        <f t="array" ref="C77">IFERROR(_xlfn.XLOOKUP(B77, tblPeople[PersonID], tblPeople[PersonName], ""), "")</f>
        <v>Francis Muriuki</v>
      </c>
      <c r="D77" s="15" t="s">
        <v>109</v>
      </c>
      <c r="E77" s="16" t="str">
        <f>IFERROR(_xlfn.XLOOKUP(D77, tblCourses[CourseID], tblCourses[CourseName], ""), "")</f>
        <v>Electrical Wiring Interconnection System Target Groups 1 &amp; 2 (Refresher)</v>
      </c>
      <c r="F77" s="17">
        <v>45805</v>
      </c>
      <c r="G77" s="17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77" s="15">
        <f ca="1">IF(OR(tblTraining[[#This Row],[Status]]="Renewed",tblTraining[[#This Row],[NextDueDate]]=""),"",tblTraining[[#This Row],[NextDueDate]]-TODAY())</f>
        <v>249</v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" spans="1:9" x14ac:dyDescent="0.25">
      <c r="A78" s="15">
        <f t="shared" si="1"/>
        <v>77</v>
      </c>
      <c r="B78" s="15" t="s">
        <v>105</v>
      </c>
      <c r="C78" s="15" t="str" cm="1">
        <f t="array" ref="C78">IFERROR(_xlfn.XLOOKUP(B78, tblPeople[PersonID], tblPeople[PersonName], ""), "")</f>
        <v>Fred Magotsi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45808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78" s="15">
        <f ca="1">IF(OR(tblTraining[[#This Row],[Status]]="Renewed",tblTraining[[#This Row],[NextDueDate]]=""),"",tblTraining[[#This Row],[NextDueDate]]-TODAY())</f>
        <v>252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81</v>
      </c>
      <c r="C79" s="15" t="str" cm="1">
        <f t="array" ref="C79">IFERROR(_xlfn.XLOOKUP(B79, tblPeople[PersonID], tblPeople[PersonName], ""), "")</f>
        <v>Gideon Mwasio</v>
      </c>
      <c r="D79" s="15" t="s">
        <v>75</v>
      </c>
      <c r="E79" s="16" t="str">
        <f>IFERROR(_xlfn.XLOOKUP(D79, tblCourses[CourseID], tblCourses[CourseName], ""), "")</f>
        <v>Fuel Tank Safety Phase 1 &amp; 2 Course (Refresher)</v>
      </c>
      <c r="F79" s="17">
        <v>45421</v>
      </c>
      <c r="G79" s="17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79" s="15">
        <f ca="1">IF(OR(tblTraining[[#This Row],[Status]]="Renewed",tblTraining[[#This Row],[NextDueDate]]=""),"",tblTraining[[#This Row],[NextDueDate]]-TODAY())</f>
        <v>-135</v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0" spans="1:9" x14ac:dyDescent="0.25">
      <c r="A80" s="15">
        <f t="shared" si="1"/>
        <v>79</v>
      </c>
      <c r="B80" s="15" t="s">
        <v>153</v>
      </c>
      <c r="C80" s="15" t="str" cm="1">
        <f t="array" ref="C80">IFERROR(_xlfn.XLOOKUP(B80, tblPeople[PersonID], tblPeople[PersonName], ""), "")</f>
        <v>Judith Wandera</v>
      </c>
      <c r="D80" s="15" t="s">
        <v>22</v>
      </c>
      <c r="E80" s="16" t="str">
        <f>IFERROR(_xlfn.XLOOKUP(D80, tblCourses[CourseID], tblCourses[CourseName], ""), "")</f>
        <v>Human Factors in Aviation (Refresher)</v>
      </c>
      <c r="F80" s="17">
        <v>45915</v>
      </c>
      <c r="G80" s="17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0" s="15">
        <f ca="1">IF(OR(tblTraining[[#This Row],[Status]]="Renewed",tblTraining[[#This Row],[NextDueDate]]=""),"",tblTraining[[#This Row],[NextDueDate]]-TODAY())</f>
        <v>359</v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156</v>
      </c>
      <c r="C81" s="15" t="str" cm="1">
        <f t="array" ref="C81">IFERROR(_xlfn.XLOOKUP(B81, tblPeople[PersonID], tblPeople[PersonName], ""), "")</f>
        <v>Stephen Mutambu</v>
      </c>
      <c r="D81" s="15" t="s">
        <v>17</v>
      </c>
      <c r="E81" s="16" t="str">
        <f>IFERROR(_xlfn.XLOOKUP(D81, tblCourses[CourseID], tblCourses[CourseName], ""), "")</f>
        <v>Safety Management Systems (Refresher)</v>
      </c>
      <c r="F81" s="17">
        <v>45510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91</v>
      </c>
      <c r="C82" s="15" t="str" cm="1">
        <f t="array" ref="C82">IFERROR(_xlfn.XLOOKUP(B82, tblPeople[PersonID], tblPeople[PersonName], ""), "")</f>
        <v>Dunstan Kwalanda</v>
      </c>
      <c r="D82" s="15" t="s">
        <v>17</v>
      </c>
      <c r="E82" s="16" t="str">
        <f>IFERROR(_xlfn.XLOOKUP(D82, tblCourses[CourseID], tblCourses[CourseName], ""), "")</f>
        <v>Safety Management Systems (Refresher)</v>
      </c>
      <c r="F82" s="17">
        <v>45379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135</v>
      </c>
      <c r="C83" s="15" t="str" cm="1">
        <f t="array" ref="C83">IFERROR(_xlfn.XLOOKUP(B83, tblPeople[PersonID], tblPeople[PersonName], ""), "")</f>
        <v>Francis Muriuki</v>
      </c>
      <c r="D83" s="15" t="s">
        <v>126</v>
      </c>
      <c r="E83" s="16" t="str">
        <f>IFERROR(_xlfn.XLOOKUP(D83, tblCourses[CourseID], tblCourses[CourseName], ""), "")</f>
        <v>Maintenance Indoctrination</v>
      </c>
      <c r="F83" s="17">
        <v>43725</v>
      </c>
      <c r="G83" s="17" t="str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" s="15" t="str">
        <f ca="1">IF(OR(tblTraining[[#This Row],[Status]]="Renewed",tblTraining[[#This Row],[NextDueDate]]=""),"",tblTraining[[#This Row],[NextDueDate]]-TODAY())</f>
        <v/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105</v>
      </c>
      <c r="C84" s="15" t="str" cm="1">
        <f t="array" ref="C84">IFERROR(_xlfn.XLOOKUP(B84, tblPeople[PersonID], tblPeople[PersonName], ""), "")</f>
        <v>Fred Magotsi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45852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84" s="15">
        <f ca="1">IF(OR(tblTraining[[#This Row],[Status]]="Renewed",tblTraining[[#This Row],[NextDueDate]]=""),"",tblTraining[[#This Row],[NextDueDate]]-TODAY())</f>
        <v>296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81</v>
      </c>
      <c r="C85" s="15" t="str" cm="1">
        <f t="array" ref="C85">IFERROR(_xlfn.XLOOKUP(B85, tblPeople[PersonID], tblPeople[PersonName], ""), "")</f>
        <v>Gideon Mwasio</v>
      </c>
      <c r="D85" s="15" t="s">
        <v>24</v>
      </c>
      <c r="E85" s="16" t="str">
        <f>IFERROR(_xlfn.XLOOKUP(D85, tblCourses[CourseID], tblCourses[CourseName], ""), "")</f>
        <v>Human Factors in Aviation (Initial)</v>
      </c>
      <c r="F85" s="17">
        <v>45211</v>
      </c>
      <c r="G85" s="17" t="str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" s="15" t="str">
        <f ca="1">IF(OR(tblTraining[[#This Row],[Status]]="Renewed",tblTraining[[#This Row],[NextDueDate]]=""),"",tblTraining[[#This Row],[NextDueDate]]-TODAY())</f>
        <v/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107</v>
      </c>
      <c r="C86" s="15" t="str" cm="1">
        <f t="array" ref="C86">IFERROR(_xlfn.XLOOKUP(B86, tblPeople[PersonID], tblPeople[PersonName], ""), "")</f>
        <v>Julius Nyawira</v>
      </c>
      <c r="D86" s="15" t="s">
        <v>76</v>
      </c>
      <c r="E86" s="16" t="str">
        <f>IFERROR(_xlfn.XLOOKUP(D86, tblCourses[CourseID], tblCourses[CourseName], ""), "")</f>
        <v>Fuel Tank Safety Phase 1 &amp; 2 Course (Initial)</v>
      </c>
      <c r="F86" s="18">
        <v>45403</v>
      </c>
      <c r="G86" s="17" t="str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" s="15" t="str">
        <f ca="1">IF(OR(tblTraining[[#This Row],[Status]]="Renewed",tblTraining[[#This Row],[NextDueDate]]=""),"",tblTraining[[#This Row],[NextDueDate]]-TODAY())</f>
        <v/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112</v>
      </c>
      <c r="C87" s="15" t="str" cm="1">
        <f t="array" ref="C87">IFERROR(_xlfn.XLOOKUP(B87, tblPeople[PersonID], tblPeople[PersonName], ""), "")</f>
        <v>Patrick Mwangi</v>
      </c>
      <c r="D87" s="15" t="s">
        <v>124</v>
      </c>
      <c r="E87" s="16" t="str">
        <f>IFERROR(_xlfn.XLOOKUP(D87, tblCourses[CourseID], tblCourses[CourseName], ""), "")</f>
        <v>Aviation Security (Initial)</v>
      </c>
      <c r="F87" s="17">
        <v>45716</v>
      </c>
      <c r="G87" s="17" t="str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" s="15" t="str">
        <f ca="1">IF(OR(tblTraining[[#This Row],[Status]]="Renewed",tblTraining[[#This Row],[NextDueDate]]=""),"",tblTraining[[#This Row],[NextDueDate]]-TODAY())</f>
        <v/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" spans="1:9" x14ac:dyDescent="0.25">
      <c r="A88" s="15">
        <f t="shared" si="1"/>
        <v>87</v>
      </c>
      <c r="B88" s="15" t="s">
        <v>156</v>
      </c>
      <c r="C88" s="15" t="str" cm="1">
        <f t="array" ref="C88">IFERROR(_xlfn.XLOOKUP(B88, tblPeople[PersonID], tblPeople[PersonName], ""), "")</f>
        <v>Stephen Mutambu</v>
      </c>
      <c r="D88" s="15" t="s">
        <v>198</v>
      </c>
      <c r="E88" s="16" t="str">
        <f>IFERROR(_xlfn.XLOOKUP(D88, tblCourses[CourseID], tblCourses[CourseName], ""), "")</f>
        <v>Maintenance Procedures &amp; Standard Maintenance Practices (Refresher)</v>
      </c>
      <c r="F88" s="17">
        <v>45322</v>
      </c>
      <c r="G88" s="17" t="str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" s="15" t="str">
        <f ca="1">IF(OR(tblTraining[[#This Row],[Status]]="Renewed",tblTraining[[#This Row],[NextDueDate]]=""),"",tblTraining[[#This Row],[NextDueDate]]-TODAY())</f>
        <v/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" spans="1:9" x14ac:dyDescent="0.25">
      <c r="A89" s="15">
        <f t="shared" si="1"/>
        <v>88</v>
      </c>
      <c r="B89" s="15" t="s">
        <v>91</v>
      </c>
      <c r="C89" s="15" t="str" cm="1">
        <f t="array" ref="C89">IFERROR(_xlfn.XLOOKUP(B89, tblPeople[PersonID], tblPeople[PersonName], ""), "")</f>
        <v>Dunstan Kwalanda</v>
      </c>
      <c r="D89" s="15" t="s">
        <v>76</v>
      </c>
      <c r="E89" s="16" t="str">
        <f>IFERROR(_xlfn.XLOOKUP(D89, tblCourses[CourseID], tblCourses[CourseName], ""), "")</f>
        <v>Fuel Tank Safety Phase 1 &amp; 2 Course (Initial)</v>
      </c>
      <c r="F89" s="18">
        <v>45409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" spans="1:9" x14ac:dyDescent="0.25">
      <c r="A90" s="15">
        <f t="shared" si="1"/>
        <v>89</v>
      </c>
      <c r="B90" s="15" t="s">
        <v>135</v>
      </c>
      <c r="C90" s="15" t="str" cm="1">
        <f t="array" ref="C90">IFERROR(_xlfn.XLOOKUP(B90, tblPeople[PersonID], tblPeople[PersonName], ""), "")</f>
        <v>Francis Muriuki</v>
      </c>
      <c r="D90" s="15" t="s">
        <v>28</v>
      </c>
      <c r="E90" s="16" t="str">
        <f>IFERROR(_xlfn.XLOOKUP(D90, tblCourses[CourseID], tblCourses[CourseName], ""), "")</f>
        <v>DHC-8 100/200/300 with PWC 120/120A/121/123B/C/D/E Series Engines(Refresher)</v>
      </c>
      <c r="F90" s="17">
        <v>45856</v>
      </c>
      <c r="G90" s="17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0" s="15">
        <f ca="1">IF(OR(tblTraining[[#This Row],[Status]]="Renewed",tblTraining[[#This Row],[NextDueDate]]=""),"",tblTraining[[#This Row],[NextDueDate]]-TODAY())</f>
        <v>300</v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" spans="1:9" x14ac:dyDescent="0.25">
      <c r="A91" s="15">
        <f t="shared" si="1"/>
        <v>90</v>
      </c>
      <c r="B91" s="15" t="s">
        <v>105</v>
      </c>
      <c r="C91" s="15" t="str" cm="1">
        <f t="array" ref="C91">IFERROR(_xlfn.XLOOKUP(B91, tblPeople[PersonID], tblPeople[PersonName], ""), "")</f>
        <v>Fred Magotsi</v>
      </c>
      <c r="D91" s="15" t="s">
        <v>177</v>
      </c>
      <c r="E91" s="16" t="str">
        <f>IFERROR(_xlfn.XLOOKUP(D91, tblCourses[CourseID], tblCourses[CourseName], ""), "")</f>
        <v>Cessna 208 Series (Caravan) With P&amp;WC PT6A-114/ -114A/ -140 Engines (Initial)</v>
      </c>
      <c r="F91" s="17">
        <v>45814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81</v>
      </c>
      <c r="C92" s="15" t="str" cm="1">
        <f t="array" ref="C92">IFERROR(_xlfn.XLOOKUP(B92, tblPeople[PersonID], tblPeople[PersonName], ""), "")</f>
        <v>Gideon Mwasio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45211</v>
      </c>
      <c r="G92" s="17" t="str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" s="15" t="str">
        <f ca="1">IF(OR(tblTraining[[#This Row],[Status]]="Renewed",tblTraining[[#This Row],[NextDueDate]]=""),"",tblTraining[[#This Row],[NextDueDate]]-TODAY())</f>
        <v/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" spans="1:9" x14ac:dyDescent="0.25">
      <c r="A93" s="15">
        <f t="shared" si="1"/>
        <v>92</v>
      </c>
      <c r="B93" s="15" t="s">
        <v>107</v>
      </c>
      <c r="C93" s="15" t="str" cm="1">
        <f t="array" ref="C93">IFERROR(_xlfn.XLOOKUP(B93, tblPeople[PersonID], tblPeople[PersonName], ""), "")</f>
        <v>Julius Nyawira</v>
      </c>
      <c r="D93" s="15" t="s">
        <v>78</v>
      </c>
      <c r="E93" s="16" t="str">
        <f>IFERROR(_xlfn.XLOOKUP(D93, tblCourses[CourseID], tblCourses[CourseName], ""), "")</f>
        <v>DHC8 -100/-200/-300 Collins Wheels &amp; Brakes Familiarization Training (Initial)</v>
      </c>
      <c r="F93" s="18">
        <v>45637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112</v>
      </c>
      <c r="C94" s="15" t="str" cm="1">
        <f t="array" ref="C94">IFERROR(_xlfn.XLOOKUP(B94, tblPeople[PersonID], tblPeople[PersonName], ""), "")</f>
        <v>Patrick Mwangi</v>
      </c>
      <c r="D94" s="15" t="s">
        <v>77</v>
      </c>
      <c r="E94" s="16" t="str">
        <f>IFERROR(_xlfn.XLOOKUP(D94, tblCourses[CourseID], tblCourses[CourseName], ""), "")</f>
        <v>DHC8 -100/-200/-300 Collins Wheels &amp; Brakes Familiarization Training (Refresher)</v>
      </c>
      <c r="F94" s="17">
        <v>45637</v>
      </c>
      <c r="G94" s="17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94" s="15">
        <f ca="1">IF(OR(tblTraining[[#This Row],[Status]]="Renewed",tblTraining[[#This Row],[NextDueDate]]=""),"",tblTraining[[#This Row],[NextDueDate]]-TODAY())</f>
        <v>81</v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156</v>
      </c>
      <c r="C95" s="15" t="str" cm="1">
        <f t="array" ref="C95">IFERROR(_xlfn.XLOOKUP(B95, tblPeople[PersonID], tblPeople[PersonName], ""), "")</f>
        <v>Stephen Mutambu</v>
      </c>
      <c r="D95" s="15" t="s">
        <v>22</v>
      </c>
      <c r="E95" s="16" t="str">
        <f>IFERROR(_xlfn.XLOOKUP(D95, tblCourses[CourseID], tblCourses[CourseName], ""), "")</f>
        <v>Human Factors in Aviation (Refresher)</v>
      </c>
      <c r="F95" s="17">
        <v>44987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6" spans="1:9" x14ac:dyDescent="0.25">
      <c r="A96" s="15">
        <f t="shared" si="1"/>
        <v>95</v>
      </c>
      <c r="B96" s="15" t="s">
        <v>91</v>
      </c>
      <c r="C96" s="15" t="str" cm="1">
        <f t="array" ref="C96">IFERROR(_xlfn.XLOOKUP(B96, tblPeople[PersonID], tblPeople[PersonName], ""), "")</f>
        <v>Dunstan Kwalanda</v>
      </c>
      <c r="D96" s="15" t="s">
        <v>78</v>
      </c>
      <c r="E96" s="16" t="str">
        <f>IFERROR(_xlfn.XLOOKUP(D96, tblCourses[CourseID], tblCourses[CourseName], ""), "")</f>
        <v>DHC8 -100/-200/-300 Collins Wheels &amp; Brakes Familiarization Training (Initial)</v>
      </c>
      <c r="F96" s="18">
        <v>45637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" spans="1:9" x14ac:dyDescent="0.25">
      <c r="A97" s="15">
        <f t="shared" si="1"/>
        <v>96</v>
      </c>
      <c r="B97" s="15" t="s">
        <v>135</v>
      </c>
      <c r="C97" s="15" t="str" cm="1">
        <f t="array" ref="C97">IFERROR(_xlfn.XLOOKUP(B97, tblPeople[PersonID], tblPeople[PersonName], ""), "")</f>
        <v>Francis Muriuki</v>
      </c>
      <c r="D97" s="15" t="s">
        <v>223</v>
      </c>
      <c r="E97" s="16" t="str">
        <f>IFERROR(_xlfn.XLOOKUP(D97, tblCourses[CourseID], tblCourses[CourseName], ""), "")</f>
        <v>Core Instructional Technique (Refresher)</v>
      </c>
      <c r="F97" s="17">
        <v>45816</v>
      </c>
      <c r="G97" s="17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97" s="15">
        <f ca="1">IF(OR(tblTraining[[#This Row],[Status]]="Renewed",tblTraining[[#This Row],[NextDueDate]]=""),"",tblTraining[[#This Row],[NextDueDate]]-TODAY())</f>
        <v>260</v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105</v>
      </c>
      <c r="C98" s="15" t="str" cm="1">
        <f t="array" ref="C98">IFERROR(_xlfn.XLOOKUP(B98, tblPeople[PersonID], tblPeople[PersonName], ""), "")</f>
        <v>Fred Magotsi</v>
      </c>
      <c r="D98" s="15" t="s">
        <v>178</v>
      </c>
      <c r="E98" s="16" t="str">
        <f>IFERROR(_xlfn.XLOOKUP(D98, tblCourses[CourseID], tblCourses[CourseName], ""), "")</f>
        <v>Cessna 208 Series (Caravan) With P&amp;WC PT6A-114/ -114A/ -140 Engines (Refresher)</v>
      </c>
      <c r="F98" s="17">
        <v>45814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98" s="15">
        <f ca="1">IF(OR(tblTraining[[#This Row],[Status]]="Renewed",tblTraining[[#This Row],[NextDueDate]]=""),"",tblTraining[[#This Row],[NextDueDate]]-TODAY())</f>
        <v>258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81</v>
      </c>
      <c r="C99" s="15" t="str" cm="1">
        <f t="array" ref="C99">IFERROR(_xlfn.XLOOKUP(B99, tblPeople[PersonID], tblPeople[PersonName], ""), "")</f>
        <v>Gideon Mwasio</v>
      </c>
      <c r="D99" s="15" t="s">
        <v>78</v>
      </c>
      <c r="E99" s="16" t="str">
        <f>IFERROR(_xlfn.XLOOKUP(D99, tblCourses[CourseID], tblCourses[CourseName], ""), "")</f>
        <v>DHC8 -100/-200/-300 Collins Wheels &amp; Brakes Familiarization Training (Initial)</v>
      </c>
      <c r="F99" s="17">
        <v>45637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107</v>
      </c>
      <c r="C100" s="15" t="str" cm="1">
        <f t="array" ref="C100">IFERROR(_xlfn.XLOOKUP(B100, tblPeople[PersonID], tblPeople[PersonName], ""), "")</f>
        <v>Julius Nyawira</v>
      </c>
      <c r="D100" s="15" t="s">
        <v>17</v>
      </c>
      <c r="E100" s="16" t="str">
        <f>IFERROR(_xlfn.XLOOKUP(D100, tblCourses[CourseID], tblCourses[CourseName], ""), "")</f>
        <v>Safety Management Systems (Refresher)</v>
      </c>
      <c r="F100" s="18">
        <v>45750</v>
      </c>
      <c r="G100" s="17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0" s="15">
        <f ca="1">IF(OR(tblTraining[[#This Row],[Status]]="Renewed",tblTraining[[#This Row],[NextDueDate]]=""),"",tblTraining[[#This Row],[NextDueDate]]-TODAY())</f>
        <v>194</v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" spans="1:9" x14ac:dyDescent="0.25">
      <c r="A101" s="15">
        <f t="shared" si="1"/>
        <v>100</v>
      </c>
      <c r="B101" s="15" t="s">
        <v>101</v>
      </c>
      <c r="C101" s="15" t="str" cm="1">
        <f t="array" ref="C101">IFERROR(_xlfn.XLOOKUP(B101, tblPeople[PersonID], tblPeople[PersonName], ""), "")</f>
        <v>Paul Mzera</v>
      </c>
      <c r="D101" s="15" t="s">
        <v>126</v>
      </c>
      <c r="E101" s="16" t="str">
        <f>IFERROR(_xlfn.XLOOKUP(D101, tblCourses[CourseID], tblCourses[CourseName], ""), "")</f>
        <v>Maintenance Indoctrination</v>
      </c>
      <c r="F101" s="17">
        <v>44686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156</v>
      </c>
      <c r="C102" s="15" t="str" cm="1">
        <f t="array" ref="C102">IFERROR(_xlfn.XLOOKUP(B102, tblPeople[PersonID], tblPeople[PersonName], ""), "")</f>
        <v>Stephen Mutambu</v>
      </c>
      <c r="D102" s="15" t="s">
        <v>165</v>
      </c>
      <c r="E102" s="16" t="str">
        <f>IFERROR(_xlfn.XLOOKUP(D102, tblCourses[CourseID], tblCourses[CourseName], ""), "")</f>
        <v xml:space="preserve">Aircraft Reliability </v>
      </c>
      <c r="F102" s="17">
        <v>44545</v>
      </c>
      <c r="G102" s="17" t="str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" s="15" t="str">
        <f ca="1">IF(OR(tblTraining[[#This Row],[Status]]="Renewed",tblTraining[[#This Row],[NextDueDate]]=""),"",tblTraining[[#This Row],[NextDueDate]]-TODAY())</f>
        <v/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91</v>
      </c>
      <c r="C103" s="15" t="str" cm="1">
        <f t="array" ref="C103">IFERROR(_xlfn.XLOOKUP(B103, tblPeople[PersonID], tblPeople[PersonName], ""), "")</f>
        <v>Dunstan Kwalanda</v>
      </c>
      <c r="D103" s="15" t="s">
        <v>32</v>
      </c>
      <c r="E103" s="16" t="str">
        <f>IFERROR(_xlfn.XLOOKUP(D103, tblCourses[CourseID], tblCourses[CourseName], ""), "")</f>
        <v>Dangerous Goods Regulations (CBTA 7.3) (Initial)</v>
      </c>
      <c r="F103" s="18">
        <v>45427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" spans="1:9" x14ac:dyDescent="0.25">
      <c r="A104" s="15">
        <f t="shared" si="1"/>
        <v>103</v>
      </c>
      <c r="B104" s="15" t="s">
        <v>135</v>
      </c>
      <c r="C104" s="15" t="str" cm="1">
        <f t="array" ref="C104">IFERROR(_xlfn.XLOOKUP(B104, tblPeople[PersonID], tblPeople[PersonName], ""), "")</f>
        <v>Francis Muriuki</v>
      </c>
      <c r="D104" s="15" t="s">
        <v>175</v>
      </c>
      <c r="E104" s="16" t="str">
        <f>IFERROR(_xlfn.XLOOKUP(D104, tblCourses[CourseID], tblCourses[CourseName], ""), "")</f>
        <v>Aircraft Maintenance Engineers' Licence</v>
      </c>
      <c r="F104" s="17">
        <v>45417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" spans="1:9" x14ac:dyDescent="0.25">
      <c r="A105" s="15">
        <f t="shared" si="1"/>
        <v>104</v>
      </c>
      <c r="B105" s="15" t="s">
        <v>105</v>
      </c>
      <c r="C105" s="15" t="str" cm="1">
        <f t="array" ref="C105">IFERROR(_xlfn.XLOOKUP(B105, tblPeople[PersonID], tblPeople[PersonName], ""), "")</f>
        <v>Fred Magotsi</v>
      </c>
      <c r="D105" s="15" t="s">
        <v>77</v>
      </c>
      <c r="E105" s="16" t="str">
        <f>IFERROR(_xlfn.XLOOKUP(D105, tblCourses[CourseID], tblCourses[CourseName], ""), "")</f>
        <v>DHC8 -100/-200/-300 Collins Wheels &amp; Brakes Familiarization Training (Refresher)</v>
      </c>
      <c r="F105" s="17">
        <v>45637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5" s="15">
        <f ca="1">IF(OR(tblTraining[[#This Row],[Status]]="Renewed",tblTraining[[#This Row],[NextDueDate]]=""),"",tblTraining[[#This Row],[NextDueDate]]-TODAY())</f>
        <v>81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81</v>
      </c>
      <c r="C106" s="15" t="str" cm="1">
        <f t="array" ref="C106">IFERROR(_xlfn.XLOOKUP(B106, tblPeople[PersonID], tblPeople[PersonName], ""), "")</f>
        <v>Gideon Mwasio</v>
      </c>
      <c r="D106" s="15" t="s">
        <v>77</v>
      </c>
      <c r="E106" s="16" t="str">
        <f>IFERROR(_xlfn.XLOOKUP(D106, tblCourses[CourseID], tblCourses[CourseName], ""), "")</f>
        <v>DHC8 -100/-200/-300 Collins Wheels &amp; Brakes Familiarization Training (Refresher)</v>
      </c>
      <c r="F106" s="17">
        <v>45637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6" s="15">
        <f ca="1">IF(OR(tblTraining[[#This Row],[Status]]="Renewed",tblTraining[[#This Row],[NextDueDate]]=""),"",tblTraining[[#This Row],[NextDueDate]]-TODAY())</f>
        <v>81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107</v>
      </c>
      <c r="C107" s="15" t="str" cm="1">
        <f t="array" ref="C107">IFERROR(_xlfn.XLOOKUP(B107, tblPeople[PersonID], tblPeople[PersonName], ""), "")</f>
        <v>Julius Nyawira</v>
      </c>
      <c r="D107" s="15" t="s">
        <v>109</v>
      </c>
      <c r="E107" s="16" t="str">
        <f>IFERROR(_xlfn.XLOOKUP(D107, tblCourses[CourseID], tblCourses[CourseName], ""), "")</f>
        <v>Electrical Wiring Interconnection System Target Groups 1 &amp; 2 (Refresher)</v>
      </c>
      <c r="F107" s="17">
        <v>45796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8" spans="1:9" x14ac:dyDescent="0.25">
      <c r="A108" s="15">
        <f t="shared" si="1"/>
        <v>107</v>
      </c>
      <c r="B108" s="15" t="s">
        <v>101</v>
      </c>
      <c r="C108" s="15" t="str" cm="1">
        <f t="array" ref="C108">IFERROR(_xlfn.XLOOKUP(B108, tblPeople[PersonID], tblPeople[PersonName], ""), "")</f>
        <v>Paul Mzera</v>
      </c>
      <c r="D108" s="15" t="s">
        <v>175</v>
      </c>
      <c r="E108" s="16" t="str">
        <f>IFERROR(_xlfn.XLOOKUP(D108, tblCourses[CourseID], tblCourses[CourseName], ""), "")</f>
        <v>Aircraft Maintenance Engineers' Licence</v>
      </c>
      <c r="F108" s="17">
        <v>45716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08" s="15">
        <f ca="1">IF(OR(tblTraining[[#This Row],[Status]]="Renewed",tblTraining[[#This Row],[NextDueDate]]=""),"",tblTraining[[#This Row],[NextDueDate]]-TODAY())</f>
        <v>160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93</v>
      </c>
      <c r="C109" s="15" t="str" cm="1">
        <f t="array" ref="C109">IFERROR(_xlfn.XLOOKUP(B109, tblPeople[PersonID], tblPeople[PersonName], ""), "")</f>
        <v>Stephen Tunje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45146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91</v>
      </c>
      <c r="C110" s="15" t="str" cm="1">
        <f t="array" ref="C110">IFERROR(_xlfn.XLOOKUP(B110, tblPeople[PersonID], tblPeople[PersonName], ""), "")</f>
        <v>Dunstan Kwalanda</v>
      </c>
      <c r="D110" s="15" t="s">
        <v>137</v>
      </c>
      <c r="E110" s="16" t="str">
        <f>IFERROR(_xlfn.XLOOKUP(D110, tblCourses[CourseID], tblCourses[CourseName], ""), "")</f>
        <v>GARMIN 1000 Avionics</v>
      </c>
      <c r="F110" s="18">
        <v>45505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135</v>
      </c>
      <c r="C111" s="15" t="str" cm="1">
        <f t="array" ref="C111">IFERROR(_xlfn.XLOOKUP(B111, tblPeople[PersonID], tblPeople[PersonName], ""), "")</f>
        <v>Francis Muriuki</v>
      </c>
      <c r="D111" s="15" t="s">
        <v>217</v>
      </c>
      <c r="E111" s="16" t="str">
        <f>IFERROR(_xlfn.XLOOKUP(D111, tblCourses[CourseID], tblCourses[CourseName], ""), "")</f>
        <v>SOCATA TBM 700 Series (Refresher)</v>
      </c>
      <c r="F111" s="17">
        <v>45733</v>
      </c>
      <c r="G111" s="17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1" s="15">
        <f ca="1">IF(OR(tblTraining[[#This Row],[Status]]="Renewed",tblTraining[[#This Row],[NextDueDate]]=""),"",tblTraining[[#This Row],[NextDueDate]]-TODAY())</f>
        <v>177</v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105</v>
      </c>
      <c r="C112" s="15" t="str" cm="1">
        <f t="array" ref="C112">IFERROR(_xlfn.XLOOKUP(B112, tblPeople[PersonID], tblPeople[PersonName], ""), "")</f>
        <v>Fred Magotsi</v>
      </c>
      <c r="D112" s="15" t="s">
        <v>132</v>
      </c>
      <c r="E112" s="16" t="str">
        <f>IFERROR(_xlfn.XLOOKUP(D112, tblCourses[CourseID], tblCourses[CourseName], ""), "")</f>
        <v>Marshalling Techniques Course</v>
      </c>
      <c r="F112" s="17">
        <v>45470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" spans="1:9" x14ac:dyDescent="0.25">
      <c r="A113" s="15">
        <f t="shared" si="1"/>
        <v>112</v>
      </c>
      <c r="B113" s="15" t="s">
        <v>162</v>
      </c>
      <c r="C113" s="15" t="str" cm="1">
        <f t="array" ref="C113">IFERROR(_xlfn.XLOOKUP(B113, tblPeople[PersonID], tblPeople[PersonName], ""), "")</f>
        <v>Hannah Wambui</v>
      </c>
      <c r="D113" s="15" t="s">
        <v>126</v>
      </c>
      <c r="E113" s="16" t="str">
        <f>IFERROR(_xlfn.XLOOKUP(D113, tblCourses[CourseID], tblCourses[CourseName], ""), "")</f>
        <v>Maintenance Indoctrination</v>
      </c>
      <c r="F113" s="17">
        <v>44198</v>
      </c>
      <c r="G113" s="17" t="str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" s="15" t="str">
        <f ca="1">IF(OR(tblTraining[[#This Row],[Status]]="Renewed",tblTraining[[#This Row],[NextDueDate]]=""),"",tblTraining[[#This Row],[NextDueDate]]-TODAY())</f>
        <v/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107</v>
      </c>
      <c r="C114" s="15" t="str" cm="1">
        <f t="array" ref="C114">IFERROR(_xlfn.XLOOKUP(B114, tblPeople[PersonID], tblPeople[PersonName], ""), "")</f>
        <v>Julius Nyawira</v>
      </c>
      <c r="D114" s="15" t="s">
        <v>109</v>
      </c>
      <c r="E114" s="16" t="str">
        <f>IFERROR(_xlfn.XLOOKUP(D114, tblCourses[CourseID], tblCourses[CourseName], ""), "")</f>
        <v>Electrical Wiring Interconnection System Target Groups 1 &amp; 2 (Refresher)</v>
      </c>
      <c r="F114" s="17">
        <v>45803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14" s="15">
        <f ca="1">IF(OR(tblTraining[[#This Row],[Status]]="Renewed",tblTraining[[#This Row],[NextDueDate]]=""),"",tblTraining[[#This Row],[NextDueDate]]-TODAY())</f>
        <v>247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101</v>
      </c>
      <c r="C115" s="15" t="str" cm="1">
        <f t="array" ref="C115">IFERROR(_xlfn.XLOOKUP(B115, tblPeople[PersonID], tblPeople[PersonName], ""), "")</f>
        <v>Paul Mzera</v>
      </c>
      <c r="D115" s="15" t="s">
        <v>77</v>
      </c>
      <c r="E115" s="16" t="str">
        <f>IFERROR(_xlfn.XLOOKUP(D115, tblCourses[CourseID], tblCourses[CourseName], ""), "")</f>
        <v>DHC8 -100/-200/-300 Collins Wheels &amp; Brakes Familiarization Training (Refresher)</v>
      </c>
      <c r="F115" s="17">
        <v>45637</v>
      </c>
      <c r="G115" s="17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5" s="15">
        <f ca="1">IF(OR(tblTraining[[#This Row],[Status]]="Renewed",tblTraining[[#This Row],[NextDueDate]]=""),"",tblTraining[[#This Row],[NextDueDate]]-TODAY())</f>
        <v>81</v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" spans="1:9" x14ac:dyDescent="0.25">
      <c r="A116" s="15">
        <f t="shared" si="1"/>
        <v>115</v>
      </c>
      <c r="B116" s="15" t="s">
        <v>93</v>
      </c>
      <c r="C116" s="15" t="str" cm="1">
        <f t="array" ref="C116">IFERROR(_xlfn.XLOOKUP(B116, tblPeople[PersonID], tblPeople[PersonName], ""), "")</f>
        <v>Stephen Tunje</v>
      </c>
      <c r="D116" s="15" t="s">
        <v>78</v>
      </c>
      <c r="E116" s="16" t="str">
        <f>IFERROR(_xlfn.XLOOKUP(D116, tblCourses[CourseID], tblCourses[CourseName], ""), "")</f>
        <v>DHC8 -100/-200/-300 Collins Wheels &amp; Brakes Familiarization Training (Initial)</v>
      </c>
      <c r="F116" s="17">
        <v>45637</v>
      </c>
      <c r="G116" s="17" t="str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" s="15" t="str">
        <f ca="1">IF(OR(tblTraining[[#This Row],[Status]]="Renewed",tblTraining[[#This Row],[NextDueDate]]=""),"",tblTraining[[#This Row],[NextDueDate]]-TODAY())</f>
        <v/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91</v>
      </c>
      <c r="C117" s="15" t="str" cm="1">
        <f t="array" ref="C117">IFERROR(_xlfn.XLOOKUP(B117, tblPeople[PersonID], tblPeople[PersonName], ""), "")</f>
        <v>Dunstan Kwalanda</v>
      </c>
      <c r="D117" s="15" t="s">
        <v>22</v>
      </c>
      <c r="E117" s="16" t="str">
        <f>IFERROR(_xlfn.XLOOKUP(D117, tblCourses[CourseID], tblCourses[CourseName], ""), "")</f>
        <v>Human Factors in Aviation (Refresher)</v>
      </c>
      <c r="F117" s="18">
        <v>45943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" spans="1:9" x14ac:dyDescent="0.25">
      <c r="A118" s="15">
        <f t="shared" si="1"/>
        <v>117</v>
      </c>
      <c r="B118" s="15" t="s">
        <v>135</v>
      </c>
      <c r="C118" s="15" t="str" cm="1">
        <f t="array" ref="C118">IFERROR(_xlfn.XLOOKUP(B118, tblPeople[PersonID], tblPeople[PersonName], ""), "")</f>
        <v>Francis Muriuki</v>
      </c>
      <c r="D118" s="15" t="s">
        <v>77</v>
      </c>
      <c r="E118" s="16" t="str">
        <f>IFERROR(_xlfn.XLOOKUP(D118, tblCourses[CourseID], tblCourses[CourseName], ""), "")</f>
        <v>DHC8 -100/-200/-300 Collins Wheels &amp; Brakes Familiarization Training (Refresher)</v>
      </c>
      <c r="F118" s="17">
        <v>45637</v>
      </c>
      <c r="G118" s="17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8" s="15">
        <f ca="1">IF(OR(tblTraining[[#This Row],[Status]]="Renewed",tblTraining[[#This Row],[NextDueDate]]=""),"",tblTraining[[#This Row],[NextDueDate]]-TODAY())</f>
        <v>81</v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105</v>
      </c>
      <c r="C119" s="15" t="str" cm="1">
        <f t="array" ref="C119">IFERROR(_xlfn.XLOOKUP(B119, tblPeople[PersonID], tblPeople[PersonName], ""), "")</f>
        <v>Fred Magotsi</v>
      </c>
      <c r="D119" s="15" t="s">
        <v>28</v>
      </c>
      <c r="E119" s="16" t="str">
        <f>IFERROR(_xlfn.XLOOKUP(D119, tblCourses[CourseID], tblCourses[CourseName], ""), "")</f>
        <v>DHC-8 100/200/300 with PWC 120/120A/121/123B/C/D/E Series Engines(Refresher)</v>
      </c>
      <c r="F119" s="17">
        <v>45716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9" s="15">
        <f ca="1">IF(OR(tblTraining[[#This Row],[Status]]="Renewed",tblTraining[[#This Row],[NextDueDate]]=""),"",tblTraining[[#This Row],[NextDueDate]]-TODAY())</f>
        <v>160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162</v>
      </c>
      <c r="C120" s="15" t="str" cm="1">
        <f t="array" ref="C120">IFERROR(_xlfn.XLOOKUP(B120, tblPeople[PersonID], tblPeople[PersonName], ""), "")</f>
        <v>Hannah Wambui</v>
      </c>
      <c r="D120" s="15" t="s">
        <v>169</v>
      </c>
      <c r="E120" s="16" t="str">
        <f>IFERROR(_xlfn.XLOOKUP(D120, tblCourses[CourseID], tblCourses[CourseName], ""), "")</f>
        <v>Quality Management Systems</v>
      </c>
      <c r="F120" s="17">
        <v>45709</v>
      </c>
      <c r="G120" s="17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0" s="15">
        <f ca="1">IF(OR(tblTraining[[#This Row],[Status]]="Renewed",tblTraining[[#This Row],[NextDueDate]]=""),"",tblTraining[[#This Row],[NextDueDate]]-TODAY())</f>
        <v>518</v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107</v>
      </c>
      <c r="C121" s="15" t="str" cm="1">
        <f t="array" ref="C121">IFERROR(_xlfn.XLOOKUP(B121, tblPeople[PersonID], tblPeople[PersonName], ""), "")</f>
        <v>Julius Nyawira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43444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101</v>
      </c>
      <c r="C122" s="15" t="str" cm="1">
        <f t="array" ref="C122">IFERROR(_xlfn.XLOOKUP(B122, tblPeople[PersonID], tblPeople[PersonName], ""), "")</f>
        <v>Paul Mzera</v>
      </c>
      <c r="D122" s="15" t="s">
        <v>22</v>
      </c>
      <c r="E122" s="16" t="str">
        <f>IFERROR(_xlfn.XLOOKUP(D122, tblCourses[CourseID], tblCourses[CourseName], ""), "")</f>
        <v>Human Factors in Aviation (Refresher)</v>
      </c>
      <c r="F122" s="17">
        <v>45603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22" s="15">
        <f ca="1">IF(OR(tblTraining[[#This Row],[Status]]="Renewed",tblTraining[[#This Row],[NextDueDate]]=""),"",tblTraining[[#This Row],[NextDueDate]]-TODAY())</f>
        <v>47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23" spans="1:9" x14ac:dyDescent="0.25">
      <c r="A123" s="15">
        <f t="shared" si="1"/>
        <v>122</v>
      </c>
      <c r="B123" s="15" t="s">
        <v>93</v>
      </c>
      <c r="C123" s="15" t="str" cm="1">
        <f t="array" ref="C123">IFERROR(_xlfn.XLOOKUP(B123, tblPeople[PersonID], tblPeople[PersonName], ""), "")</f>
        <v>Stephen Tunje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81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91</v>
      </c>
      <c r="C124" s="15" t="str" cm="1">
        <f t="array" ref="C124">IFERROR(_xlfn.XLOOKUP(B124, tblPeople[PersonID], tblPeople[PersonName], ""), "")</f>
        <v>Dunstan Kwalanda</v>
      </c>
      <c r="D124" s="15" t="s">
        <v>126</v>
      </c>
      <c r="E124" s="16" t="str">
        <f>IFERROR(_xlfn.XLOOKUP(D124, tblCourses[CourseID], tblCourses[CourseName], ""), "")</f>
        <v>Maintenance Indoctrination</v>
      </c>
      <c r="F124" s="17">
        <v>45146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135</v>
      </c>
      <c r="C125" s="15" t="str" cm="1">
        <f t="array" ref="C125">IFERROR(_xlfn.XLOOKUP(B125, tblPeople[PersonID], tblPeople[PersonName], ""), "")</f>
        <v>Francis Muriuki</v>
      </c>
      <c r="D125" s="15" t="s">
        <v>178</v>
      </c>
      <c r="E125" s="16" t="str">
        <f>IFERROR(_xlfn.XLOOKUP(D125, tblCourses[CourseID], tblCourses[CourseName], ""), "")</f>
        <v>Cessna 208 Series (Caravan) With P&amp;WC PT6A-114/ -114A/ -140 Engines (Refresher)</v>
      </c>
      <c r="F125" s="17">
        <v>45231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105</v>
      </c>
      <c r="C126" s="15" t="str" cm="1">
        <f t="array" ref="C126">IFERROR(_xlfn.XLOOKUP(B126, tblPeople[PersonID], tblPeople[PersonName], ""), "")</f>
        <v>Fred Magotsi</v>
      </c>
      <c r="D126" s="15" t="s">
        <v>28</v>
      </c>
      <c r="E126" s="16" t="str">
        <f>IFERROR(_xlfn.XLOOKUP(D126, tblCourses[CourseID], tblCourses[CourseName], ""), "")</f>
        <v>DHC-8 100/200/300 with PWC 120/120A/121/123B/C/D/E Series Engines(Refresher)</v>
      </c>
      <c r="F126" s="17">
        <v>45009</v>
      </c>
      <c r="G126" s="17" t="str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" s="15" t="str">
        <f ca="1">IF(OR(tblTraining[[#This Row],[Status]]="Renewed",tblTraining[[#This Row],[NextDueDate]]=""),"",tblTraining[[#This Row],[NextDueDate]]-TODAY())</f>
        <v/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" spans="1:9" x14ac:dyDescent="0.25">
      <c r="A127" s="15">
        <f t="shared" si="1"/>
        <v>126</v>
      </c>
      <c r="B127" s="15" t="s">
        <v>162</v>
      </c>
      <c r="C127" s="15" t="str" cm="1">
        <f t="array" ref="C127">IFERROR(_xlfn.XLOOKUP(B127, tblPeople[PersonID], tblPeople[PersonName], ""), "")</f>
        <v>Hannah Wambui</v>
      </c>
      <c r="D127" s="15" t="s">
        <v>32</v>
      </c>
      <c r="E127" s="16" t="str">
        <f>IFERROR(_xlfn.XLOOKUP(D127, tblCourses[CourseID], tblCourses[CourseName], ""), "")</f>
        <v>Dangerous Goods Regulations (CBTA 7.3) (Initial)</v>
      </c>
      <c r="F127" s="17">
        <v>44400</v>
      </c>
      <c r="G127" s="17" t="str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" s="15" t="str">
        <f ca="1">IF(OR(tblTraining[[#This Row],[Status]]="Renewed",tblTraining[[#This Row],[NextDueDate]]=""),"",tblTraining[[#This Row],[NextDueDate]]-TODAY())</f>
        <v/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101</v>
      </c>
      <c r="C128" s="15" t="str" cm="1">
        <f t="array" ref="C128">IFERROR(_xlfn.XLOOKUP(B128, tblPeople[PersonID], tblPeople[PersonName], ""), "")</f>
        <v>Paul Mzera</v>
      </c>
      <c r="D128" s="15" t="s">
        <v>110</v>
      </c>
      <c r="E128" s="16" t="str">
        <f>IFERROR(_xlfn.XLOOKUP(D128, tblCourses[CourseID], tblCourses[CourseName], ""), "")</f>
        <v>Electrical Wiring Interconnection System Target Groups 1 &amp; 2 (Initial)</v>
      </c>
      <c r="F128" s="17">
        <v>45805</v>
      </c>
      <c r="G128" s="17" t="str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" s="15" t="str">
        <f ca="1">IF(OR(tblTraining[[#This Row],[Status]]="Renewed",tblTraining[[#This Row],[NextDueDate]]=""),"",tblTraining[[#This Row],[NextDueDate]]-TODAY())</f>
        <v/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93</v>
      </c>
      <c r="C129" s="15" t="str" cm="1">
        <f t="array" ref="C129">IFERROR(_xlfn.XLOOKUP(B129, tblPeople[PersonID], tblPeople[PersonName], ""), "")</f>
        <v>Stephen Tunje</v>
      </c>
      <c r="D129" s="15" t="s">
        <v>76</v>
      </c>
      <c r="E129" s="16" t="str">
        <f>IFERROR(_xlfn.XLOOKUP(D129, tblCourses[CourseID], tblCourses[CourseName], ""), "")</f>
        <v>Fuel Tank Safety Phase 1 &amp; 2 Course (Initial)</v>
      </c>
      <c r="F129" s="17">
        <v>45498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91</v>
      </c>
      <c r="C130" s="15" t="str" cm="1">
        <f t="array" ref="C130">IFERROR(_xlfn.XLOOKUP(B130, tblPeople[PersonID], tblPeople[PersonName], ""), "")</f>
        <v>Dunstan Kwalanda</v>
      </c>
      <c r="D130" s="15" t="s">
        <v>77</v>
      </c>
      <c r="E130" s="16" t="str">
        <f>IFERROR(_xlfn.XLOOKUP(D130, tblCourses[CourseID], tblCourses[CourseName], ""), "")</f>
        <v>DHC8 -100/-200/-300 Collins Wheels &amp; Brakes Familiarization Training (Refresher)</v>
      </c>
      <c r="F130" s="17">
        <v>45637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0" s="15">
        <f ca="1">IF(OR(tblTraining[[#This Row],[Status]]="Renewed",tblTraining[[#This Row],[NextDueDate]]=""),"",tblTraining[[#This Row],[NextDueDate]]-TODAY())</f>
        <v>81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" spans="1:9" x14ac:dyDescent="0.25">
      <c r="A131" s="15">
        <f t="shared" si="1"/>
        <v>130</v>
      </c>
      <c r="B131" s="15" t="s">
        <v>135</v>
      </c>
      <c r="C131" s="15" t="str" cm="1">
        <f t="array" ref="C131">IFERROR(_xlfn.XLOOKUP(B131, tblPeople[PersonID], tblPeople[PersonName], ""), "")</f>
        <v>Francis Muriuki</v>
      </c>
      <c r="D131" s="15" t="s">
        <v>28</v>
      </c>
      <c r="E131" s="16" t="str">
        <f>IFERROR(_xlfn.XLOOKUP(D131, tblCourses[CourseID], tblCourses[CourseName], ""), "")</f>
        <v>DHC-8 100/200/300 with PWC 120/120A/121/123B/C/D/E Series Engines(Refresher)</v>
      </c>
      <c r="F131" s="17">
        <v>45216</v>
      </c>
      <c r="G131" s="17" t="str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" s="15" t="str">
        <f ca="1">IF(OR(tblTraining[[#This Row],[Status]]="Renewed",tblTraining[[#This Row],[NextDueDate]]=""),"",tblTraining[[#This Row],[NextDueDate]]-TODAY())</f>
        <v/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" spans="1:9" x14ac:dyDescent="0.25">
      <c r="A132" s="15">
        <f t="shared" ref="A132:A195" si="2">A131+1</f>
        <v>131</v>
      </c>
      <c r="B132" s="15" t="s">
        <v>105</v>
      </c>
      <c r="C132" s="15" t="str" cm="1">
        <f t="array" ref="C132">IFERROR(_xlfn.XLOOKUP(B132, tblPeople[PersonID], tblPeople[PersonName], ""), "")</f>
        <v>Fred Magotsi</v>
      </c>
      <c r="D132" s="15" t="s">
        <v>75</v>
      </c>
      <c r="E132" s="16" t="str">
        <f>IFERROR(_xlfn.XLOOKUP(D132, tblCourses[CourseID], tblCourses[CourseName], ""), "")</f>
        <v>Fuel Tank Safety Phase 1 &amp; 2 Course (Refresher)</v>
      </c>
      <c r="F132" s="17">
        <v>45417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" spans="1:9" x14ac:dyDescent="0.25">
      <c r="A133" s="15">
        <f t="shared" si="2"/>
        <v>132</v>
      </c>
      <c r="B133" s="15" t="s">
        <v>162</v>
      </c>
      <c r="C133" s="15" t="str" cm="1">
        <f t="array" ref="C133">IFERROR(_xlfn.XLOOKUP(B133, tblPeople[PersonID], tblPeople[PersonName], ""), "")</f>
        <v>Hannah Wambui</v>
      </c>
      <c r="D133" s="15" t="s">
        <v>30</v>
      </c>
      <c r="E133" s="16" t="str">
        <f>IFERROR(_xlfn.XLOOKUP(D133, tblCourses[CourseID], tblCourses[CourseName], ""), "")</f>
        <v>Dangerous Goods Regulations (CBTA 7.3) (Refresher)</v>
      </c>
      <c r="F133" s="17">
        <v>44400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107</v>
      </c>
      <c r="C134" s="15" t="str" cm="1">
        <f t="array" ref="C134">IFERROR(_xlfn.XLOOKUP(B134, tblPeople[PersonID], tblPeople[PersonName], ""), "")</f>
        <v>Julius Nyawira</v>
      </c>
      <c r="D134" s="15" t="s">
        <v>125</v>
      </c>
      <c r="E134" s="16" t="str">
        <f>IFERROR(_xlfn.XLOOKUP(D134, tblCourses[CourseID], tblCourses[CourseName], ""), "")</f>
        <v>Aviation Security (Refresher)</v>
      </c>
      <c r="F134" s="17">
        <v>45716</v>
      </c>
      <c r="G134" s="17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34" s="15">
        <f ca="1">IF(OR(tblTraining[[#This Row],[Status]]="Renewed",tblTraining[[#This Row],[NextDueDate]]=""),"",tblTraining[[#This Row],[NextDueDate]]-TODAY())</f>
        <v>160</v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" spans="1:9" x14ac:dyDescent="0.25">
      <c r="A135" s="15">
        <f t="shared" si="2"/>
        <v>134</v>
      </c>
      <c r="B135" s="15" t="s">
        <v>101</v>
      </c>
      <c r="C135" s="15" t="str" cm="1">
        <f t="array" ref="C135">IFERROR(_xlfn.XLOOKUP(B135, tblPeople[PersonID], tblPeople[PersonName], ""), "")</f>
        <v>Paul Mzera</v>
      </c>
      <c r="D135" s="15" t="s">
        <v>109</v>
      </c>
      <c r="E135" s="16" t="str">
        <f>IFERROR(_xlfn.XLOOKUP(D135, tblCourses[CourseID], tblCourses[CourseName], ""), "")</f>
        <v>Electrical Wiring Interconnection System Target Groups 1 &amp; 2 (Refresher)</v>
      </c>
      <c r="F135" s="17">
        <v>45805</v>
      </c>
      <c r="G135" s="17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35" s="15">
        <f ca="1">IF(OR(tblTraining[[#This Row],[Status]]="Renewed",tblTraining[[#This Row],[NextDueDate]]=""),"",tblTraining[[#This Row],[NextDueDate]]-TODAY())</f>
        <v>249</v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93</v>
      </c>
      <c r="C136" s="15" t="str" cm="1">
        <f t="array" ref="C136">IFERROR(_xlfn.XLOOKUP(B136, tblPeople[PersonID], tblPeople[PersonName], ""), "")</f>
        <v>Stephen Tunje</v>
      </c>
      <c r="D136" s="15" t="s">
        <v>75</v>
      </c>
      <c r="E136" s="16" t="str">
        <f>IFERROR(_xlfn.XLOOKUP(D136, tblCourses[CourseID], tblCourses[CourseName], ""), "")</f>
        <v>Fuel Tank Safety Phase 1 &amp; 2 Course (Refresher)</v>
      </c>
      <c r="F136" s="17">
        <v>45498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7" spans="1:9" x14ac:dyDescent="0.25">
      <c r="A137" s="15">
        <f t="shared" si="2"/>
        <v>136</v>
      </c>
      <c r="B137" s="15" t="s">
        <v>91</v>
      </c>
      <c r="C137" s="15" t="str" cm="1">
        <f t="array" ref="C137">IFERROR(_xlfn.XLOOKUP(B137, tblPeople[PersonID], tblPeople[PersonName], ""), "")</f>
        <v>Dunstan Kwalanda</v>
      </c>
      <c r="D137" s="15" t="s">
        <v>20</v>
      </c>
      <c r="E137" s="16" t="str">
        <f>IFERROR(_xlfn.XLOOKUP(D137, tblCourses[CourseID], tblCourses[CourseName], ""), "")</f>
        <v>Safety Management Systems (Initial)</v>
      </c>
      <c r="F137" s="17">
        <v>45379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135</v>
      </c>
      <c r="C138" s="15" t="str" cm="1">
        <f t="array" ref="C138">IFERROR(_xlfn.XLOOKUP(B138, tblPeople[PersonID], tblPeople[PersonName], ""), "")</f>
        <v>Francis Muriuki</v>
      </c>
      <c r="D138" s="15" t="s">
        <v>198</v>
      </c>
      <c r="E138" s="16" t="str">
        <f>IFERROR(_xlfn.XLOOKUP(D138, tblCourses[CourseID], tblCourses[CourseName], ""), "")</f>
        <v>Maintenance Procedures &amp; Standard Maintenance Practices (Refresher)</v>
      </c>
      <c r="F138" s="17">
        <v>45322</v>
      </c>
      <c r="G138" s="17" t="str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" s="15" t="str">
        <f ca="1">IF(OR(tblTraining[[#This Row],[Status]]="Renewed",tblTraining[[#This Row],[NextDueDate]]=""),"",tblTraining[[#This Row],[NextDueDate]]-TODAY())</f>
        <v/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9" spans="1:9" x14ac:dyDescent="0.25">
      <c r="A139" s="15">
        <f t="shared" si="2"/>
        <v>138</v>
      </c>
      <c r="B139" s="15" t="s">
        <v>105</v>
      </c>
      <c r="C139" s="15" t="str" cm="1">
        <f t="array" ref="C139">IFERROR(_xlfn.XLOOKUP(B139, tblPeople[PersonID], tblPeople[PersonName], ""), "")</f>
        <v>Fred Magotsi</v>
      </c>
      <c r="D139" s="15" t="s">
        <v>22</v>
      </c>
      <c r="E139" s="16" t="str">
        <f>IFERROR(_xlfn.XLOOKUP(D139, tblCourses[CourseID], tblCourses[CourseName], ""), "")</f>
        <v>Human Factors in Aviation (Refresher)</v>
      </c>
      <c r="F139" s="17">
        <v>45118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162</v>
      </c>
      <c r="C140" s="15" t="str" cm="1">
        <f t="array" ref="C140">IFERROR(_xlfn.XLOOKUP(B140, tblPeople[PersonID], tblPeople[PersonName], ""), "")</f>
        <v>Hannah Wambui</v>
      </c>
      <c r="D140" s="15" t="s">
        <v>17</v>
      </c>
      <c r="E140" s="16" t="str">
        <f>IFERROR(_xlfn.XLOOKUP(D140, tblCourses[CourseID], tblCourses[CourseName], ""), "")</f>
        <v>Safety Management Systems (Refresher)</v>
      </c>
      <c r="F140" s="17">
        <v>45195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107</v>
      </c>
      <c r="C141" s="15" t="str" cm="1">
        <f t="array" ref="C141">IFERROR(_xlfn.XLOOKUP(B141, tblPeople[PersonID], tblPeople[PersonName], ""), "")</f>
        <v>Julius Nyawira</v>
      </c>
      <c r="D141" s="15" t="s">
        <v>32</v>
      </c>
      <c r="E141" s="16" t="str">
        <f>IFERROR(_xlfn.XLOOKUP(D141, tblCourses[CourseID], tblCourses[CourseName], ""), "")</f>
        <v>Dangerous Goods Regulations (CBTA 7.3) (Initial)</v>
      </c>
      <c r="F141" s="17">
        <v>44109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" spans="1:9" x14ac:dyDescent="0.25">
      <c r="A142" s="15">
        <f t="shared" si="2"/>
        <v>141</v>
      </c>
      <c r="B142" s="15" t="s">
        <v>101</v>
      </c>
      <c r="C142" s="15" t="str" cm="1">
        <f t="array" ref="C142">IFERROR(_xlfn.XLOOKUP(B142, tblPeople[PersonID], tblPeople[PersonName], ""), "")</f>
        <v>Paul Mzera</v>
      </c>
      <c r="D142" s="15" t="s">
        <v>76</v>
      </c>
      <c r="E142" s="16" t="str">
        <f>IFERROR(_xlfn.XLOOKUP(D142, tblCourses[CourseID], tblCourses[CourseName], ""), "")</f>
        <v>Fuel Tank Safety Phase 1 &amp; 2 Course (Initial)</v>
      </c>
      <c r="F142" s="17">
        <v>45402</v>
      </c>
      <c r="G142" s="17" t="str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" s="15" t="str">
        <f ca="1">IF(OR(tblTraining[[#This Row],[Status]]="Renewed",tblTraining[[#This Row],[NextDueDate]]=""),"",tblTraining[[#This Row],[NextDueDate]]-TODAY())</f>
        <v/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93</v>
      </c>
      <c r="C143" s="15" t="str" cm="1">
        <f t="array" ref="C143">IFERROR(_xlfn.XLOOKUP(B143, tblPeople[PersonID], tblPeople[PersonName], ""), "")</f>
        <v>Stephen Tunje</v>
      </c>
      <c r="D143" s="15" t="s">
        <v>124</v>
      </c>
      <c r="E143" s="16" t="str">
        <f>IFERROR(_xlfn.XLOOKUP(D143, tblCourses[CourseID], tblCourses[CourseName], ""), "")</f>
        <v>Aviation Security (Initial)</v>
      </c>
      <c r="F143" s="17">
        <v>45716</v>
      </c>
      <c r="G143" s="17" t="str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" s="15" t="str">
        <f ca="1">IF(OR(tblTraining[[#This Row],[Status]]="Renewed",tblTraining[[#This Row],[NextDueDate]]=""),"",tblTraining[[#This Row],[NextDueDate]]-TODAY())</f>
        <v/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91</v>
      </c>
      <c r="C144" s="15" t="str" cm="1">
        <f t="array" ref="C144">IFERROR(_xlfn.XLOOKUP(B144, tblPeople[PersonID], tblPeople[PersonName], ""), "")</f>
        <v>Dunstan Kwalanda</v>
      </c>
      <c r="D144" s="15" t="s">
        <v>30</v>
      </c>
      <c r="E144" s="16" t="str">
        <f>IFERROR(_xlfn.XLOOKUP(D144, tblCourses[CourseID], tblCourses[CourseName], ""), "")</f>
        <v>Dangerous Goods Regulations (CBTA 7.3) (Refresher)</v>
      </c>
      <c r="F144" s="17">
        <v>45427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135</v>
      </c>
      <c r="C145" s="15" t="str" cm="1">
        <f t="array" ref="C145">IFERROR(_xlfn.XLOOKUP(B145, tblPeople[PersonID], tblPeople[PersonName], ""), "")</f>
        <v>Francis Muriuki</v>
      </c>
      <c r="D145" s="15" t="s">
        <v>75</v>
      </c>
      <c r="E145" s="16" t="str">
        <f>IFERROR(_xlfn.XLOOKUP(D145, tblCourses[CourseID], tblCourses[CourseName], ""), "")</f>
        <v>Fuel Tank Safety Phase 1 &amp; 2 Course (Refresher)</v>
      </c>
      <c r="F145" s="17">
        <v>45392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6" spans="1:9" x14ac:dyDescent="0.25">
      <c r="A146" s="15">
        <f t="shared" si="2"/>
        <v>145</v>
      </c>
      <c r="B146" s="15" t="s">
        <v>105</v>
      </c>
      <c r="C146" s="15" t="str" cm="1">
        <f t="array" ref="C146">IFERROR(_xlfn.XLOOKUP(B146, tblPeople[PersonID], tblPeople[PersonName], ""), "")</f>
        <v>Fred Magotsi</v>
      </c>
      <c r="D146" s="15" t="s">
        <v>17</v>
      </c>
      <c r="E146" s="16" t="str">
        <f>IFERROR(_xlfn.XLOOKUP(D146, tblCourses[CourseID], tblCourses[CourseName], ""), "")</f>
        <v>Safety Management Systems (Refresher)</v>
      </c>
      <c r="F146" s="17">
        <v>45114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162</v>
      </c>
      <c r="C147" s="15" t="str" cm="1">
        <f t="array" ref="C147">IFERROR(_xlfn.XLOOKUP(B147, tblPeople[PersonID], tblPeople[PersonName], ""), "")</f>
        <v>Hannah Wambui</v>
      </c>
      <c r="D147" s="15" t="s">
        <v>30</v>
      </c>
      <c r="E147" s="16" t="str">
        <f>IFERROR(_xlfn.XLOOKUP(D147, tblCourses[CourseID], tblCourses[CourseName], ""), "")</f>
        <v>Dangerous Goods Regulations (CBTA 7.3) (Refresher)</v>
      </c>
      <c r="F147" s="17">
        <v>45503</v>
      </c>
      <c r="G147" s="17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47" s="15">
        <f ca="1">IF(OR(tblTraining[[#This Row],[Status]]="Renewed",tblTraining[[#This Row],[NextDueDate]]=""),"",tblTraining[[#This Row],[NextDueDate]]-TODAY())</f>
        <v>-53</v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48" spans="1:9" x14ac:dyDescent="0.25">
      <c r="A148" s="15">
        <f t="shared" si="2"/>
        <v>147</v>
      </c>
      <c r="B148" s="15" t="s">
        <v>107</v>
      </c>
      <c r="C148" s="15" t="str" cm="1">
        <f t="array" ref="C148">IFERROR(_xlfn.XLOOKUP(B148, tblPeople[PersonID], tblPeople[PersonName], ""), "")</f>
        <v>Julius Nyawira</v>
      </c>
      <c r="D148" s="15" t="s">
        <v>22</v>
      </c>
      <c r="E148" s="16" t="str">
        <f>IFERROR(_xlfn.XLOOKUP(D148, tblCourses[CourseID], tblCourses[CourseName], ""), "")</f>
        <v>Human Factors in Aviation (Refresher)</v>
      </c>
      <c r="F148" s="17">
        <v>45215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101</v>
      </c>
      <c r="C149" s="15" t="str" cm="1">
        <f t="array" ref="C149">IFERROR(_xlfn.XLOOKUP(B149, tblPeople[PersonID], tblPeople[PersonName], ""), "")</f>
        <v>Paul Mzera</v>
      </c>
      <c r="D149" s="15" t="s">
        <v>75</v>
      </c>
      <c r="E149" s="16" t="str">
        <f>IFERROR(_xlfn.XLOOKUP(D149, tblCourses[CourseID], tblCourses[CourseName], ""), "")</f>
        <v>Fuel Tank Safety Phase 1 &amp; 2 Course (Refresher)</v>
      </c>
      <c r="F149" s="17">
        <v>45402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" spans="1:9" x14ac:dyDescent="0.25">
      <c r="A150" s="15">
        <f t="shared" si="2"/>
        <v>149</v>
      </c>
      <c r="B150" s="15" t="s">
        <v>93</v>
      </c>
      <c r="C150" s="15" t="str" cm="1">
        <f t="array" ref="C150">IFERROR(_xlfn.XLOOKUP(B150, tblPeople[PersonID], tblPeople[PersonName], ""), "")</f>
        <v>Stephen Tunje</v>
      </c>
      <c r="D150" s="15" t="s">
        <v>125</v>
      </c>
      <c r="E150" s="16" t="str">
        <f>IFERROR(_xlfn.XLOOKUP(D150, tblCourses[CourseID], tblCourses[CourseName], ""), "")</f>
        <v>Aviation Security (Refresher)</v>
      </c>
      <c r="F150" s="17">
        <v>45716</v>
      </c>
      <c r="G150" s="17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0" s="15">
        <f ca="1">IF(OR(tblTraining[[#This Row],[Status]]="Renewed",tblTraining[[#This Row],[NextDueDate]]=""),"",tblTraining[[#This Row],[NextDueDate]]-TODAY())</f>
        <v>160</v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91</v>
      </c>
      <c r="C151" s="15" t="str" cm="1">
        <f t="array" ref="C151">IFERROR(_xlfn.XLOOKUP(B151, tblPeople[PersonID], tblPeople[PersonName], ""), "")</f>
        <v>Dunstan Kwalanda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135</v>
      </c>
      <c r="C152" s="15" t="str" cm="1">
        <f t="array" ref="C152">IFERROR(_xlfn.XLOOKUP(B152, tblPeople[PersonID], tblPeople[PersonName], ""), "")</f>
        <v>Francis Muriuki</v>
      </c>
      <c r="D152" s="15" t="s">
        <v>22</v>
      </c>
      <c r="E152" s="16" t="str">
        <f>IFERROR(_xlfn.XLOOKUP(D152, tblCourses[CourseID], tblCourses[CourseName], ""), "")</f>
        <v>Human Factors in Aviation (Refresher)</v>
      </c>
      <c r="F152" s="17">
        <v>45341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105</v>
      </c>
      <c r="C153" s="15" t="str" cm="1">
        <f t="array" ref="C153">IFERROR(_xlfn.XLOOKUP(B153, tblPeople[PersonID], tblPeople[PersonName], ""), "")</f>
        <v>Fred Magotsi</v>
      </c>
      <c r="D153" s="15" t="s">
        <v>198</v>
      </c>
      <c r="E153" s="16" t="str">
        <f>IFERROR(_xlfn.XLOOKUP(D153, tblCourses[CourseID], tblCourses[CourseName], ""), "")</f>
        <v>Maintenance Procedures &amp; Standard Maintenance Practices (Refresher)</v>
      </c>
      <c r="F153" s="17">
        <v>45328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162</v>
      </c>
      <c r="C154" s="15" t="str" cm="1">
        <f t="array" ref="C154">IFERROR(_xlfn.XLOOKUP(B154, tblPeople[PersonID], tblPeople[PersonName], ""), "")</f>
        <v>Hannah Wambui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45910</v>
      </c>
      <c r="G154" s="17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4" s="15">
        <f ca="1">IF(OR(tblTraining[[#This Row],[Status]]="Renewed",tblTraining[[#This Row],[NextDueDate]]=""),"",tblTraining[[#This Row],[NextDueDate]]-TODAY())</f>
        <v>354</v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5" spans="1:9" x14ac:dyDescent="0.25">
      <c r="A155" s="15">
        <f t="shared" si="2"/>
        <v>154</v>
      </c>
      <c r="B155" s="15" t="s">
        <v>106</v>
      </c>
      <c r="C155" s="15" t="str" cm="1">
        <f t="array" ref="C155">IFERROR(_xlfn.XLOOKUP(B155, tblPeople[PersonID], tblPeople[PersonName], ""), "")</f>
        <v>James Mugo</v>
      </c>
      <c r="D155" s="15" t="s">
        <v>132</v>
      </c>
      <c r="E155" s="16" t="str">
        <f>IFERROR(_xlfn.XLOOKUP(D155, tblCourses[CourseID], tblCourses[CourseName], ""), "")</f>
        <v>Marshalling Techniques Course</v>
      </c>
      <c r="F155" s="17">
        <v>45470</v>
      </c>
      <c r="G155" s="17" t="str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5" s="15" t="str">
        <f ca="1">IF(OR(tblTraining[[#This Row],[Status]]="Renewed",tblTraining[[#This Row],[NextDueDate]]=""),"",tblTraining[[#This Row],[NextDueDate]]-TODAY())</f>
        <v/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6" spans="1:9" x14ac:dyDescent="0.25">
      <c r="A156" s="15">
        <f t="shared" si="2"/>
        <v>155</v>
      </c>
      <c r="B156" s="15" t="s">
        <v>101</v>
      </c>
      <c r="C156" s="15" t="str" cm="1">
        <f t="array" ref="C156">IFERROR(_xlfn.XLOOKUP(B156, tblPeople[PersonID], tblPeople[PersonName], ""), "")</f>
        <v>Paul Mzera</v>
      </c>
      <c r="D156" s="15" t="s">
        <v>28</v>
      </c>
      <c r="E156" s="16" t="str">
        <f>IFERROR(_xlfn.XLOOKUP(D156, tblCourses[CourseID], tblCourses[CourseName], ""), "")</f>
        <v>DHC-8 100/200/300 with PWC 120/120A/121/123B/C/D/E Series Engines(Refresher)</v>
      </c>
      <c r="F156" s="17">
        <v>45583</v>
      </c>
      <c r="G156" s="17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56" s="15">
        <f ca="1">IF(OR(tblTraining[[#This Row],[Status]]="Renewed",tblTraining[[#This Row],[NextDueDate]]=""),"",tblTraining[[#This Row],[NextDueDate]]-TODAY())</f>
        <v>27</v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57" spans="1:9" x14ac:dyDescent="0.25">
      <c r="A157" s="15">
        <f t="shared" si="2"/>
        <v>156</v>
      </c>
      <c r="B157" s="15" t="s">
        <v>93</v>
      </c>
      <c r="C157" s="15" t="str" cm="1">
        <f t="array" ref="C157">IFERROR(_xlfn.XLOOKUP(B157, tblPeople[PersonID], tblPeople[PersonName], ""), "")</f>
        <v>Stephen Tunje</v>
      </c>
      <c r="D157" s="15" t="s">
        <v>20</v>
      </c>
      <c r="E157" s="16" t="str">
        <f>IFERROR(_xlfn.XLOOKUP(D157, tblCourses[CourseID], tblCourses[CourseName], ""), "")</f>
        <v>Safety Management Systems (Initial)</v>
      </c>
      <c r="F157" s="17">
        <v>45379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8" spans="1:9" x14ac:dyDescent="0.25">
      <c r="A158" s="15">
        <f t="shared" si="2"/>
        <v>157</v>
      </c>
      <c r="B158" s="15" t="s">
        <v>91</v>
      </c>
      <c r="C158" s="15" t="str" cm="1">
        <f t="array" ref="C158">IFERROR(_xlfn.XLOOKUP(B158, tblPeople[PersonID], tblPeople[PersonName], ""), "")</f>
        <v>Dunstan Kwalanda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160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135</v>
      </c>
      <c r="C159" s="15" t="str" cm="1">
        <f t="array" ref="C159">IFERROR(_xlfn.XLOOKUP(B159, tblPeople[PersonID], tblPeople[PersonName], ""), "")</f>
        <v>Francis Muriuki</v>
      </c>
      <c r="D159" s="15" t="s">
        <v>17</v>
      </c>
      <c r="E159" s="16" t="str">
        <f>IFERROR(_xlfn.XLOOKUP(D159, tblCourses[CourseID], tblCourses[CourseName], ""), "")</f>
        <v>Safety Management Systems (Refresher)</v>
      </c>
      <c r="F159" s="17">
        <v>45195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0" spans="1:9" x14ac:dyDescent="0.25">
      <c r="A160" s="15">
        <f t="shared" si="2"/>
        <v>159</v>
      </c>
      <c r="B160" s="15" t="s">
        <v>105</v>
      </c>
      <c r="C160" s="15" t="str" cm="1">
        <f t="array" ref="C160">IFERROR(_xlfn.XLOOKUP(B160, tblPeople[PersonID], tblPeople[PersonName], ""), "")</f>
        <v>Fred Magotsi</v>
      </c>
      <c r="D160" s="15" t="s">
        <v>78</v>
      </c>
      <c r="E160" s="16" t="str">
        <f>IFERROR(_xlfn.XLOOKUP(D160, tblCourses[CourseID], tblCourses[CourseName], ""), "")</f>
        <v>DHC8 -100/-200/-300 Collins Wheels &amp; Brakes Familiarization Training (Initial)</v>
      </c>
      <c r="F160" s="17">
        <v>42249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1" spans="1:9" x14ac:dyDescent="0.25">
      <c r="A161" s="15">
        <f t="shared" si="2"/>
        <v>160</v>
      </c>
      <c r="B161" s="15" t="s">
        <v>162</v>
      </c>
      <c r="C161" s="15" t="str" cm="1">
        <f t="array" ref="C161">IFERROR(_xlfn.XLOOKUP(B161, tblPeople[PersonID], tblPeople[PersonName], ""), "")</f>
        <v>Hannah Wambui</v>
      </c>
      <c r="D161" s="15" t="s">
        <v>33</v>
      </c>
      <c r="E161" s="16" t="str">
        <f>IFERROR(_xlfn.XLOOKUP(D161, tblCourses[CourseID], tblCourses[CourseName], ""), "")</f>
        <v>Audit Techniques</v>
      </c>
      <c r="F161" s="17">
        <v>45882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2" spans="1:9" x14ac:dyDescent="0.25">
      <c r="A162" s="15">
        <f t="shared" si="2"/>
        <v>161</v>
      </c>
      <c r="B162" s="15" t="s">
        <v>106</v>
      </c>
      <c r="C162" s="15" t="str" cm="1">
        <f t="array" ref="C162">IFERROR(_xlfn.XLOOKUP(B162, tblPeople[PersonID], tblPeople[PersonName], ""), "")</f>
        <v>James Mugo</v>
      </c>
      <c r="D162" s="15" t="s">
        <v>77</v>
      </c>
      <c r="E162" s="16" t="str">
        <f>IFERROR(_xlfn.XLOOKUP(D162, tblCourses[CourseID], tblCourses[CourseName], ""), "")</f>
        <v>DHC8 -100/-200/-300 Collins Wheels &amp; Brakes Familiarization Training (Refresher)</v>
      </c>
      <c r="F162" s="17">
        <v>45637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62" s="15">
        <f ca="1">IF(OR(tblTraining[[#This Row],[Status]]="Renewed",tblTraining[[#This Row],[NextDueDate]]=""),"",tblTraining[[#This Row],[NextDueDate]]-TODAY())</f>
        <v>81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93</v>
      </c>
      <c r="C163" s="15" t="str" cm="1">
        <f t="array" ref="C163">IFERROR(_xlfn.XLOOKUP(B163, tblPeople[PersonID], tblPeople[PersonName], ""), "")</f>
        <v>Stephen Tunje</v>
      </c>
      <c r="D163" s="15" t="s">
        <v>17</v>
      </c>
      <c r="E163" s="16" t="str">
        <f>IFERROR(_xlfn.XLOOKUP(D163, tblCourses[CourseID], tblCourses[CourseName], ""), "")</f>
        <v>Safety Management Systems (Refresher)</v>
      </c>
      <c r="F163" s="17">
        <v>45379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4" spans="1:9" x14ac:dyDescent="0.25">
      <c r="A164" s="15">
        <f t="shared" si="2"/>
        <v>163</v>
      </c>
      <c r="B164" s="15" t="s">
        <v>91</v>
      </c>
      <c r="C164" s="15" t="str" cm="1">
        <f t="array" ref="C164">IFERROR(_xlfn.XLOOKUP(B164, tblPeople[PersonID], tblPeople[PersonName], ""), "")</f>
        <v>Dunstan Kwalanda</v>
      </c>
      <c r="D164" s="15" t="s">
        <v>24</v>
      </c>
      <c r="E164" s="16" t="str">
        <f>IFERROR(_xlfn.XLOOKUP(D164, tblCourses[CourseID], tblCourses[CourseName], ""), "")</f>
        <v>Human Factors in Aviation (Initial)</v>
      </c>
      <c r="F164" s="17">
        <v>45212</v>
      </c>
      <c r="G164" s="17" t="str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4" s="15" t="str">
        <f ca="1">IF(OR(tblTraining[[#This Row],[Status]]="Renewed",tblTraining[[#This Row],[NextDueDate]]=""),"",tblTraining[[#This Row],[NextDueDate]]-TODAY())</f>
        <v/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5" spans="1:9" x14ac:dyDescent="0.25">
      <c r="A165" s="15">
        <f t="shared" si="2"/>
        <v>164</v>
      </c>
      <c r="B165" s="15" t="s">
        <v>135</v>
      </c>
      <c r="C165" s="15" t="str" cm="1">
        <f t="array" ref="C165">IFERROR(_xlfn.XLOOKUP(B165, tblPeople[PersonID], tblPeople[PersonName], ""), "")</f>
        <v>Francis Muriuki</v>
      </c>
      <c r="D165" s="15" t="s">
        <v>221</v>
      </c>
      <c r="E165" s="16" t="str">
        <f>IFERROR(_xlfn.XLOOKUP(D165, tblCourses[CourseID], tblCourses[CourseName], ""), "")</f>
        <v>Core Instructional Technique (Initial)</v>
      </c>
      <c r="F165" s="17">
        <v>45597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105</v>
      </c>
      <c r="C166" s="15" t="str" cm="1">
        <f t="array" ref="C166">IFERROR(_xlfn.XLOOKUP(B166, tblPeople[PersonID], tblPeople[PersonName], ""), "")</f>
        <v>Fred Magotsi</v>
      </c>
      <c r="D166" s="15" t="s">
        <v>17</v>
      </c>
      <c r="E166" s="16" t="str">
        <f>IFERROR(_xlfn.XLOOKUP(D166, tblCourses[CourseID], tblCourses[CourseName], ""), "")</f>
        <v>Safety Management Systems (Refresher)</v>
      </c>
      <c r="F166" s="17">
        <v>45895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66" s="15">
        <f ca="1">IF(OR(tblTraining[[#This Row],[Status]]="Renewed",tblTraining[[#This Row],[NextDueDate]]=""),"",tblTraining[[#This Row],[NextDueDate]]-TODAY())</f>
        <v>339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149</v>
      </c>
      <c r="C167" s="15" t="str" cm="1">
        <f t="array" ref="C167">IFERROR(_xlfn.XLOOKUP(B167, tblPeople[PersonID], tblPeople[PersonName], ""), "")</f>
        <v>Kea Kazungu</v>
      </c>
      <c r="D167" s="15" t="s">
        <v>126</v>
      </c>
      <c r="E167" s="16" t="str">
        <f>IFERROR(_xlfn.XLOOKUP(D167, tblCourses[CourseID], tblCourses[CourseName], ""), "")</f>
        <v>Maintenance Indoctrination</v>
      </c>
      <c r="F167" s="17">
        <v>43444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8" spans="1:9" x14ac:dyDescent="0.25">
      <c r="A168" s="15">
        <f t="shared" si="2"/>
        <v>167</v>
      </c>
      <c r="B168" s="15" t="s">
        <v>101</v>
      </c>
      <c r="C168" s="15" t="str" cm="1">
        <f t="array" ref="C168">IFERROR(_xlfn.XLOOKUP(B168, tblPeople[PersonID], tblPeople[PersonName], ""), "")</f>
        <v>Paul Mzera</v>
      </c>
      <c r="D168" s="15" t="s">
        <v>178</v>
      </c>
      <c r="E168" s="16" t="str">
        <f>IFERROR(_xlfn.XLOOKUP(D168, tblCourses[CourseID], tblCourses[CourseName], ""), "")</f>
        <v>Cessna 208 Series (Caravan) With P&amp;WC PT6A-114/ -114A/ -140 Engines (Refresher)</v>
      </c>
      <c r="F168" s="17">
        <v>45574</v>
      </c>
      <c r="G168" s="17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68" s="15">
        <f ca="1">IF(OR(tblTraining[[#This Row],[Status]]="Renewed",tblTraining[[#This Row],[NextDueDate]]=""),"",tblTraining[[#This Row],[NextDueDate]]-TODAY())</f>
        <v>18</v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9" spans="1:9" x14ac:dyDescent="0.25">
      <c r="A169" s="15">
        <f t="shared" si="2"/>
        <v>168</v>
      </c>
      <c r="B169" s="15" t="s">
        <v>93</v>
      </c>
      <c r="C169" s="15" t="str" cm="1">
        <f t="array" ref="C169">IFERROR(_xlfn.XLOOKUP(B169, tblPeople[PersonID], tblPeople[PersonName], ""), "")</f>
        <v>Stephen Tunje</v>
      </c>
      <c r="D169" s="15" t="s">
        <v>24</v>
      </c>
      <c r="E169" s="16" t="str">
        <f>IFERROR(_xlfn.XLOOKUP(D169, tblCourses[CourseID], tblCourses[CourseName], ""), "")</f>
        <v>Human Factors in Aviation (Initial)</v>
      </c>
      <c r="F169" s="17">
        <v>45212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208</v>
      </c>
      <c r="C170" s="15" t="str" cm="1">
        <f t="array" ref="C170">IFERROR(_xlfn.XLOOKUP(B170, tblPeople[PersonID], tblPeople[PersonName], ""), "")</f>
        <v xml:space="preserve">Edwin Kemei </v>
      </c>
      <c r="D170" s="15" t="s">
        <v>126</v>
      </c>
      <c r="E170" s="16" t="str">
        <f>IFERROR(_xlfn.XLOOKUP(D170, tblCourses[CourseID], tblCourses[CourseName], ""), "")</f>
        <v>Maintenance Indoctrination</v>
      </c>
      <c r="F170" s="17">
        <v>43754</v>
      </c>
      <c r="G170" s="17" t="str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0" s="15" t="str">
        <f ca="1">IF(OR(tblTraining[[#This Row],[Status]]="Renewed",tblTraining[[#This Row],[NextDueDate]]=""),"",tblTraining[[#This Row],[NextDueDate]]-TODAY())</f>
        <v/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135</v>
      </c>
      <c r="C171" s="15" t="str" cm="1">
        <f t="array" ref="C171">IFERROR(_xlfn.XLOOKUP(B171, tblPeople[PersonID], tblPeople[PersonName], ""), "")</f>
        <v>Francis Muriuki</v>
      </c>
      <c r="D171" s="15" t="s">
        <v>30</v>
      </c>
      <c r="E171" s="16" t="str">
        <f>IFERROR(_xlfn.XLOOKUP(D171, tblCourses[CourseID], tblCourses[CourseName], ""), "")</f>
        <v>Dangerous Goods Regulations (CBTA 7.3) (Refresher)</v>
      </c>
      <c r="F171" s="17">
        <v>45758</v>
      </c>
      <c r="G171" s="17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1" s="15">
        <f ca="1">IF(OR(tblTraining[[#This Row],[Status]]="Renewed",tblTraining[[#This Row],[NextDueDate]]=""),"",tblTraining[[#This Row],[NextDueDate]]-TODAY())</f>
        <v>202</v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2" spans="1:9" x14ac:dyDescent="0.25">
      <c r="A172" s="15">
        <f t="shared" si="2"/>
        <v>171</v>
      </c>
      <c r="B172" s="15" t="s">
        <v>106</v>
      </c>
      <c r="C172" s="15" t="str" cm="1">
        <f t="array" ref="C172">IFERROR(_xlfn.XLOOKUP(B172, tblPeople[PersonID], tblPeople[PersonName], ""), "")</f>
        <v>James Mugo</v>
      </c>
      <c r="D172" s="15" t="s">
        <v>78</v>
      </c>
      <c r="E172" s="16" t="str">
        <f>IFERROR(_xlfn.XLOOKUP(D172, tblCourses[CourseID], tblCourses[CourseName], ""), "")</f>
        <v>DHC8 -100/-200/-300 Collins Wheels &amp; Brakes Familiarization Training (Initial)</v>
      </c>
      <c r="F172" s="18">
        <v>45637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101</v>
      </c>
      <c r="C173" s="15" t="str" cm="1">
        <f t="array" ref="C173">IFERROR(_xlfn.XLOOKUP(B173, tblPeople[PersonID], tblPeople[PersonName], ""), "")</f>
        <v>Paul Mzera</v>
      </c>
      <c r="D173" s="15" t="s">
        <v>25</v>
      </c>
      <c r="E173" s="16" t="str">
        <f>IFERROR(_xlfn.XLOOKUP(D173, tblCourses[CourseID], tblCourses[CourseName], ""), "")</f>
        <v>Pratt &amp; Whitney Canada PT6A Engine With P&amp;WC PT6A
20/ 27/ 41/ 42/ 60A/ 67D/ 112/ 114A/ 140 (Refresher)</v>
      </c>
      <c r="F173" s="17">
        <v>45352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4" spans="1:9" x14ac:dyDescent="0.25">
      <c r="A174" s="15">
        <f t="shared" si="2"/>
        <v>173</v>
      </c>
      <c r="B174" s="15" t="s">
        <v>93</v>
      </c>
      <c r="C174" s="15" t="str" cm="1">
        <f t="array" ref="C174">IFERROR(_xlfn.XLOOKUP(B174, tblPeople[PersonID], tblPeople[PersonName], ""), "")</f>
        <v>Stephen Tunje</v>
      </c>
      <c r="D174" s="15" t="s">
        <v>22</v>
      </c>
      <c r="E174" s="16" t="str">
        <f>IFERROR(_xlfn.XLOOKUP(D174, tblCourses[CourseID], tblCourses[CourseName], ""), "")</f>
        <v>Human Factors in Aviation (Refresher)</v>
      </c>
      <c r="F174" s="17">
        <v>45212</v>
      </c>
      <c r="G174" s="17" t="str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4" s="15" t="str">
        <f ca="1">IF(OR(tblTraining[[#This Row],[Status]]="Renewed",tblTraining[[#This Row],[NextDueDate]]=""),"",tblTraining[[#This Row],[NextDueDate]]-TODAY())</f>
        <v/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5" spans="1:9" x14ac:dyDescent="0.25">
      <c r="A175" s="15">
        <f t="shared" si="2"/>
        <v>174</v>
      </c>
      <c r="B175" s="15" t="s">
        <v>208</v>
      </c>
      <c r="C175" s="15" t="str" cm="1">
        <f t="array" ref="C175">IFERROR(_xlfn.XLOOKUP(B175, tblPeople[PersonID], tblPeople[PersonName], ""), "")</f>
        <v xml:space="preserve">Edwin Kemei </v>
      </c>
      <c r="D175" s="15" t="s">
        <v>17</v>
      </c>
      <c r="E175" s="16" t="str">
        <f>IFERROR(_xlfn.XLOOKUP(D175, tblCourses[CourseID], tblCourses[CourseName], ""), "")</f>
        <v>Safety Management Systems (Refresher)</v>
      </c>
      <c r="F175" s="17">
        <v>45695</v>
      </c>
      <c r="G175" s="17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75" s="15">
        <f ca="1">IF(OR(tblTraining[[#This Row],[Status]]="Renewed",tblTraining[[#This Row],[NextDueDate]]=""),"",tblTraining[[#This Row],[NextDueDate]]-TODAY())</f>
        <v>139</v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135</v>
      </c>
      <c r="C176" s="15" t="str" cm="1">
        <f t="array" ref="C176">IFERROR(_xlfn.XLOOKUP(B176, tblPeople[PersonID], tblPeople[PersonName], ""), "")</f>
        <v>Francis Muriuki</v>
      </c>
      <c r="D176" s="15" t="s">
        <v>181</v>
      </c>
      <c r="E176" s="16" t="str">
        <f>IFERROR(_xlfn.XLOOKUP(D176, tblCourses[CourseID], tblCourses[CourseName], ""), "")</f>
        <v>Leadership &amp; Management</v>
      </c>
      <c r="F176" s="17">
        <v>44659</v>
      </c>
      <c r="G176" s="17" t="str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6" s="15" t="str">
        <f ca="1">IF(OR(tblTraining[[#This Row],[Status]]="Renewed",tblTraining[[#This Row],[NextDueDate]]=""),"",tblTraining[[#This Row],[NextDueDate]]-TODAY())</f>
        <v/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7" spans="1:9" x14ac:dyDescent="0.25">
      <c r="A177" s="15">
        <f t="shared" si="2"/>
        <v>176</v>
      </c>
      <c r="B177" s="15" t="s">
        <v>106</v>
      </c>
      <c r="C177" s="15" t="str" cm="1">
        <f t="array" ref="C177">IFERROR(_xlfn.XLOOKUP(B177, tblPeople[PersonID], tblPeople[PersonName], ""), "")</f>
        <v>James Mugo</v>
      </c>
      <c r="D177" s="15" t="s">
        <v>17</v>
      </c>
      <c r="E177" s="16" t="str">
        <f>IFERROR(_xlfn.XLOOKUP(D177, tblCourses[CourseID], tblCourses[CourseName], ""), "")</f>
        <v>Safety Management Systems (Refresher)</v>
      </c>
      <c r="F177" s="18">
        <v>45895</v>
      </c>
      <c r="G177" s="17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7" s="15">
        <f ca="1">IF(OR(tblTraining[[#This Row],[Status]]="Renewed",tblTraining[[#This Row],[NextDueDate]]=""),"",tblTraining[[#This Row],[NextDueDate]]-TODAY())</f>
        <v>339</v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149</v>
      </c>
      <c r="C178" s="15" t="str" cm="1">
        <f t="array" ref="C178">IFERROR(_xlfn.XLOOKUP(B178, tblPeople[PersonID], tblPeople[PersonName], ""), "")</f>
        <v>Kea Kazungu</v>
      </c>
      <c r="D178" s="15" t="s">
        <v>168</v>
      </c>
      <c r="E178" s="16" t="str">
        <f>IFERROR(_xlfn.XLOOKUP(D178, tblCourses[CourseID], tblCourses[CourseName], ""), "")</f>
        <v>PR328: QMS ISO 9001:2015 (Lead Auditor Training)</v>
      </c>
      <c r="F178" s="17">
        <v>45792</v>
      </c>
      <c r="G178" s="17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78" s="15">
        <f ca="1">IF(OR(tblTraining[[#This Row],[Status]]="Renewed",tblTraining[[#This Row],[NextDueDate]]=""),"",tblTraining[[#This Row],[NextDueDate]]-TODAY())</f>
        <v>1332</v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101</v>
      </c>
      <c r="C179" s="15" t="str" cm="1">
        <f t="array" ref="C179">IFERROR(_xlfn.XLOOKUP(B179, tblPeople[PersonID], tblPeople[PersonName], ""), "")</f>
        <v>Paul Mzera</v>
      </c>
      <c r="D179" s="15" t="s">
        <v>17</v>
      </c>
      <c r="E179" s="16" t="str">
        <f>IFERROR(_xlfn.XLOOKUP(D179, tblCourses[CourseID], tblCourses[CourseName], ""), "")</f>
        <v>Safety Management Systems (Refresher)</v>
      </c>
      <c r="F179" s="17">
        <v>45750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79" s="15">
        <f ca="1">IF(OR(tblTraining[[#This Row],[Status]]="Renewed",tblTraining[[#This Row],[NextDueDate]]=""),"",tblTraining[[#This Row],[NextDueDate]]-TODAY())</f>
        <v>194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93</v>
      </c>
      <c r="C180" s="15" t="str" cm="1">
        <f t="array" ref="C180">IFERROR(_xlfn.XLOOKUP(B180, tblPeople[PersonID], tblPeople[PersonName], ""), "")</f>
        <v>Stephen Tunje</v>
      </c>
      <c r="D180" s="15" t="s">
        <v>138</v>
      </c>
      <c r="E180" s="16" t="str">
        <f>IFERROR(_xlfn.XLOOKUP(D180, tblCourses[CourseID], tblCourses[CourseName], ""), "")</f>
        <v>Fire Marshal Training (OSHA, 2007)</v>
      </c>
      <c r="F180" s="17">
        <v>45184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1" spans="1:9" x14ac:dyDescent="0.25">
      <c r="A181" s="15">
        <f t="shared" si="2"/>
        <v>180</v>
      </c>
      <c r="B181" s="15" t="s">
        <v>208</v>
      </c>
      <c r="C181" s="15" t="str" cm="1">
        <f t="array" ref="C181">IFERROR(_xlfn.XLOOKUP(B181, tblPeople[PersonID], tblPeople[PersonName], ""), "")</f>
        <v xml:space="preserve">Edwin Kemei </v>
      </c>
      <c r="D181" s="15" t="s">
        <v>124</v>
      </c>
      <c r="E181" s="16" t="str">
        <f>IFERROR(_xlfn.XLOOKUP(D181, tblCourses[CourseID], tblCourses[CourseName], ""), "")</f>
        <v>Aviation Security (Initial)</v>
      </c>
      <c r="F181" s="17">
        <v>43396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2" spans="1:9" x14ac:dyDescent="0.25">
      <c r="A182" s="15">
        <f t="shared" si="2"/>
        <v>181</v>
      </c>
      <c r="B182" s="15" t="s">
        <v>135</v>
      </c>
      <c r="C182" s="15" t="str" cm="1">
        <f t="array" ref="C182">IFERROR(_xlfn.XLOOKUP(B182, tblPeople[PersonID], tblPeople[PersonName], ""), "")</f>
        <v>Francis Muriuki</v>
      </c>
      <c r="D182" s="15" t="s">
        <v>17</v>
      </c>
      <c r="E182" s="16" t="str">
        <f>IFERROR(_xlfn.XLOOKUP(D182, tblCourses[CourseID], tblCourses[CourseName], ""), "")</f>
        <v>Safety Management Systems (Refresher)</v>
      </c>
      <c r="F182" s="17">
        <v>45910</v>
      </c>
      <c r="G182" s="17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82" s="15">
        <f ca="1">IF(OR(tblTraining[[#This Row],[Status]]="Renewed",tblTraining[[#This Row],[NextDueDate]]=""),"",tblTraining[[#This Row],[NextDueDate]]-TODAY())</f>
        <v>354</v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3" spans="1:9" x14ac:dyDescent="0.25">
      <c r="A183" s="15">
        <f t="shared" si="2"/>
        <v>182</v>
      </c>
      <c r="B183" s="15" t="s">
        <v>106</v>
      </c>
      <c r="C183" s="15" t="str" cm="1">
        <f t="array" ref="C183">IFERROR(_xlfn.XLOOKUP(B183, tblPeople[PersonID], tblPeople[PersonName], ""), "")</f>
        <v>James Mugo</v>
      </c>
      <c r="D183" s="15" t="s">
        <v>22</v>
      </c>
      <c r="E183" s="16" t="str">
        <f>IFERROR(_xlfn.XLOOKUP(D183, tblCourses[CourseID], tblCourses[CourseName], ""), "")</f>
        <v>Human Factors in Aviation (Refresher)</v>
      </c>
      <c r="F183" s="18">
        <v>45251</v>
      </c>
      <c r="G183" s="17" t="str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3" s="15" t="str">
        <f ca="1">IF(OR(tblTraining[[#This Row],[Status]]="Renewed",tblTraining[[#This Row],[NextDueDate]]=""),"",tblTraining[[#This Row],[NextDueDate]]-TODAY())</f>
        <v/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4" spans="1:9" x14ac:dyDescent="0.25">
      <c r="A184" s="15">
        <f t="shared" si="2"/>
        <v>183</v>
      </c>
      <c r="B184" s="15" t="s">
        <v>149</v>
      </c>
      <c r="C184" s="15" t="str" cm="1">
        <f t="array" ref="C184">IFERROR(_xlfn.XLOOKUP(B184, tblPeople[PersonID], tblPeople[PersonName], ""), "")</f>
        <v>Kea Kazungu</v>
      </c>
      <c r="D184" s="15" t="s">
        <v>77</v>
      </c>
      <c r="E184" s="16" t="str">
        <f>IFERROR(_xlfn.XLOOKUP(D184, tblCourses[CourseID], tblCourses[CourseName], ""), "")</f>
        <v>DHC8 -100/-200/-300 Collins Wheels &amp; Brakes Familiarization Training (Refresher)</v>
      </c>
      <c r="F184" s="17">
        <v>45637</v>
      </c>
      <c r="G184" s="17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84" s="15">
        <f ca="1">IF(OR(tblTraining[[#This Row],[Status]]="Renewed",tblTraining[[#This Row],[NextDueDate]]=""),"",tblTraining[[#This Row],[NextDueDate]]-TODAY())</f>
        <v>81</v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82</v>
      </c>
      <c r="C185" s="15" t="str" cm="1">
        <f t="array" ref="C185">IFERROR(_xlfn.XLOOKUP(B185, tblPeople[PersonID], tblPeople[PersonName], ""), "")</f>
        <v>Philip Mwania</v>
      </c>
      <c r="D185" s="15" t="s">
        <v>126</v>
      </c>
      <c r="E185" s="16" t="str">
        <f>IFERROR(_xlfn.XLOOKUP(D185, tblCourses[CourseID], tblCourses[CourseName], ""), "")</f>
        <v>Maintenance Indoctrination</v>
      </c>
      <c r="F185" s="17">
        <v>43444</v>
      </c>
      <c r="G185" s="17" t="str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5" s="15" t="str">
        <f ca="1">IF(OR(tblTraining[[#This Row],[Status]]="Renewed",tblTraining[[#This Row],[NextDueDate]]=""),"",tblTraining[[#This Row],[NextDueDate]]-TODAY())</f>
        <v/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93</v>
      </c>
      <c r="C186" s="15" t="str" cm="1">
        <f t="array" ref="C186">IFERROR(_xlfn.XLOOKUP(B186, tblPeople[PersonID], tblPeople[PersonName], ""), "")</f>
        <v>Stephen Tunje</v>
      </c>
      <c r="D186" s="15" t="s">
        <v>132</v>
      </c>
      <c r="E186" s="16" t="str">
        <f>IFERROR(_xlfn.XLOOKUP(D186, tblCourses[CourseID], tblCourses[CourseName], ""), "")</f>
        <v>Marshalling Techniques Course</v>
      </c>
      <c r="F186" s="17">
        <v>45469</v>
      </c>
      <c r="G186" s="17" t="str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6" s="15" t="str">
        <f ca="1">IF(OR(tblTraining[[#This Row],[Status]]="Renewed",tblTraining[[#This Row],[NextDueDate]]=""),"",tblTraining[[#This Row],[NextDueDate]]-TODAY())</f>
        <v/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208</v>
      </c>
      <c r="C187" s="15" t="str" cm="1">
        <f t="array" ref="C187">IFERROR(_xlfn.XLOOKUP(B187, tblPeople[PersonID], tblPeople[PersonName], ""), "")</f>
        <v xml:space="preserve">Edwin Kemei </v>
      </c>
      <c r="D187" s="15" t="s">
        <v>125</v>
      </c>
      <c r="E187" s="16" t="str">
        <f>IFERROR(_xlfn.XLOOKUP(D187, tblCourses[CourseID], tblCourses[CourseName], ""), "")</f>
        <v>Aviation Security (Refresher)</v>
      </c>
      <c r="F187" s="17">
        <v>45730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87" s="15">
        <f ca="1">IF(OR(tblTraining[[#This Row],[Status]]="Renewed",tblTraining[[#This Row],[NextDueDate]]=""),"",tblTraining[[#This Row],[NextDueDate]]-TODAY())</f>
        <v>174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106</v>
      </c>
      <c r="C188" s="15" t="str" cm="1">
        <f t="array" ref="C188">IFERROR(_xlfn.XLOOKUP(B188, tblPeople[PersonID], tblPeople[PersonName], ""), "")</f>
        <v>James Mugo</v>
      </c>
      <c r="D188" s="15" t="s">
        <v>28</v>
      </c>
      <c r="E188" s="16" t="str">
        <f>IFERROR(_xlfn.XLOOKUP(D188, tblCourses[CourseID], tblCourses[CourseName], ""), "")</f>
        <v>DHC-8 100/200/300 with PWC 120/120A/121/123B/C/D/E Series Engines(Refresher)</v>
      </c>
      <c r="F188" s="18">
        <v>45856</v>
      </c>
      <c r="G188" s="17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88" s="15">
        <f ca="1">IF(OR(tblTraining[[#This Row],[Status]]="Renewed",tblTraining[[#This Row],[NextDueDate]]=""),"",tblTraining[[#This Row],[NextDueDate]]-TODAY())</f>
        <v>300</v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9" spans="1:9" x14ac:dyDescent="0.25">
      <c r="A189" s="15">
        <f t="shared" si="2"/>
        <v>188</v>
      </c>
      <c r="B189" s="15" t="s">
        <v>149</v>
      </c>
      <c r="C189" s="15" t="str" cm="1">
        <f t="array" ref="C189">IFERROR(_xlfn.XLOOKUP(B189, tblPeople[PersonID], tblPeople[PersonName], ""), "")</f>
        <v>Kea Kazungu</v>
      </c>
      <c r="D189" s="15" t="s">
        <v>75</v>
      </c>
      <c r="E189" s="16" t="str">
        <f>IFERROR(_xlfn.XLOOKUP(D189, tblCourses[CourseID], tblCourses[CourseName], ""), "")</f>
        <v>Fuel Tank Safety Phase 1 &amp; 2 Course (Refresher)</v>
      </c>
      <c r="F189" s="17">
        <v>45440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0" spans="1:9" x14ac:dyDescent="0.25">
      <c r="A190" s="15">
        <f t="shared" si="2"/>
        <v>189</v>
      </c>
      <c r="B190" s="15" t="s">
        <v>82</v>
      </c>
      <c r="C190" s="15" t="str" cm="1">
        <f t="array" ref="C190">IFERROR(_xlfn.XLOOKUP(B190, tblPeople[PersonID], tblPeople[PersonName], ""), "")</f>
        <v>Philip Mwania</v>
      </c>
      <c r="D190" s="15" t="s">
        <v>175</v>
      </c>
      <c r="E190" s="16" t="str">
        <f>IFERROR(_xlfn.XLOOKUP(D190, tblCourses[CourseID], tblCourses[CourseName], ""), "")</f>
        <v>Aircraft Maintenance Engineers' Licence</v>
      </c>
      <c r="F190" s="17">
        <v>45573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0" s="15">
        <f ca="1">IF(OR(tblTraining[[#This Row],[Status]]="Renewed",tblTraining[[#This Row],[NextDueDate]]=""),"",tblTraining[[#This Row],[NextDueDate]]-TODAY())</f>
        <v>17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1" spans="1:9" x14ac:dyDescent="0.25">
      <c r="A191" s="15">
        <f t="shared" si="2"/>
        <v>190</v>
      </c>
      <c r="B191" s="15" t="s">
        <v>93</v>
      </c>
      <c r="C191" s="15" t="str" cm="1">
        <f t="array" ref="C191">IFERROR(_xlfn.XLOOKUP(B191, tblPeople[PersonID], tblPeople[PersonName], ""), "")</f>
        <v>Stephen Tunje</v>
      </c>
      <c r="D191" s="15" t="s">
        <v>110</v>
      </c>
      <c r="E191" s="16" t="str">
        <f>IFERROR(_xlfn.XLOOKUP(D191, tblCourses[CourseID], tblCourses[CourseName], ""), "")</f>
        <v>Electrical Wiring Interconnection System Target Groups 1 &amp; 2 (Initial)</v>
      </c>
      <c r="F191" s="17">
        <v>45846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2" spans="1:9" x14ac:dyDescent="0.25">
      <c r="A192" s="15">
        <f t="shared" si="2"/>
        <v>191</v>
      </c>
      <c r="B192" s="15" t="s">
        <v>208</v>
      </c>
      <c r="C192" s="15" t="str" cm="1">
        <f t="array" ref="C192">IFERROR(_xlfn.XLOOKUP(B192, tblPeople[PersonID], tblPeople[PersonName], ""), "")</f>
        <v xml:space="preserve">Edwin Kemei </v>
      </c>
      <c r="D192" s="15" t="s">
        <v>198</v>
      </c>
      <c r="E192" s="16" t="str">
        <f>IFERROR(_xlfn.XLOOKUP(D192, tblCourses[CourseID], tblCourses[CourseName], ""), "")</f>
        <v>Maintenance Procedures &amp; Standard Maintenance Practices (Refresher)</v>
      </c>
      <c r="F192" s="17">
        <v>45328</v>
      </c>
      <c r="G192" s="17" t="str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2" s="15" t="str">
        <f ca="1">IF(OR(tblTraining[[#This Row],[Status]]="Renewed",tblTraining[[#This Row],[NextDueDate]]=""),"",tblTraining[[#This Row],[NextDueDate]]-TODAY())</f>
        <v/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3" spans="1:9" x14ac:dyDescent="0.25">
      <c r="A193" s="15">
        <f t="shared" si="2"/>
        <v>192</v>
      </c>
      <c r="B193" s="15" t="s">
        <v>106</v>
      </c>
      <c r="C193" s="15" t="str" cm="1">
        <f t="array" ref="C193">IFERROR(_xlfn.XLOOKUP(B193, tblPeople[PersonID], tblPeople[PersonName], ""), "")</f>
        <v>James Mugo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149</v>
      </c>
      <c r="C194" s="15" t="str" cm="1">
        <f t="array" ref="C194">IFERROR(_xlfn.XLOOKUP(B194, tblPeople[PersonID], tblPeople[PersonName], ""), "")</f>
        <v>Kea Kazungu</v>
      </c>
      <c r="D194" s="15" t="s">
        <v>28</v>
      </c>
      <c r="E194" s="16" t="str">
        <f>IFERROR(_xlfn.XLOOKUP(D194, tblCourses[CourseID], tblCourses[CourseName], ""), "")</f>
        <v>DHC-8 100/200/300 with PWC 120/120A/121/123B/C/D/E Series Engines(Refresher)</v>
      </c>
      <c r="F194" s="17">
        <v>45338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5" spans="1:9" x14ac:dyDescent="0.25">
      <c r="A195" s="15">
        <f t="shared" si="2"/>
        <v>194</v>
      </c>
      <c r="B195" s="15" t="s">
        <v>82</v>
      </c>
      <c r="C195" s="15" t="str" cm="1">
        <f t="array" ref="C195">IFERROR(_xlfn.XLOOKUP(B195, tblPeople[PersonID], tblPeople[PersonName], ""), "")</f>
        <v>Philip Mwania</v>
      </c>
      <c r="D195" s="15" t="s">
        <v>132</v>
      </c>
      <c r="E195" s="16" t="str">
        <f>IFERROR(_xlfn.XLOOKUP(D195, tblCourses[CourseID], tblCourses[CourseName], ""), "")</f>
        <v>Marshalling Techniques Course</v>
      </c>
      <c r="F195" s="17">
        <v>45470</v>
      </c>
      <c r="G195" s="17" t="str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5" s="15" t="str">
        <f ca="1">IF(OR(tblTraining[[#This Row],[Status]]="Renewed",tblTraining[[#This Row],[NextDueDate]]=""),"",tblTraining[[#This Row],[NextDueDate]]-TODAY())</f>
        <v/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93</v>
      </c>
      <c r="C196" s="15" t="str" cm="1">
        <f t="array" ref="C196">IFERROR(_xlfn.XLOOKUP(B196, tblPeople[PersonID], tblPeople[PersonName], ""), "")</f>
        <v>Stephen Tunje</v>
      </c>
      <c r="D196" s="15" t="s">
        <v>109</v>
      </c>
      <c r="E196" s="16" t="str">
        <f>IFERROR(_xlfn.XLOOKUP(D196, tblCourses[CourseID], tblCourses[CourseName], ""), "")</f>
        <v>Electrical Wiring Interconnection System Target Groups 1 &amp; 2 (Refresher)</v>
      </c>
      <c r="F196" s="17">
        <v>45846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96" s="15">
        <f ca="1">IF(OR(tblTraining[[#This Row],[Status]]="Renewed",tblTraining[[#This Row],[NextDueDate]]=""),"",tblTraining[[#This Row],[NextDueDate]]-TODAY())</f>
        <v>290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208</v>
      </c>
      <c r="C197" s="15" t="str" cm="1">
        <f t="array" ref="C197">IFERROR(_xlfn.XLOOKUP(B197, tblPeople[PersonID], tblPeople[PersonName], ""), "")</f>
        <v xml:space="preserve">Edwin Kemei </v>
      </c>
      <c r="D197" s="15" t="s">
        <v>22</v>
      </c>
      <c r="E197" s="16" t="str">
        <f>IFERROR(_xlfn.XLOOKUP(D197, tblCourses[CourseID], tblCourses[CourseName], ""), "")</f>
        <v>Human Factors in Aviation (Refresher)</v>
      </c>
      <c r="F197" s="17">
        <v>44621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106</v>
      </c>
      <c r="C198" s="15" t="str" cm="1">
        <f t="array" ref="C198">IFERROR(_xlfn.XLOOKUP(B198, tblPeople[PersonID], tblPeople[PersonName], ""), "")</f>
        <v>James Mugo</v>
      </c>
      <c r="D198" s="15" t="s">
        <v>75</v>
      </c>
      <c r="E198" s="16" t="str">
        <f>IFERROR(_xlfn.XLOOKUP(D198, tblCourses[CourseID], tblCourses[CourseName], ""), "")</f>
        <v>Fuel Tank Safety Phase 1 &amp; 2 Course (Refresher)</v>
      </c>
      <c r="F198" s="17">
        <v>45495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198" s="15">
        <f ca="1">IF(OR(tblTraining[[#This Row],[Status]]="Renewed",tblTraining[[#This Row],[NextDueDate]]=""),"",tblTraining[[#This Row],[NextDueDate]]-TODAY())</f>
        <v>-61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99" spans="1:9" x14ac:dyDescent="0.25">
      <c r="A199" s="15">
        <f t="shared" si="3"/>
        <v>198</v>
      </c>
      <c r="B199" s="15" t="s">
        <v>149</v>
      </c>
      <c r="C199" s="15" t="str" cm="1">
        <f t="array" ref="C199">IFERROR(_xlfn.XLOOKUP(B199, tblPeople[PersonID], tblPeople[PersonName], ""), "")</f>
        <v>Kea Kazungu</v>
      </c>
      <c r="D199" s="15" t="s">
        <v>178</v>
      </c>
      <c r="E199" s="16" t="str">
        <f>IFERROR(_xlfn.XLOOKUP(D199, tblCourses[CourseID], tblCourses[CourseName], ""), "")</f>
        <v>Cessna 208 Series (Caravan) With P&amp;WC PT6A-114/ -114A/ -140 Engines (Refresher)</v>
      </c>
      <c r="F199" s="17">
        <v>45343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0" spans="1:9" x14ac:dyDescent="0.25">
      <c r="A200" s="15">
        <f t="shared" si="3"/>
        <v>199</v>
      </c>
      <c r="B200" s="15" t="s">
        <v>82</v>
      </c>
      <c r="C200" s="15" t="str" cm="1">
        <f t="array" ref="C200">IFERROR(_xlfn.XLOOKUP(B200, tblPeople[PersonID], tblPeople[PersonName], ""), "")</f>
        <v>Philip Mwania</v>
      </c>
      <c r="D200" s="15" t="s">
        <v>221</v>
      </c>
      <c r="E200" s="16" t="str">
        <f>IFERROR(_xlfn.XLOOKUP(D200, tblCourses[CourseID], tblCourses[CourseName], ""), "")</f>
        <v>Core Instructional Technique (Initial)</v>
      </c>
      <c r="F200" s="17">
        <v>45816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1" spans="1:9" x14ac:dyDescent="0.25">
      <c r="A201" s="15">
        <f t="shared" si="3"/>
        <v>200</v>
      </c>
      <c r="B201" s="15" t="s">
        <v>149</v>
      </c>
      <c r="C201" s="15" t="str" cm="1">
        <f t="array" ref="C201">IFERROR(_xlfn.XLOOKUP(B201, tblPeople[PersonID], tblPeople[PersonName], ""), "")</f>
        <v>Kea Kazungu</v>
      </c>
      <c r="D201" s="15" t="s">
        <v>25</v>
      </c>
      <c r="E201" s="16" t="str">
        <f>IFERROR(_xlfn.XLOOKUP(D201, tblCourses[CourseID], tblCourses[CourseName], ""), "")</f>
        <v>Pratt &amp; Whitney Canada PT6A Engine With P&amp;WC PT6A
20/ 27/ 41/ 42/ 60A/ 67D/ 112/ 114A/ 140 (Refresher)</v>
      </c>
      <c r="F201" s="17">
        <v>45356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2" spans="1:9" x14ac:dyDescent="0.25">
      <c r="A202" s="15">
        <f t="shared" si="3"/>
        <v>201</v>
      </c>
      <c r="B202" s="15" t="s">
        <v>82</v>
      </c>
      <c r="C202" s="15" t="str" cm="1">
        <f t="array" ref="C202">IFERROR(_xlfn.XLOOKUP(B202, tblPeople[PersonID], tblPeople[PersonName], ""), "")</f>
        <v>Philip Mwania</v>
      </c>
      <c r="D202" s="15" t="s">
        <v>77</v>
      </c>
      <c r="E202" s="16" t="str">
        <f>IFERROR(_xlfn.XLOOKUP(D202, tblCourses[CourseID], tblCourses[CourseName], ""), "")</f>
        <v>DHC8 -100/-200/-300 Collins Wheels &amp; Brakes Familiarization Training (Refresher)</v>
      </c>
      <c r="F202" s="17">
        <v>45637</v>
      </c>
      <c r="G202" s="17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02" s="15">
        <f ca="1">IF(OR(tblTraining[[#This Row],[Status]]="Renewed",tblTraining[[#This Row],[NextDueDate]]=""),"",tblTraining[[#This Row],[NextDueDate]]-TODAY())</f>
        <v>81</v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3" spans="1:9" x14ac:dyDescent="0.25">
      <c r="A203" s="15">
        <f t="shared" si="3"/>
        <v>202</v>
      </c>
      <c r="B203" s="15" t="s">
        <v>149</v>
      </c>
      <c r="C203" s="15" t="str" cm="1">
        <f t="array" ref="C203">IFERROR(_xlfn.XLOOKUP(B203, tblPeople[PersonID], tblPeople[PersonName], ""), "")</f>
        <v>Kea Kazungu</v>
      </c>
      <c r="D203" s="15" t="s">
        <v>17</v>
      </c>
      <c r="E203" s="16" t="str">
        <f>IFERROR(_xlfn.XLOOKUP(D203, tblCourses[CourseID], tblCourses[CourseName], ""), "")</f>
        <v>Safety Management Systems (Refresher)</v>
      </c>
      <c r="F203" s="17">
        <v>45195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4" spans="1:9" x14ac:dyDescent="0.25">
      <c r="A204" s="15">
        <f t="shared" si="3"/>
        <v>203</v>
      </c>
      <c r="B204" s="15" t="s">
        <v>149</v>
      </c>
      <c r="C204" s="15" t="str" cm="1">
        <f t="array" ref="C204">IFERROR(_xlfn.XLOOKUP(B204, tblPeople[PersonID], tblPeople[PersonName], ""), "")</f>
        <v>Kea Kazungu</v>
      </c>
      <c r="D204" s="15" t="s">
        <v>22</v>
      </c>
      <c r="E204" s="16" t="str">
        <f>IFERROR(_xlfn.XLOOKUP(D204, tblCourses[CourseID], tblCourses[CourseName], ""), "")</f>
        <v>Human Factors in Aviation (Refresher)</v>
      </c>
      <c r="F204" s="17">
        <v>45836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04" s="15">
        <f ca="1">IF(OR(tblTraining[[#This Row],[Status]]="Renewed",tblTraining[[#This Row],[NextDueDate]]=""),"",tblTraining[[#This Row],[NextDueDate]]-TODAY())</f>
        <v>280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82</v>
      </c>
      <c r="C205" s="15" t="str" cm="1">
        <f t="array" ref="C205">IFERROR(_xlfn.XLOOKUP(B205, tblPeople[PersonID], tblPeople[PersonName], ""), "")</f>
        <v>Philip Mwania</v>
      </c>
      <c r="D205" s="15" t="s">
        <v>28</v>
      </c>
      <c r="E205" s="16" t="str">
        <f>IFERROR(_xlfn.XLOOKUP(D205, tblCourses[CourseID], tblCourses[CourseName], ""), "")</f>
        <v>DHC-8 100/200/300 with PWC 120/120A/121/123B/C/D/E Series Engines(Refresher)</v>
      </c>
      <c r="F205" s="17">
        <v>45338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149</v>
      </c>
      <c r="C206" s="15" t="str" cm="1">
        <f t="array" ref="C206">IFERROR(_xlfn.XLOOKUP(B206, tblPeople[PersonID], tblPeople[PersonName], ""), "")</f>
        <v>Kea Kazungu</v>
      </c>
      <c r="D206" s="15" t="s">
        <v>22</v>
      </c>
      <c r="E206" s="16" t="str">
        <f>IFERROR(_xlfn.XLOOKUP(D206, tblCourses[CourseID], tblCourses[CourseName], ""), "")</f>
        <v>Human Factors in Aviation (Refresher)</v>
      </c>
      <c r="F206" s="17">
        <v>45070</v>
      </c>
      <c r="G206" s="17" t="str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6" s="15" t="str">
        <f ca="1">IF(OR(tblTraining[[#This Row],[Status]]="Renewed",tblTraining[[#This Row],[NextDueDate]]=""),"",tblTraining[[#This Row],[NextDueDate]]-TODAY())</f>
        <v/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7" spans="1:9" x14ac:dyDescent="0.25">
      <c r="A207" s="15">
        <f t="shared" si="3"/>
        <v>206</v>
      </c>
      <c r="B207" s="15" t="s">
        <v>82</v>
      </c>
      <c r="C207" s="15" t="str" cm="1">
        <f t="array" ref="C207">IFERROR(_xlfn.XLOOKUP(B207, tblPeople[PersonID], tblPeople[PersonName], ""), "")</f>
        <v>Philip Mwania</v>
      </c>
      <c r="D207" s="15" t="s">
        <v>177</v>
      </c>
      <c r="E207" s="16" t="str">
        <f>IFERROR(_xlfn.XLOOKUP(D207, tblCourses[CourseID], tblCourses[CourseName], ""), "")</f>
        <v>Cessna 208 Series (Caravan) With P&amp;WC PT6A-114/ -114A/ -140 Engines (Initial)</v>
      </c>
      <c r="F207" s="17">
        <v>41358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8" spans="1:9" x14ac:dyDescent="0.25">
      <c r="A208" s="15">
        <f t="shared" si="3"/>
        <v>207</v>
      </c>
      <c r="B208" s="15" t="s">
        <v>87</v>
      </c>
      <c r="C208" s="15" t="str" cm="1">
        <f t="array" ref="C208">IFERROR(_xlfn.XLOOKUP(B208, tblPeople[PersonID], tblPeople[PersonName], ""), "")</f>
        <v>Sydney Sawe</v>
      </c>
      <c r="D208" s="15" t="s">
        <v>78</v>
      </c>
      <c r="E208" s="16" t="str">
        <f>IFERROR(_xlfn.XLOOKUP(D208, tblCourses[CourseID], tblCourses[CourseName], ""), "")</f>
        <v>DHC8 -100/-200/-300 Collins Wheels &amp; Brakes Familiarization Training (Initial)</v>
      </c>
      <c r="F208" s="18">
        <v>45637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149</v>
      </c>
      <c r="C209" s="15" t="str" cm="1">
        <f t="array" ref="C209">IFERROR(_xlfn.XLOOKUP(B209, tblPeople[PersonID], tblPeople[PersonName], ""), "")</f>
        <v>Kea Kazungu</v>
      </c>
      <c r="D209" s="15" t="s">
        <v>33</v>
      </c>
      <c r="E209" s="16" t="str">
        <f>IFERROR(_xlfn.XLOOKUP(D209, tblCourses[CourseID], tblCourses[CourseName], ""), "")</f>
        <v>Audit Techniques</v>
      </c>
      <c r="F209" s="17">
        <v>43677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178</v>
      </c>
      <c r="E210" s="16" t="str">
        <f>IFERROR(_xlfn.XLOOKUP(D210, tblCourses[CourseID], tblCourses[CourseName], ""), "")</f>
        <v>Cessna 208 Series (Caravan) With P&amp;WC PT6A-114/ -114A/ -140 Engines (Refresher)</v>
      </c>
      <c r="F210" s="17">
        <v>45343</v>
      </c>
      <c r="G210" s="17" t="str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0" s="15" t="str">
        <f ca="1">IF(OR(tblTraining[[#This Row],[Status]]="Renewed",tblTraining[[#This Row],[NextDueDate]]=""),"",tblTraining[[#This Row],[NextDueDate]]-TODAY())</f>
        <v/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1" spans="1:9" x14ac:dyDescent="0.25">
      <c r="A211" s="15">
        <f t="shared" si="3"/>
        <v>210</v>
      </c>
      <c r="B211" s="15" t="s">
        <v>87</v>
      </c>
      <c r="C211" s="15" t="str" cm="1">
        <f t="array" ref="C211">IFERROR(_xlfn.XLOOKUP(B211, tblPeople[PersonID], tblPeople[PersonName], ""), "")</f>
        <v>Sydney Sawe</v>
      </c>
      <c r="D211" s="15" t="s">
        <v>126</v>
      </c>
      <c r="E211" s="16" t="str">
        <f>IFERROR(_xlfn.XLOOKUP(D211, tblCourses[CourseID], tblCourses[CourseName], ""), "")</f>
        <v>Maintenance Indoctrination</v>
      </c>
      <c r="F211" s="17">
        <v>44682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2" spans="1:9" x14ac:dyDescent="0.25">
      <c r="A212" s="15">
        <f t="shared" si="3"/>
        <v>211</v>
      </c>
      <c r="B212" s="15" t="s">
        <v>82</v>
      </c>
      <c r="C212" s="15" t="str" cm="1">
        <f t="array" ref="C212">IFERROR(_xlfn.XLOOKUP(B212, tblPeople[PersonID], tblPeople[PersonName], ""), "")</f>
        <v>Philip Mwania</v>
      </c>
      <c r="D212" s="15" t="s">
        <v>137</v>
      </c>
      <c r="E212" s="16" t="str">
        <f>IFERROR(_xlfn.XLOOKUP(D212, tblCourses[CourseID], tblCourses[CourseName], ""), "")</f>
        <v>GARMIN 1000 Avionics</v>
      </c>
      <c r="F212" s="17">
        <v>43306</v>
      </c>
      <c r="G212" s="17" t="str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2" s="15" t="str">
        <f ca="1">IF(OR(tblTraining[[#This Row],[Status]]="Renewed",tblTraining[[#This Row],[NextDueDate]]=""),"",tblTraining[[#This Row],[NextDueDate]]-TODAY())</f>
        <v/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22</v>
      </c>
      <c r="E213" s="16" t="str">
        <f>IFERROR(_xlfn.XLOOKUP(D213, tblCourses[CourseID], tblCourses[CourseName], ""), "")</f>
        <v>Human Factors in Aviation (Refresher)</v>
      </c>
      <c r="F213" s="17">
        <v>45691</v>
      </c>
      <c r="G213" s="17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13" s="15">
        <f ca="1">IF(OR(tblTraining[[#This Row],[Status]]="Renewed",tblTraining[[#This Row],[NextDueDate]]=""),"",tblTraining[[#This Row],[NextDueDate]]-TODAY())</f>
        <v>135</v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4" spans="1:9" x14ac:dyDescent="0.25">
      <c r="A214" s="15">
        <f t="shared" si="3"/>
        <v>213</v>
      </c>
      <c r="B214" s="15" t="s">
        <v>90</v>
      </c>
      <c r="C214" s="15" t="str" cm="1">
        <f t="array" ref="C214">IFERROR(_xlfn.XLOOKUP(B214, tblPeople[PersonID], tblPeople[PersonName], ""), "")</f>
        <v>Kendra Nambisia</v>
      </c>
      <c r="D214" s="15" t="s">
        <v>221</v>
      </c>
      <c r="E214" s="16" t="str">
        <f>IFERROR(_xlfn.XLOOKUP(D214, tblCourses[CourseID], tblCourses[CourseName], ""), "")</f>
        <v>Core Instructional Technique (Initial)</v>
      </c>
      <c r="F214" s="17">
        <v>45146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110</v>
      </c>
      <c r="E215" s="16" t="str">
        <f>IFERROR(_xlfn.XLOOKUP(D215, tblCourses[CourseID], tblCourses[CourseName], ""), "")</f>
        <v>Electrical Wiring Interconnection System Target Groups 1 &amp; 2 (Initial)</v>
      </c>
      <c r="F215" s="17">
        <v>45844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77</v>
      </c>
      <c r="E216" s="16" t="str">
        <f>IFERROR(_xlfn.XLOOKUP(D216, tblCourses[CourseID], tblCourses[CourseName], ""), "")</f>
        <v>DHC8 -100/-200/-300 Collins Wheels &amp; Brakes Familiarization Training (Refresher)</v>
      </c>
      <c r="F216" s="17">
        <v>45637</v>
      </c>
      <c r="G216" s="17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6" s="15">
        <f ca="1">IF(OR(tblTraining[[#This Row],[Status]]="Renewed",tblTraining[[#This Row],[NextDueDate]]=""),"",tblTraining[[#This Row],[NextDueDate]]-TODAY())</f>
        <v>81</v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90</v>
      </c>
      <c r="C217" s="15" t="str" cm="1">
        <f t="array" ref="C217">IFERROR(_xlfn.XLOOKUP(B217, tblPeople[PersonID], tblPeople[PersonName], ""), "")</f>
        <v>Kendra Nambisia</v>
      </c>
      <c r="D217" s="15" t="s">
        <v>221</v>
      </c>
      <c r="E217" s="16" t="str">
        <f>IFERROR(_xlfn.XLOOKUP(D217, tblCourses[CourseID], tblCourses[CourseName], ""), "")</f>
        <v>Core Instructional Technique (Initial)</v>
      </c>
      <c r="F217" s="17">
        <v>45786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109</v>
      </c>
      <c r="E218" s="16" t="str">
        <f>IFERROR(_xlfn.XLOOKUP(D218, tblCourses[CourseID], tblCourses[CourseName], ""), "")</f>
        <v>Electrical Wiring Interconnection System Target Groups 1 &amp; 2 (Refresher)</v>
      </c>
      <c r="F218" s="17">
        <v>45844</v>
      </c>
      <c r="G218" s="17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18" s="15">
        <f ca="1">IF(OR(tblTraining[[#This Row],[Status]]="Renewed",tblTraining[[#This Row],[NextDueDate]]=""),"",tblTraining[[#This Row],[NextDueDate]]-TODAY())</f>
        <v>288</v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9" spans="1:9" x14ac:dyDescent="0.25">
      <c r="A219" s="15">
        <f t="shared" si="3"/>
        <v>218</v>
      </c>
      <c r="B219" s="15" t="s">
        <v>90</v>
      </c>
      <c r="C219" s="15" t="str" cm="1">
        <f t="array" ref="C219">IFERROR(_xlfn.XLOOKUP(B219, tblPeople[PersonID], tblPeople[PersonName], ""), "")</f>
        <v>Kendra Nambisia</v>
      </c>
      <c r="D219" s="15" t="s">
        <v>221</v>
      </c>
      <c r="E219" s="16" t="str">
        <f>IFERROR(_xlfn.XLOOKUP(D219, tblCourses[CourseID], tblCourses[CourseName], ""), "")</f>
        <v>Core Instructional Technique (Initial)</v>
      </c>
      <c r="F219" s="17">
        <v>45803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75</v>
      </c>
      <c r="E220" s="16" t="str">
        <f>IFERROR(_xlfn.XLOOKUP(D220, tblCourses[CourseID], tblCourses[CourseName], ""), "")</f>
        <v>Fuel Tank Safety Phase 1 &amp; 2 Course (Refresher)</v>
      </c>
      <c r="F220" s="17">
        <v>45410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1" spans="1:9" x14ac:dyDescent="0.25">
      <c r="A221" s="15">
        <f t="shared" si="3"/>
        <v>220</v>
      </c>
      <c r="B221" s="15" t="s">
        <v>90</v>
      </c>
      <c r="C221" s="15" t="str" cm="1">
        <f t="array" ref="C221">IFERROR(_xlfn.XLOOKUP(B221, tblPeople[PersonID], tblPeople[PersonName], ""), "")</f>
        <v>Kendra Nambisia</v>
      </c>
      <c r="D221" s="15" t="s">
        <v>221</v>
      </c>
      <c r="E221" s="16" t="str">
        <f>IFERROR(_xlfn.XLOOKUP(D221, tblCourses[CourseID], tblCourses[CourseName], ""), "")</f>
        <v>Core Instructional Technique (Initial)</v>
      </c>
      <c r="F221" s="17">
        <v>45803</v>
      </c>
      <c r="G221" s="17" t="str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1" s="15" t="str">
        <f ca="1">IF(OR(tblTraining[[#This Row],[Status]]="Renewed",tblTraining[[#This Row],[NextDueDate]]=""),"",tblTraining[[#This Row],[NextDueDate]]-TODAY())</f>
        <v/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2" spans="1:9" x14ac:dyDescent="0.25">
      <c r="A222" s="15">
        <f t="shared" si="3"/>
        <v>221</v>
      </c>
      <c r="B222" s="15" t="s">
        <v>82</v>
      </c>
      <c r="C222" s="15" t="str" cm="1">
        <f t="array" ref="C222">IFERROR(_xlfn.XLOOKUP(B222, tblPeople[PersonID], tblPeople[PersonName], ""), "")</f>
        <v>Philip Mwania</v>
      </c>
      <c r="D222" s="15" t="s">
        <v>17</v>
      </c>
      <c r="E222" s="16" t="str">
        <f>IFERROR(_xlfn.XLOOKUP(D222, tblCourses[CourseID], tblCourses[CourseName], ""), "")</f>
        <v>Safety Management Systems (Refresher)</v>
      </c>
      <c r="F222" s="17">
        <v>45723</v>
      </c>
      <c r="G222" s="17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22" s="15">
        <f ca="1">IF(OR(tblTraining[[#This Row],[Status]]="Renewed",tblTraining[[#This Row],[NextDueDate]]=""),"",tblTraining[[#This Row],[NextDueDate]]-TODAY())</f>
        <v>167</v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3" spans="1:9" x14ac:dyDescent="0.25">
      <c r="A223" s="15">
        <f t="shared" si="3"/>
        <v>222</v>
      </c>
      <c r="B223" s="15" t="s">
        <v>87</v>
      </c>
      <c r="C223" s="15" t="str" cm="1">
        <f t="array" ref="C223">IFERROR(_xlfn.XLOOKUP(B223, tblPeople[PersonID], tblPeople[PersonName], ""), "")</f>
        <v>Sydney Sawe</v>
      </c>
      <c r="D223" s="15" t="s">
        <v>198</v>
      </c>
      <c r="E223" s="16" t="str">
        <f>IFERROR(_xlfn.XLOOKUP(D223, tblCourses[CourseID], tblCourses[CourseName], ""), "")</f>
        <v>Maintenance Procedures &amp; Standard Maintenance Practices (Refresher)</v>
      </c>
      <c r="F223" s="17">
        <v>45328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4" spans="1:9" x14ac:dyDescent="0.25">
      <c r="A224" s="15">
        <f t="shared" si="3"/>
        <v>223</v>
      </c>
      <c r="B224" s="15" t="s">
        <v>90</v>
      </c>
      <c r="C224" s="15" t="str" cm="1">
        <f t="array" ref="C224">IFERROR(_xlfn.XLOOKUP(B224, tblPeople[PersonID], tblPeople[PersonName], ""), "")</f>
        <v>Kendra Nambisia</v>
      </c>
      <c r="D224" s="15" t="s">
        <v>221</v>
      </c>
      <c r="E224" s="16" t="str">
        <f>IFERROR(_xlfn.XLOOKUP(D224, tblCourses[CourseID], tblCourses[CourseName], ""), "")</f>
        <v>Core Instructional Technique (Initial)</v>
      </c>
      <c r="F224" s="17">
        <v>45816</v>
      </c>
      <c r="G224" s="17" t="str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4" s="15" t="str">
        <f ca="1">IF(OR(tblTraining[[#This Row],[Status]]="Renewed",tblTraining[[#This Row],[NextDueDate]]=""),"",tblTraining[[#This Row],[NextDueDate]]-TODAY())</f>
        <v/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82</v>
      </c>
      <c r="C225" s="15" t="str" cm="1">
        <f t="array" ref="C225">IFERROR(_xlfn.XLOOKUP(B225, tblPeople[PersonID], tblPeople[PersonName], ""), "")</f>
        <v>Philip Mwania</v>
      </c>
      <c r="D225" s="15" t="s">
        <v>17</v>
      </c>
      <c r="E225" s="16" t="str">
        <f>IFERROR(_xlfn.XLOOKUP(D225, tblCourses[CourseID], tblCourses[CourseName], ""), "")</f>
        <v>Safety Management Systems (Refresher)</v>
      </c>
      <c r="F225" s="17">
        <v>44990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98</v>
      </c>
      <c r="C226" s="15" t="str" cm="1">
        <f t="array" ref="C226">IFERROR(_xlfn.XLOOKUP(B226, tblPeople[PersonID], tblPeople[PersonName], ""), "")</f>
        <v>Thadeus Mong’are</v>
      </c>
      <c r="D226" s="15" t="s">
        <v>22</v>
      </c>
      <c r="E226" s="16" t="str">
        <f>IFERROR(_xlfn.XLOOKUP(D226, tblCourses[CourseID], tblCourses[CourseName], ""), "")</f>
        <v>Human Factors in Aviation (Refresher)</v>
      </c>
      <c r="F226" s="18">
        <v>45399</v>
      </c>
      <c r="G226" s="17" t="str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6" s="15" t="str">
        <f ca="1">IF(OR(tblTraining[[#This Row],[Status]]="Renewed",tblTraining[[#This Row],[NextDueDate]]=""),"",tblTraining[[#This Row],[NextDueDate]]-TODAY())</f>
        <v/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77</v>
      </c>
      <c r="E227" s="16" t="str">
        <f>IFERROR(_xlfn.XLOOKUP(D227, tblCourses[CourseID], tblCourses[CourseName], ""), "")</f>
        <v>DHC8 -100/-200/-300 Collins Wheels &amp; Brakes Familiarization Training (Refresher)</v>
      </c>
      <c r="F227" s="17">
        <v>45637</v>
      </c>
      <c r="G227" s="17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7" s="15">
        <f ca="1">IF(OR(tblTraining[[#This Row],[Status]]="Renewed",tblTraining[[#This Row],[NextDueDate]]=""),"",tblTraining[[#This Row],[NextDueDate]]-TODAY())</f>
        <v>81</v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181</v>
      </c>
      <c r="E228" s="16" t="str">
        <f>IFERROR(_xlfn.XLOOKUP(D228, tblCourses[CourseID], tblCourses[CourseName], ""), "")</f>
        <v>Leadership &amp; Management</v>
      </c>
      <c r="F228" s="17">
        <v>43076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9" spans="1:9" x14ac:dyDescent="0.25">
      <c r="A229" s="15">
        <f t="shared" si="3"/>
        <v>228</v>
      </c>
      <c r="B229" s="15" t="s">
        <v>98</v>
      </c>
      <c r="C229" s="15" t="str" cm="1">
        <f t="array" ref="C229">IFERROR(_xlfn.XLOOKUP(B229, tblPeople[PersonID], tblPeople[PersonName], ""), "")</f>
        <v>Thadeus Mong’are</v>
      </c>
      <c r="D229" s="15" t="s">
        <v>75</v>
      </c>
      <c r="E229" s="16" t="str">
        <f>IFERROR(_xlfn.XLOOKUP(D229, tblCourses[CourseID], tblCourses[CourseName], ""), "")</f>
        <v>Fuel Tank Safety Phase 1 &amp; 2 Course (Refresher)</v>
      </c>
      <c r="F229" s="18">
        <v>45399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90</v>
      </c>
      <c r="C230" s="15" t="str" cm="1">
        <f t="array" ref="C230">IFERROR(_xlfn.XLOOKUP(B230, tblPeople[PersonID], tblPeople[PersonName], ""), "")</f>
        <v>Kendra Nambisia</v>
      </c>
      <c r="D230" s="15" t="s">
        <v>132</v>
      </c>
      <c r="E230" s="16" t="str">
        <f>IFERROR(_xlfn.XLOOKUP(D230, tblCourses[CourseID], tblCourses[CourseName], ""), "")</f>
        <v>Marshalling Techniques Course</v>
      </c>
      <c r="F230" s="17">
        <v>45469</v>
      </c>
      <c r="G230" s="17" t="str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0" s="15" t="str">
        <f ca="1">IF(OR(tblTraining[[#This Row],[Status]]="Renewed",tblTraining[[#This Row],[NextDueDate]]=""),"",tblTraining[[#This Row],[NextDueDate]]-TODAY())</f>
        <v/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92</v>
      </c>
      <c r="C231" s="15" t="str" cm="1">
        <f t="array" ref="C231">IFERROR(_xlfn.XLOOKUP(B231, tblPeople[PersonID], tblPeople[PersonName], ""), "")</f>
        <v>Reuben Otieno</v>
      </c>
      <c r="D231" s="15" t="s">
        <v>17</v>
      </c>
      <c r="E231" s="16" t="str">
        <f>IFERROR(_xlfn.XLOOKUP(D231, tblCourses[CourseID], tblCourses[CourseName], ""), "")</f>
        <v>Safety Management Systems (Refresher)</v>
      </c>
      <c r="F231" s="17">
        <v>45379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28</v>
      </c>
      <c r="E232" s="16" t="str">
        <f>IFERROR(_xlfn.XLOOKUP(D232, tblCourses[CourseID], tblCourses[CourseName], ""), "")</f>
        <v>DHC-8 100/200/300 with PWC 120/120A/121/123B/C/D/E Series Engines(Refresher)</v>
      </c>
      <c r="F232" s="17">
        <v>45618</v>
      </c>
      <c r="G232" s="17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32" s="15">
        <f ca="1">IF(OR(tblTraining[[#This Row],[Status]]="Renewed",tblTraining[[#This Row],[NextDueDate]]=""),"",tblTraining[[#This Row],[NextDueDate]]-TODAY())</f>
        <v>62</v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92</v>
      </c>
      <c r="C233" s="15" t="str" cm="1">
        <f t="array" ref="C233">IFERROR(_xlfn.XLOOKUP(B233, tblPeople[PersonID], tblPeople[PersonName], ""), "")</f>
        <v>Reuben Otieno</v>
      </c>
      <c r="D233" s="15" t="s">
        <v>76</v>
      </c>
      <c r="E233" s="16" t="str">
        <f>IFERROR(_xlfn.XLOOKUP(D233, tblCourses[CourseID], tblCourses[CourseName], ""), "")</f>
        <v>Fuel Tank Safety Phase 1 &amp; 2 Course (Initial)</v>
      </c>
      <c r="F233" s="18">
        <v>45404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17</v>
      </c>
      <c r="E234" s="16" t="str">
        <f>IFERROR(_xlfn.XLOOKUP(D234, tblCourses[CourseID], tblCourses[CourseName], ""), "")</f>
        <v>Safety Management Systems (Refresher)</v>
      </c>
      <c r="F234" s="17">
        <v>45343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177</v>
      </c>
      <c r="E235" s="16" t="str">
        <f>IFERROR(_xlfn.XLOOKUP(D235, tblCourses[CourseID], tblCourses[CourseName], ""), "")</f>
        <v>Cessna 208 Series (Caravan) With P&amp;WC PT6A-114/ -114A/ -140 Engines (Initial)</v>
      </c>
      <c r="F235" s="17">
        <v>45709</v>
      </c>
      <c r="G235" s="17" t="str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5" s="15" t="str">
        <f ca="1">IF(OR(tblTraining[[#This Row],[Status]]="Renewed",tblTraining[[#This Row],[NextDueDate]]=""),"",tblTraining[[#This Row],[NextDueDate]]-TODAY())</f>
        <v/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92</v>
      </c>
      <c r="C236" s="15" t="str" cm="1">
        <f t="array" ref="C236">IFERROR(_xlfn.XLOOKUP(B236, tblPeople[PersonID], tblPeople[PersonName], ""), "")</f>
        <v>Reuben Otieno</v>
      </c>
      <c r="D236" s="15" t="s">
        <v>78</v>
      </c>
      <c r="E236" s="16" t="str">
        <f>IFERROR(_xlfn.XLOOKUP(D236, tblCourses[CourseID], tblCourses[CourseName], ""), "")</f>
        <v>DHC8 -100/-200/-300 Collins Wheels &amp; Brakes Familiarization Training (Initial)</v>
      </c>
      <c r="F236" s="18">
        <v>45637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109</v>
      </c>
      <c r="E237" s="16" t="str">
        <f>IFERROR(_xlfn.XLOOKUP(D237, tblCourses[CourseID], tblCourses[CourseName], ""), "")</f>
        <v>Electrical Wiring Interconnection System Target Groups 1 &amp; 2 (Refresher)</v>
      </c>
      <c r="F237" s="17">
        <v>45796</v>
      </c>
      <c r="G237" s="17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37" s="15">
        <f ca="1">IF(OR(tblTraining[[#This Row],[Status]]="Renewed",tblTraining[[#This Row],[NextDueDate]]=""),"",tblTraining[[#This Row],[NextDueDate]]-TODAY())</f>
        <v>240</v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178</v>
      </c>
      <c r="E238" s="16" t="str">
        <f>IFERROR(_xlfn.XLOOKUP(D238, tblCourses[CourseID], tblCourses[CourseName], ""), "")</f>
        <v>Cessna 208 Series (Caravan) With P&amp;WC PT6A-114/ -114A/ -140 Engines (Refresher)</v>
      </c>
      <c r="F238" s="17">
        <v>45709</v>
      </c>
      <c r="G238" s="17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38" s="15">
        <f ca="1">IF(OR(tblTraining[[#This Row],[Status]]="Renewed",tblTraining[[#This Row],[NextDueDate]]=""),"",tblTraining[[#This Row],[NextDueDate]]-TODAY())</f>
        <v>153</v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22</v>
      </c>
      <c r="E239" s="16" t="str">
        <f>IFERROR(_xlfn.XLOOKUP(D239, tblCourses[CourseID], tblCourses[CourseName], ""), "")</f>
        <v>Human Factors in Aviation (Refresher)</v>
      </c>
      <c r="F239" s="18">
        <v>45212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98</v>
      </c>
      <c r="C240" s="15" t="str" cm="1">
        <f t="array" ref="C240">IFERROR(_xlfn.XLOOKUP(B240, tblPeople[PersonID], tblPeople[PersonName], ""), "")</f>
        <v>Thadeus Mong’are</v>
      </c>
      <c r="D240" s="15" t="s">
        <v>126</v>
      </c>
      <c r="E240" s="16" t="str">
        <f>IFERROR(_xlfn.XLOOKUP(D240, tblCourses[CourseID], tblCourses[CourseName], ""), "")</f>
        <v>Maintenance Indoctrination</v>
      </c>
      <c r="F240" s="17">
        <v>44515</v>
      </c>
      <c r="G240" s="17" t="str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0" s="15" t="str">
        <f ca="1">IF(OR(tblTraining[[#This Row],[Status]]="Renewed",tblTraining[[#This Row],[NextDueDate]]=""),"",tblTraining[[#This Row],[NextDueDate]]-TODAY())</f>
        <v/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90</v>
      </c>
      <c r="C241" s="15" t="str" cm="1">
        <f t="array" ref="C241">IFERROR(_xlfn.XLOOKUP(B241, tblPeople[PersonID], tblPeople[PersonName], ""), "")</f>
        <v>Kendra Nambisia</v>
      </c>
      <c r="D241" s="15" t="s">
        <v>169</v>
      </c>
      <c r="E241" s="16" t="str">
        <f>IFERROR(_xlfn.XLOOKUP(D241, tblCourses[CourseID], tblCourses[CourseName], ""), "")</f>
        <v>Quality Management Systems</v>
      </c>
      <c r="F241" s="17">
        <v>45541</v>
      </c>
      <c r="G241" s="17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1" s="15">
        <f ca="1">IF(OR(tblTraining[[#This Row],[Status]]="Renewed",tblTraining[[#This Row],[NextDueDate]]=""),"",tblTraining[[#This Row],[NextDueDate]]-TODAY())</f>
        <v>350</v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92</v>
      </c>
      <c r="C242" s="15" t="str" cm="1">
        <f t="array" ref="C242">IFERROR(_xlfn.XLOOKUP(B242, tblPeople[PersonID], tblPeople[PersonName], ""), "")</f>
        <v>Reuben Otieno</v>
      </c>
      <c r="D242" s="15" t="s">
        <v>124</v>
      </c>
      <c r="E242" s="16" t="str">
        <f>IFERROR(_xlfn.XLOOKUP(D242, tblCourses[CourseID], tblCourses[CourseName], ""), "")</f>
        <v>Aviation Security (Initial)</v>
      </c>
      <c r="F242" s="17">
        <v>45716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3" spans="1:9" x14ac:dyDescent="0.25">
      <c r="A243" s="15">
        <f t="shared" si="3"/>
        <v>242</v>
      </c>
      <c r="B243" s="15" t="s">
        <v>98</v>
      </c>
      <c r="C243" s="15" t="str" cm="1">
        <f t="array" ref="C243">IFERROR(_xlfn.XLOOKUP(B243, tblPeople[PersonID], tblPeople[PersonName], ""), "")</f>
        <v>Thadeus Mong’are</v>
      </c>
      <c r="D243" s="15" t="s">
        <v>77</v>
      </c>
      <c r="E243" s="16" t="str">
        <f>IFERROR(_xlfn.XLOOKUP(D243, tblCourses[CourseID], tblCourses[CourseName], ""), "")</f>
        <v>DHC8 -100/-200/-300 Collins Wheels &amp; Brakes Familiarization Training (Refresher)</v>
      </c>
      <c r="F243" s="17">
        <v>45637</v>
      </c>
      <c r="G243" s="17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43" s="15">
        <f ca="1">IF(OR(tblTraining[[#This Row],[Status]]="Renewed",tblTraining[[#This Row],[NextDueDate]]=""),"",tblTraining[[#This Row],[NextDueDate]]-TODAY())</f>
        <v>81</v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90</v>
      </c>
      <c r="C244" s="15" t="str" cm="1">
        <f t="array" ref="C244">IFERROR(_xlfn.XLOOKUP(B244, tblPeople[PersonID], tblPeople[PersonName], ""), "")</f>
        <v>Kendra Nambisia</v>
      </c>
      <c r="D244" s="15" t="s">
        <v>175</v>
      </c>
      <c r="E244" s="16" t="str">
        <f>IFERROR(_xlfn.XLOOKUP(D244, tblCourses[CourseID], tblCourses[CourseName], ""), "")</f>
        <v>Aircraft Maintenance Engineers' Licence</v>
      </c>
      <c r="F244" s="17">
        <v>45433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5" spans="1:9" x14ac:dyDescent="0.25">
      <c r="A245" s="15">
        <f t="shared" si="3"/>
        <v>244</v>
      </c>
      <c r="B245" s="15" t="s">
        <v>92</v>
      </c>
      <c r="C245" s="15" t="str" cm="1">
        <f t="array" ref="C245">IFERROR(_xlfn.XLOOKUP(B245, tblPeople[PersonID], tblPeople[PersonName], ""), "")</f>
        <v>Reuben Otieno</v>
      </c>
      <c r="D245" s="15" t="s">
        <v>126</v>
      </c>
      <c r="E245" s="16" t="str">
        <f>IFERROR(_xlfn.XLOOKUP(D245, tblCourses[CourseID], tblCourses[CourseName], ""), "")</f>
        <v>Maintenance Indoctrination</v>
      </c>
      <c r="F245" s="17">
        <v>45146</v>
      </c>
      <c r="G245" s="17" t="str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5" s="15" t="str">
        <f ca="1">IF(OR(tblTraining[[#This Row],[Status]]="Renewed",tblTraining[[#This Row],[NextDueDate]]=""),"",tblTraining[[#This Row],[NextDueDate]]-TODAY())</f>
        <v/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98</v>
      </c>
      <c r="C246" s="15" t="str" cm="1">
        <f t="array" ref="C246">IFERROR(_xlfn.XLOOKUP(B246, tblPeople[PersonID], tblPeople[PersonName], ""), "")</f>
        <v>Thadeus Mong’are</v>
      </c>
      <c r="D246" s="15" t="s">
        <v>198</v>
      </c>
      <c r="E246" s="16" t="str">
        <f>IFERROR(_xlfn.XLOOKUP(D246, tblCourses[CourseID], tblCourses[CourseName], ""), "")</f>
        <v>Maintenance Procedures &amp; Standard Maintenance Practices (Refresher)</v>
      </c>
      <c r="F246" s="17">
        <v>45322</v>
      </c>
      <c r="G246" s="17" t="str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6" s="15" t="str">
        <f ca="1">IF(OR(tblTraining[[#This Row],[Status]]="Renewed",tblTraining[[#This Row],[NextDueDate]]=""),"",tblTraining[[#This Row],[NextDueDate]]-TODAY())</f>
        <v/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7" spans="1:9" x14ac:dyDescent="0.25">
      <c r="A247" s="15">
        <f t="shared" si="3"/>
        <v>246</v>
      </c>
      <c r="B247" s="15" t="s">
        <v>90</v>
      </c>
      <c r="C247" s="15" t="str" cm="1">
        <f t="array" ref="C247">IFERROR(_xlfn.XLOOKUP(B247, tblPeople[PersonID], tblPeople[PersonName], ""), "")</f>
        <v>Kendra Nambisia</v>
      </c>
      <c r="D247" s="15" t="s">
        <v>25</v>
      </c>
      <c r="E247" s="16" t="str">
        <f>IFERROR(_xlfn.XLOOKUP(D247, tblCourses[CourseID], tblCourses[CourseName], ""), "")</f>
        <v>Pratt &amp; Whitney Canada PT6A Engine With P&amp;WC PT6A
20/ 27/ 41/ 42/ 60A/ 67D/ 112/ 114A/ 140 (Refresher)</v>
      </c>
      <c r="F247" s="17">
        <v>45632</v>
      </c>
      <c r="G247" s="17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47" s="15">
        <f ca="1">IF(OR(tblTraining[[#This Row],[Status]]="Renewed",tblTraining[[#This Row],[NextDueDate]]=""),"",tblTraining[[#This Row],[NextDueDate]]-TODAY())</f>
        <v>76</v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8" spans="1:9" x14ac:dyDescent="0.25">
      <c r="A248" s="15">
        <f t="shared" si="3"/>
        <v>247</v>
      </c>
      <c r="B248" s="15" t="s">
        <v>92</v>
      </c>
      <c r="C248" s="15" t="str" cm="1">
        <f t="array" ref="C248">IFERROR(_xlfn.XLOOKUP(B248, tblPeople[PersonID], tblPeople[PersonName], ""), "")</f>
        <v>Reuben Otieno</v>
      </c>
      <c r="D248" s="15" t="s">
        <v>77</v>
      </c>
      <c r="E248" s="16" t="str">
        <f>IFERROR(_xlfn.XLOOKUP(D248, tblCourses[CourseID], tblCourses[CourseName], ""), "")</f>
        <v>DHC8 -100/-200/-300 Collins Wheels &amp; Brakes Familiarization Training (Refresher)</v>
      </c>
      <c r="F248" s="17">
        <v>46002</v>
      </c>
      <c r="G248" s="17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48" s="15">
        <f ca="1">IF(OR(tblTraining[[#This Row],[Status]]="Renewed",tblTraining[[#This Row],[NextDueDate]]=""),"",tblTraining[[#This Row],[NextDueDate]]-TODAY())</f>
        <v>446</v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98</v>
      </c>
      <c r="C249" s="15" t="str" cm="1">
        <f t="array" ref="C249">IFERROR(_xlfn.XLOOKUP(B249, tblPeople[PersonID], tblPeople[PersonName], ""), "")</f>
        <v>Thadeus Mong’are</v>
      </c>
      <c r="D249" s="15" t="s">
        <v>137</v>
      </c>
      <c r="E249" s="16" t="str">
        <f>IFERROR(_xlfn.XLOOKUP(D249, tblCourses[CourseID], tblCourses[CourseName], ""), "")</f>
        <v>GARMIN 1000 Avionics</v>
      </c>
      <c r="F249" s="17">
        <v>44664</v>
      </c>
      <c r="G249" s="17" t="str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9" s="15" t="str">
        <f ca="1">IF(OR(tblTraining[[#This Row],[Status]]="Renewed",tblTraining[[#This Row],[NextDueDate]]=""),"",tblTraining[[#This Row],[NextDueDate]]-TODAY())</f>
        <v/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90</v>
      </c>
      <c r="C250" s="15" t="str" cm="1">
        <f t="array" ref="C250">IFERROR(_xlfn.XLOOKUP(B250, tblPeople[PersonID], tblPeople[PersonName], ""), "")</f>
        <v>Kendra Nambisia</v>
      </c>
      <c r="D250" s="15" t="s">
        <v>33</v>
      </c>
      <c r="E250" s="16" t="str">
        <f>IFERROR(_xlfn.XLOOKUP(D250, tblCourses[CourseID], tblCourses[CourseName], ""), "")</f>
        <v>Audit Techniques</v>
      </c>
      <c r="F250" s="17">
        <v>45756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92</v>
      </c>
      <c r="C251" s="15" t="str" cm="1">
        <f t="array" ref="C251">IFERROR(_xlfn.XLOOKUP(B251, tblPeople[PersonID], tblPeople[PersonName], ""), "")</f>
        <v>Reuben Otieno</v>
      </c>
      <c r="D251" s="15" t="s">
        <v>109</v>
      </c>
      <c r="E251" s="16" t="str">
        <f>IFERROR(_xlfn.XLOOKUP(D251, tblCourses[CourseID], tblCourses[CourseName], ""), "")</f>
        <v>Electrical Wiring Interconnection System Target Groups 1 &amp; 2 (Refresher)</v>
      </c>
      <c r="F251" s="17">
        <v>45777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1" s="15">
        <f ca="1">IF(OR(tblTraining[[#This Row],[Status]]="Renewed",tblTraining[[#This Row],[NextDueDate]]=""),"",tblTraining[[#This Row],[NextDueDate]]-TODAY())</f>
        <v>221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20</v>
      </c>
      <c r="E252" s="16" t="str">
        <f>IFERROR(_xlfn.XLOOKUP(D252, tblCourses[CourseID], tblCourses[CourseName], ""), "")</f>
        <v>Safety Management Systems (Initial)</v>
      </c>
      <c r="F252" s="17">
        <v>45379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125</v>
      </c>
      <c r="E253" s="16" t="str">
        <f>IFERROR(_xlfn.XLOOKUP(D253, tblCourses[CourseID], tblCourses[CourseName], ""), "")</f>
        <v>Aviation Security (Refresher)</v>
      </c>
      <c r="F253" s="17">
        <v>45716</v>
      </c>
      <c r="G253" s="17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53" s="15">
        <f ca="1">IF(OR(tblTraining[[#This Row],[Status]]="Renewed",tblTraining[[#This Row],[NextDueDate]]=""),"",tblTraining[[#This Row],[NextDueDate]]-TODAY())</f>
        <v>160</v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97</v>
      </c>
      <c r="C254" s="15" t="str" cm="1">
        <f t="array" ref="C254">IFERROR(_xlfn.XLOOKUP(B254, tblPeople[PersonID], tblPeople[PersonName], ""), "")</f>
        <v>Thomas Wambunya</v>
      </c>
      <c r="D254" s="15" t="s">
        <v>75</v>
      </c>
      <c r="E254" s="16" t="str">
        <f>IFERROR(_xlfn.XLOOKUP(D254, tblCourses[CourseID], tblCourses[CourseName], ""), "")</f>
        <v>Fuel Tank Safety Phase 1 &amp; 2 Course (Refresher)</v>
      </c>
      <c r="F254" s="18">
        <v>45418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17</v>
      </c>
      <c r="E255" s="16" t="str">
        <f>IFERROR(_xlfn.XLOOKUP(D255, tblCourses[CourseID], tblCourses[CourseName], ""), "")</f>
        <v>Safety Management Systems (Refresher)</v>
      </c>
      <c r="F255" s="17">
        <v>45379</v>
      </c>
      <c r="G255" s="17" t="str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5" s="15" t="str">
        <f ca="1">IF(OR(tblTraining[[#This Row],[Status]]="Renewed",tblTraining[[#This Row],[NextDueDate]]=""),"",tblTraining[[#This Row],[NextDueDate]]-TODAY())</f>
        <v/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6" spans="1:9" x14ac:dyDescent="0.25">
      <c r="A256" s="15">
        <f t="shared" si="3"/>
        <v>255</v>
      </c>
      <c r="B256" s="15" t="s">
        <v>86</v>
      </c>
      <c r="C256" s="15" t="str" cm="1">
        <f t="array" ref="C256">IFERROR(_xlfn.XLOOKUP(B256, tblPeople[PersonID], tblPeople[PersonName], ""), "")</f>
        <v>Samuel Okoth</v>
      </c>
      <c r="D256" s="15" t="s">
        <v>17</v>
      </c>
      <c r="E256" s="16" t="str">
        <f>IFERROR(_xlfn.XLOOKUP(D256, tblCourses[CourseID], tblCourses[CourseName], ""), "")</f>
        <v>Safety Management Systems (Refresher)</v>
      </c>
      <c r="F256" s="17">
        <v>45590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56" s="15">
        <f ca="1">IF(OR(tblTraining[[#This Row],[Status]]="Renewed",tblTraining[[#This Row],[NextDueDate]]=""),"",tblTraining[[#This Row],[NextDueDate]]-TODAY())</f>
        <v>34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57" spans="1:9" x14ac:dyDescent="0.25">
      <c r="A257" s="15">
        <f t="shared" si="3"/>
        <v>256</v>
      </c>
      <c r="B257" s="15" t="s">
        <v>97</v>
      </c>
      <c r="C257" s="15" t="str" cm="1">
        <f t="array" ref="C257">IFERROR(_xlfn.XLOOKUP(B257, tblPeople[PersonID], tblPeople[PersonName], ""), "")</f>
        <v>Thomas Wambunya</v>
      </c>
      <c r="D257" s="15" t="s">
        <v>77</v>
      </c>
      <c r="E257" s="16" t="str">
        <f>IFERROR(_xlfn.XLOOKUP(D257, tblCourses[CourseID], tblCourses[CourseName], ""), "")</f>
        <v>DHC8 -100/-200/-300 Collins Wheels &amp; Brakes Familiarization Training (Refresher)</v>
      </c>
      <c r="F257" s="18">
        <v>45637</v>
      </c>
      <c r="G257" s="17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7" s="15">
        <f ca="1">IF(OR(tblTraining[[#This Row],[Status]]="Renewed",tblTraining[[#This Row],[NextDueDate]]=""),"",tblTraining[[#This Row],[NextDueDate]]-TODAY())</f>
        <v>81</v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124</v>
      </c>
      <c r="E258" s="16" t="str">
        <f>IFERROR(_xlfn.XLOOKUP(D258, tblCourses[CourseID], tblCourses[CourseName], ""), "")</f>
        <v>Aviation Security (Initial)</v>
      </c>
      <c r="F258" s="17">
        <v>45716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86</v>
      </c>
      <c r="C259" s="15" t="str" cm="1">
        <f t="array" ref="C259">IFERROR(_xlfn.XLOOKUP(B259, tblPeople[PersonID], tblPeople[PersonName], ""), "")</f>
        <v>Samuel Okoth</v>
      </c>
      <c r="D259" s="15" t="s">
        <v>22</v>
      </c>
      <c r="E259" s="16" t="str">
        <f>IFERROR(_xlfn.XLOOKUP(D259, tblCourses[CourseID], tblCourses[CourseName], ""), "")</f>
        <v>Human Factors in Aviation (Refresher)</v>
      </c>
      <c r="F259" s="18">
        <v>45623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59" s="15">
        <f ca="1">IF(OR(tblTraining[[#This Row],[Status]]="Renewed",tblTraining[[#This Row],[NextDueDate]]=""),"",tblTraining[[#This Row],[NextDueDate]]-TODAY())</f>
        <v>67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125</v>
      </c>
      <c r="E260" s="16" t="str">
        <f>IFERROR(_xlfn.XLOOKUP(D260, tblCourses[CourseID], tblCourses[CourseName], ""), "")</f>
        <v>Aviation Security (Refresher)</v>
      </c>
      <c r="F260" s="17">
        <v>45716</v>
      </c>
      <c r="G260" s="17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0" s="15">
        <f ca="1">IF(OR(tblTraining[[#This Row],[Status]]="Renewed",tblTraining[[#This Row],[NextDueDate]]=""),"",tblTraining[[#This Row],[NextDueDate]]-TODAY())</f>
        <v>160</v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90</v>
      </c>
      <c r="C261" s="15" t="str" cm="1">
        <f t="array" ref="C261">IFERROR(_xlfn.XLOOKUP(B261, tblPeople[PersonID], tblPeople[PersonName], ""), "")</f>
        <v>Kendra Nambisia</v>
      </c>
      <c r="D261" s="15" t="s">
        <v>75</v>
      </c>
      <c r="E261" s="16" t="str">
        <f>IFERROR(_xlfn.XLOOKUP(D261, tblCourses[CourseID], tblCourses[CourseName], ""), "")</f>
        <v>Fuel Tank Safety Phase 1 &amp; 2 Course (Refresher)</v>
      </c>
      <c r="F261" s="17">
        <v>45410</v>
      </c>
      <c r="G261" s="17" t="str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1" s="15" t="str">
        <f ca="1">IF(OR(tblTraining[[#This Row],[Status]]="Renewed",tblTraining[[#This Row],[NextDueDate]]=""),"",tblTraining[[#This Row],[NextDueDate]]-TODAY())</f>
        <v/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2" spans="1:9" x14ac:dyDescent="0.25">
      <c r="A262" s="15">
        <f t="shared" si="4"/>
        <v>261</v>
      </c>
      <c r="B262" s="15" t="s">
        <v>86</v>
      </c>
      <c r="C262" s="15" t="str" cm="1">
        <f t="array" ref="C262">IFERROR(_xlfn.XLOOKUP(B262, tblPeople[PersonID], tblPeople[PersonName], ""), "")</f>
        <v>Samuel Okoth</v>
      </c>
      <c r="D262" s="15" t="s">
        <v>76</v>
      </c>
      <c r="E262" s="16" t="str">
        <f>IFERROR(_xlfn.XLOOKUP(D262, tblCourses[CourseID], tblCourses[CourseName], ""), "")</f>
        <v>Fuel Tank Safety Phase 1 &amp; 2 Course (Initial)</v>
      </c>
      <c r="F262" s="18">
        <v>45382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24</v>
      </c>
      <c r="E263" s="16" t="str">
        <f>IFERROR(_xlfn.XLOOKUP(D263, tblCourses[CourseID], tblCourses[CourseName], ""), "")</f>
        <v>Human Factors in Aviation (Initial)</v>
      </c>
      <c r="F263" s="17">
        <v>45212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4" spans="1:9" x14ac:dyDescent="0.25">
      <c r="A264" s="15">
        <f t="shared" si="4"/>
        <v>263</v>
      </c>
      <c r="B264" s="15" t="s">
        <v>90</v>
      </c>
      <c r="C264" s="15" t="str" cm="1">
        <f t="array" ref="C264">IFERROR(_xlfn.XLOOKUP(B264, tblPeople[PersonID], tblPeople[PersonName], ""), "")</f>
        <v>Kendra Nambisia</v>
      </c>
      <c r="D264" s="15" t="s">
        <v>22</v>
      </c>
      <c r="E264" s="16" t="str">
        <f>IFERROR(_xlfn.XLOOKUP(D264, tblCourses[CourseID], tblCourses[CourseName], ""), "")</f>
        <v>Human Factors in Aviation (Refresher)</v>
      </c>
      <c r="F264" s="17">
        <v>45212</v>
      </c>
      <c r="G264" s="17" t="str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4" s="15" t="str">
        <f ca="1">IF(OR(tblTraining[[#This Row],[Status]]="Renewed",tblTraining[[#This Row],[NextDueDate]]=""),"",tblTraining[[#This Row],[NextDueDate]]-TODAY())</f>
        <v/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5" spans="1:9" x14ac:dyDescent="0.25">
      <c r="A265" s="15">
        <f t="shared" si="4"/>
        <v>264</v>
      </c>
      <c r="B265" s="15" t="s">
        <v>86</v>
      </c>
      <c r="C265" s="15" t="str" cm="1">
        <f t="array" ref="C265">IFERROR(_xlfn.XLOOKUP(B265, tblPeople[PersonID], tblPeople[PersonName], ""), "")</f>
        <v>Samuel Okoth</v>
      </c>
      <c r="D265" s="15" t="s">
        <v>126</v>
      </c>
      <c r="E265" s="16" t="str">
        <f>IFERROR(_xlfn.XLOOKUP(D265, tblCourses[CourseID], tblCourses[CourseName], ""), "")</f>
        <v>Maintenance Indoctrination</v>
      </c>
      <c r="F265" s="17">
        <v>44682</v>
      </c>
      <c r="G265" s="17" t="str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5" s="15" t="str">
        <f ca="1">IF(OR(tblTraining[[#This Row],[Status]]="Renewed",tblTraining[[#This Row],[NextDueDate]]=""),"",tblTraining[[#This Row],[NextDueDate]]-TODAY())</f>
        <v/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97</v>
      </c>
      <c r="C266" s="15" t="str" cm="1">
        <f t="array" ref="C266">IFERROR(_xlfn.XLOOKUP(B266, tblPeople[PersonID], tblPeople[PersonName], ""), "")</f>
        <v>Thomas Wambunya</v>
      </c>
      <c r="D266" s="15" t="s">
        <v>17</v>
      </c>
      <c r="E266" s="16" t="str">
        <f>IFERROR(_xlfn.XLOOKUP(D266, tblCourses[CourseID], tblCourses[CourseName], ""), "")</f>
        <v>Safety Management Systems (Refresher)</v>
      </c>
      <c r="F266" s="17">
        <v>45723</v>
      </c>
      <c r="G266" s="17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66" s="15">
        <f ca="1">IF(OR(tblTraining[[#This Row],[Status]]="Renewed",tblTraining[[#This Row],[NextDueDate]]=""),"",tblTraining[[#This Row],[NextDueDate]]-TODAY())</f>
        <v>167</v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90</v>
      </c>
      <c r="C267" s="15" t="str" cm="1">
        <f t="array" ref="C267">IFERROR(_xlfn.XLOOKUP(B267, tblPeople[PersonID], tblPeople[PersonName], ""), "")</f>
        <v>Kendra Nambisia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7">
        <v>45921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67" s="15">
        <f ca="1">IF(OR(tblTraining[[#This Row],[Status]]="Renewed",tblTraining[[#This Row],[NextDueDate]]=""),"",tblTraining[[#This Row],[NextDueDate]]-TODAY())</f>
        <v>365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209</v>
      </c>
      <c r="C268" s="15" t="str" cm="1">
        <f t="array" ref="C268">IFERROR(_xlfn.XLOOKUP(B268, tblPeople[PersonID], tblPeople[PersonName], ""), "")</f>
        <v>Samuel Wacho</v>
      </c>
      <c r="D268" s="15" t="s">
        <v>126</v>
      </c>
      <c r="E268" s="16" t="str">
        <f>IFERROR(_xlfn.XLOOKUP(D268, tblCourses[CourseID], tblCourses[CourseName], ""), "")</f>
        <v>Maintenance Indoctrination</v>
      </c>
      <c r="F268" s="17">
        <v>45785</v>
      </c>
      <c r="G268" s="17" t="str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8" s="15" t="str">
        <f ca="1">IF(OR(tblTraining[[#This Row],[Status]]="Renewed",tblTraining[[#This Row],[NextDueDate]]=""),"",tblTraining[[#This Row],[NextDueDate]]-TODAY())</f>
        <v/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97</v>
      </c>
      <c r="C269" s="15" t="str" cm="1">
        <f t="array" ref="C269">IFERROR(_xlfn.XLOOKUP(B269, tblPeople[PersonID], tblPeople[PersonName], ""), "")</f>
        <v>Thomas Wambunya</v>
      </c>
      <c r="D269" s="15" t="s">
        <v>132</v>
      </c>
      <c r="E269" s="16" t="str">
        <f>IFERROR(_xlfn.XLOOKUP(D269, tblCourses[CourseID], tblCourses[CourseName], ""), "")</f>
        <v>Marshalling Techniques Course</v>
      </c>
      <c r="F269" s="17">
        <v>45475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0" spans="1:9" x14ac:dyDescent="0.25">
      <c r="A270" s="15">
        <f t="shared" si="4"/>
        <v>269</v>
      </c>
      <c r="B270" s="15" t="s">
        <v>152</v>
      </c>
      <c r="C270" s="15" t="str" cm="1">
        <f t="array" ref="C270">IFERROR(_xlfn.XLOOKUP(B270, tblPeople[PersonID], tblPeople[PersonName], ""), "")</f>
        <v>Majid Mohamed</v>
      </c>
      <c r="D270" s="15" t="s">
        <v>175</v>
      </c>
      <c r="E270" s="16" t="str">
        <f>IFERROR(_xlfn.XLOOKUP(D270, tblCourses[CourseID], tblCourses[CourseName], ""), "")</f>
        <v>Aircraft Maintenance Engineers' Licence</v>
      </c>
      <c r="F270" s="17">
        <v>45886</v>
      </c>
      <c r="G270" s="17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0" s="15">
        <f ca="1">IF(OR(tblTraining[[#This Row],[Status]]="Renewed",tblTraining[[#This Row],[NextDueDate]]=""),"",tblTraining[[#This Row],[NextDueDate]]-TODAY())</f>
        <v>330</v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209</v>
      </c>
      <c r="C271" s="15" t="str" cm="1">
        <f t="array" ref="C271">IFERROR(_xlfn.XLOOKUP(B271, tblPeople[PersonID], tblPeople[PersonName], ""), "")</f>
        <v>Samuel Wacho</v>
      </c>
      <c r="D271" s="15" t="s">
        <v>110</v>
      </c>
      <c r="E271" s="16" t="str">
        <f>IFERROR(_xlfn.XLOOKUP(D271, tblCourses[CourseID], tblCourses[CourseName], ""), "")</f>
        <v>Electrical Wiring Interconnection System Target Groups 1 &amp; 2 (Initial)</v>
      </c>
      <c r="F271" s="17">
        <v>45807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97</v>
      </c>
      <c r="C272" s="15" t="str" cm="1">
        <f t="array" ref="C272">IFERROR(_xlfn.XLOOKUP(B272, tblPeople[PersonID], tblPeople[PersonName], ""), "")</f>
        <v>Thomas Wambunya</v>
      </c>
      <c r="D272" s="15" t="s">
        <v>126</v>
      </c>
      <c r="E272" s="16" t="str">
        <f>IFERROR(_xlfn.XLOOKUP(D272, tblCourses[CourseID], tblCourses[CourseName], ""), "")</f>
        <v>Maintenance Indoctrination</v>
      </c>
      <c r="F272" s="17">
        <v>43444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3" spans="1:9" x14ac:dyDescent="0.25">
      <c r="A273" s="15">
        <f t="shared" si="4"/>
        <v>272</v>
      </c>
      <c r="B273" s="15" t="s">
        <v>152</v>
      </c>
      <c r="C273" s="15" t="str" cm="1">
        <f t="array" ref="C273">IFERROR(_xlfn.XLOOKUP(B273, tblPeople[PersonID], tblPeople[PersonName], ""), "")</f>
        <v>Majid Mohamed</v>
      </c>
      <c r="D273" s="15" t="s">
        <v>190</v>
      </c>
      <c r="E273" s="16" t="str">
        <f>IFERROR(_xlfn.XLOOKUP(D273, tblCourses[CourseID], tblCourses[CourseName], ""), "")</f>
        <v>Stock Receiving Inspection</v>
      </c>
      <c r="F273" s="17">
        <v>45646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209</v>
      </c>
      <c r="C274" s="15" t="str" cm="1">
        <f t="array" ref="C274">IFERROR(_xlfn.XLOOKUP(B274, tblPeople[PersonID], tblPeople[PersonName], ""), "")</f>
        <v>Samuel Wacho</v>
      </c>
      <c r="D274" s="15" t="s">
        <v>109</v>
      </c>
      <c r="E274" s="16" t="str">
        <f>IFERROR(_xlfn.XLOOKUP(D274, tblCourses[CourseID], tblCourses[CourseName], ""), "")</f>
        <v>Electrical Wiring Interconnection System Target Groups 1 &amp; 2 (Refresher)</v>
      </c>
      <c r="F274" s="17">
        <v>45807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74" s="15">
        <f ca="1">IF(OR(tblTraining[[#This Row],[Status]]="Renewed",tblTraining[[#This Row],[NextDueDate]]=""),"",tblTraining[[#This Row],[NextDueDate]]-TODAY())</f>
        <v>251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97</v>
      </c>
      <c r="C275" s="15" t="str" cm="1">
        <f t="array" ref="C275">IFERROR(_xlfn.XLOOKUP(B275, tblPeople[PersonID], tblPeople[PersonName], ""), "")</f>
        <v>Thomas Wambunya</v>
      </c>
      <c r="D275" s="15" t="s">
        <v>198</v>
      </c>
      <c r="E275" s="16" t="str">
        <f>IFERROR(_xlfn.XLOOKUP(D275, tblCourses[CourseID], tblCourses[CourseName], ""), "")</f>
        <v>Maintenance Procedures &amp; Standard Maintenance Practices (Refresher)</v>
      </c>
      <c r="F275" s="17">
        <v>45322</v>
      </c>
      <c r="G275" s="17" t="str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5" s="15" t="str">
        <f ca="1">IF(OR(tblTraining[[#This Row],[Status]]="Renewed",tblTraining[[#This Row],[NextDueDate]]=""),"",tblTraining[[#This Row],[NextDueDate]]-TODAY())</f>
        <v/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6" spans="1:9" x14ac:dyDescent="0.25">
      <c r="A276" s="15">
        <f t="shared" si="4"/>
        <v>275</v>
      </c>
      <c r="B276" s="15" t="s">
        <v>152</v>
      </c>
      <c r="C276" s="15" t="str" cm="1">
        <f t="array" ref="C276">IFERROR(_xlfn.XLOOKUP(B276, tblPeople[PersonID], tblPeople[PersonName], ""), "")</f>
        <v>Majid Mohamed</v>
      </c>
      <c r="D276" s="15" t="s">
        <v>132</v>
      </c>
      <c r="E276" s="16" t="str">
        <f>IFERROR(_xlfn.XLOOKUP(D276, tblCourses[CourseID], tblCourses[CourseName], ""), "")</f>
        <v>Marshalling Techniques Course</v>
      </c>
      <c r="F276" s="17">
        <v>45469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209</v>
      </c>
      <c r="C277" s="15" t="str" cm="1">
        <f t="array" ref="C277">IFERROR(_xlfn.XLOOKUP(B277, tblPeople[PersonID], tblPeople[PersonName], ""), "")</f>
        <v>Samuel Wacho</v>
      </c>
      <c r="D277" s="15" t="s">
        <v>124</v>
      </c>
      <c r="E277" s="16" t="str">
        <f>IFERROR(_xlfn.XLOOKUP(D277, tblCourses[CourseID], tblCourses[CourseName], ""), "")</f>
        <v>Aviation Security (Initial)</v>
      </c>
      <c r="F277" s="17">
        <v>45716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152</v>
      </c>
      <c r="C278" s="15" t="str" cm="1">
        <f t="array" ref="C278">IFERROR(_xlfn.XLOOKUP(B278, tblPeople[PersonID], tblPeople[PersonName], ""), "")</f>
        <v>Majid Mohamed</v>
      </c>
      <c r="D278" s="15" t="s">
        <v>124</v>
      </c>
      <c r="E278" s="16" t="str">
        <f>IFERROR(_xlfn.XLOOKUP(D278, tblCourses[CourseID], tblCourses[CourseName], ""), "")</f>
        <v>Aviation Security (Initial)</v>
      </c>
      <c r="F278" s="17">
        <v>45716</v>
      </c>
      <c r="G278" s="17" t="str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8" s="15" t="str">
        <f ca="1">IF(OR(tblTraining[[#This Row],[Status]]="Renewed",tblTraining[[#This Row],[NextDueDate]]=""),"",tblTraining[[#This Row],[NextDueDate]]-TODAY())</f>
        <v/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209</v>
      </c>
      <c r="C279" s="15" t="str" cm="1">
        <f t="array" ref="C279">IFERROR(_xlfn.XLOOKUP(B279, tblPeople[PersonID], tblPeople[PersonName], ""), "")</f>
        <v>Samuel Wacho</v>
      </c>
      <c r="D279" s="15" t="s">
        <v>125</v>
      </c>
      <c r="E279" s="16" t="str">
        <f>IFERROR(_xlfn.XLOOKUP(D279, tblCourses[CourseID], tblCourses[CourseName], ""), "")</f>
        <v>Aviation Security (Refresher)</v>
      </c>
      <c r="F279" s="17">
        <v>45716</v>
      </c>
      <c r="G279" s="17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79" s="15">
        <f ca="1">IF(OR(tblTraining[[#This Row],[Status]]="Renewed",tblTraining[[#This Row],[NextDueDate]]=""),"",tblTraining[[#This Row],[NextDueDate]]-TODAY())</f>
        <v>160</v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152</v>
      </c>
      <c r="C280" s="15" t="str" cm="1">
        <f t="array" ref="C280">IFERROR(_xlfn.XLOOKUP(B280, tblPeople[PersonID], tblPeople[PersonName], ""), "")</f>
        <v>Majid Mohamed</v>
      </c>
      <c r="D280" s="15" t="s">
        <v>125</v>
      </c>
      <c r="E280" s="16" t="str">
        <f>IFERROR(_xlfn.XLOOKUP(D280, tblCourses[CourseID], tblCourses[CourseName], ""), "")</f>
        <v>Aviation Security (Refresher)</v>
      </c>
      <c r="F280" s="17">
        <v>45716</v>
      </c>
      <c r="G280" s="17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0" s="15">
        <f ca="1">IF(OR(tblTraining[[#This Row],[Status]]="Renewed",tblTraining[[#This Row],[NextDueDate]]=""),"",tblTraining[[#This Row],[NextDueDate]]-TODAY())</f>
        <v>160</v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209</v>
      </c>
      <c r="C281" s="15" t="str" cm="1">
        <f t="array" ref="C281">IFERROR(_xlfn.XLOOKUP(B281, tblPeople[PersonID], tblPeople[PersonName], ""), "")</f>
        <v>Samuel Wacho</v>
      </c>
      <c r="D281" s="15" t="s">
        <v>77</v>
      </c>
      <c r="E281" s="16" t="str">
        <f>IFERROR(_xlfn.XLOOKUP(D281, tblCourses[CourseID], tblCourses[CourseName], ""), "")</f>
        <v>DHC8 -100/-200/-300 Collins Wheels &amp; Brakes Familiarization Training (Refresher)</v>
      </c>
      <c r="F281" s="17">
        <v>45637</v>
      </c>
      <c r="G281" s="17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1" s="15">
        <f ca="1">IF(OR(tblTraining[[#This Row],[Status]]="Renewed",tblTraining[[#This Row],[NextDueDate]]=""),"",tblTraining[[#This Row],[NextDueDate]]-TODAY())</f>
        <v>81</v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97</v>
      </c>
      <c r="C282" s="15" t="str" cm="1">
        <f t="array" ref="C282">IFERROR(_xlfn.XLOOKUP(B282, tblPeople[PersonID], tblPeople[PersonName], ""), "")</f>
        <v>Thomas Wambunya</v>
      </c>
      <c r="D282" s="15" t="s">
        <v>77</v>
      </c>
      <c r="E282" s="16" t="str">
        <f>IFERROR(_xlfn.XLOOKUP(D282, tblCourses[CourseID], tblCourses[CourseName], ""), "")</f>
        <v>DHC8 -100/-200/-300 Collins Wheels &amp; Brakes Familiarization Training (Refresher)</v>
      </c>
      <c r="F282" s="17">
        <v>44392</v>
      </c>
      <c r="G282" s="17" t="str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2" s="15" t="str">
        <f ca="1">IF(OR(tblTraining[[#This Row],[Status]]="Renewed",tblTraining[[#This Row],[NextDueDate]]=""),"",tblTraining[[#This Row],[NextDueDate]]-TODAY())</f>
        <v/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3" spans="1:9" x14ac:dyDescent="0.25">
      <c r="A283" s="15">
        <f t="shared" si="4"/>
        <v>282</v>
      </c>
      <c r="B283" s="15" t="s">
        <v>152</v>
      </c>
      <c r="C283" s="15" t="str" cm="1">
        <f t="array" ref="C283">IFERROR(_xlfn.XLOOKUP(B283, tblPeople[PersonID], tblPeople[PersonName], ""), "")</f>
        <v>Majid Mohamed</v>
      </c>
      <c r="D283" s="15" t="s">
        <v>110</v>
      </c>
      <c r="E283" s="16" t="str">
        <f>IFERROR(_xlfn.XLOOKUP(D283, tblCourses[CourseID], tblCourses[CourseName], ""), "")</f>
        <v>Electrical Wiring Interconnection System Target Groups 1 &amp; 2 (Initial)</v>
      </c>
      <c r="F283" s="17">
        <v>45802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4" spans="1:9" x14ac:dyDescent="0.25">
      <c r="A284" s="15">
        <f t="shared" si="4"/>
        <v>283</v>
      </c>
      <c r="B284" s="15" t="s">
        <v>209</v>
      </c>
      <c r="C284" s="15" t="str" cm="1">
        <f t="array" ref="C284">IFERROR(_xlfn.XLOOKUP(B284, tblPeople[PersonID], tblPeople[PersonName], ""), "")</f>
        <v>Samuel Wacho</v>
      </c>
      <c r="D284" s="15" t="s">
        <v>169</v>
      </c>
      <c r="E284" s="16" t="str">
        <f>IFERROR(_xlfn.XLOOKUP(D284, tblCourses[CourseID], tblCourses[CourseName], ""), "")</f>
        <v>Quality Management Systems</v>
      </c>
      <c r="F284" s="17">
        <v>45541</v>
      </c>
      <c r="G284" s="17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84" s="15">
        <f ca="1">IF(OR(tblTraining[[#This Row],[Status]]="Renewed",tblTraining[[#This Row],[NextDueDate]]=""),"",tblTraining[[#This Row],[NextDueDate]]-TODAY())</f>
        <v>350</v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97</v>
      </c>
      <c r="C285" s="15" t="str" cm="1">
        <f t="array" ref="C285">IFERROR(_xlfn.XLOOKUP(B285, tblPeople[PersonID], tblPeople[PersonName], ""), "")</f>
        <v>Thomas Wambunya</v>
      </c>
      <c r="D285" s="15" t="s">
        <v>28</v>
      </c>
      <c r="E285" s="16" t="str">
        <f>IFERROR(_xlfn.XLOOKUP(D285, tblCourses[CourseID], tblCourses[CourseName], ""), "")</f>
        <v>DHC-8 100/200/300 with PWC 120/120A/121/123B/C/D/E Series Engines(Refresher)</v>
      </c>
      <c r="F285" s="17">
        <v>43777</v>
      </c>
      <c r="G285" s="17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85" s="15">
        <f ca="1">IF(OR(tblTraining[[#This Row],[Status]]="Renewed",tblTraining[[#This Row],[NextDueDate]]=""),"",tblTraining[[#This Row],[NextDueDate]]-TODAY())</f>
        <v>-1778</v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86" spans="1:9" x14ac:dyDescent="0.25">
      <c r="A286" s="15">
        <f t="shared" si="4"/>
        <v>285</v>
      </c>
      <c r="B286" s="15" t="s">
        <v>152</v>
      </c>
      <c r="C286" s="15" t="str" cm="1">
        <f t="array" ref="C286">IFERROR(_xlfn.XLOOKUP(B286, tblPeople[PersonID], tblPeople[PersonName], ""), "")</f>
        <v>Majid Mohamed</v>
      </c>
      <c r="D286" s="15" t="s">
        <v>109</v>
      </c>
      <c r="E286" s="16" t="str">
        <f>IFERROR(_xlfn.XLOOKUP(D286, tblCourses[CourseID], tblCourses[CourseName], ""), "")</f>
        <v>Electrical Wiring Interconnection System Target Groups 1 &amp; 2 (Refresher)</v>
      </c>
      <c r="F286" s="17">
        <v>45802</v>
      </c>
      <c r="G286" s="17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86" s="15">
        <f ca="1">IF(OR(tblTraining[[#This Row],[Status]]="Renewed",tblTraining[[#This Row],[NextDueDate]]=""),"",tblTraining[[#This Row],[NextDueDate]]-TODAY())</f>
        <v>246</v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209</v>
      </c>
      <c r="C287" s="15" t="str" cm="1">
        <f t="array" ref="C287">IFERROR(_xlfn.XLOOKUP(B287, tblPeople[PersonID], tblPeople[PersonName], ""), "")</f>
        <v>Samuel Wacho</v>
      </c>
      <c r="D287" s="15" t="s">
        <v>132</v>
      </c>
      <c r="E287" s="16" t="str">
        <f>IFERROR(_xlfn.XLOOKUP(D287, tblCourses[CourseID], tblCourses[CourseName], ""), "")</f>
        <v>Marshalling Techniques Course</v>
      </c>
      <c r="F287" s="17">
        <v>45470</v>
      </c>
      <c r="G287" s="17" t="str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7" s="15" t="str">
        <f ca="1">IF(OR(tblTraining[[#This Row],[Status]]="Renewed",tblTraining[[#This Row],[NextDueDate]]=""),"",tblTraining[[#This Row],[NextDueDate]]-TODAY())</f>
        <v/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85</v>
      </c>
      <c r="C288" s="15" t="str" cm="1">
        <f t="array" ref="C288">IFERROR(_xlfn.XLOOKUP(B288, tblPeople[PersonID], tblPeople[PersonName], ""), "")</f>
        <v>Titus Shunza</v>
      </c>
      <c r="D288" s="15" t="s">
        <v>126</v>
      </c>
      <c r="E288" s="16" t="str">
        <f>IFERROR(_xlfn.XLOOKUP(D288, tblCourses[CourseID], tblCourses[CourseName], ""), "")</f>
        <v>Maintenance Indoctrination</v>
      </c>
      <c r="F288" s="17">
        <v>44501</v>
      </c>
      <c r="G288" s="17" t="str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8" s="15" t="str">
        <f ca="1">IF(OR(tblTraining[[#This Row],[Status]]="Renewed",tblTraining[[#This Row],[NextDueDate]]=""),"",tblTraining[[#This Row],[NextDueDate]]-TODAY())</f>
        <v/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152</v>
      </c>
      <c r="C289" s="15" t="str" cm="1">
        <f t="array" ref="C289">IFERROR(_xlfn.XLOOKUP(B289, tblPeople[PersonID], tblPeople[PersonName], ""), "")</f>
        <v>Majid Mohamed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81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209</v>
      </c>
      <c r="C290" s="15" t="str" cm="1">
        <f t="array" ref="C290">IFERROR(_xlfn.XLOOKUP(B290, tblPeople[PersonID], tblPeople[PersonName], ""), "")</f>
        <v>Samuel Wacho</v>
      </c>
      <c r="D290" s="15" t="s">
        <v>177</v>
      </c>
      <c r="E290" s="16" t="str">
        <f>IFERROR(_xlfn.XLOOKUP(D290, tblCourses[CourseID], tblCourses[CourseName], ""), "")</f>
        <v>Cessna 208 Series (Caravan) With P&amp;WC PT6A-114/ -114A/ -140 Engines (Initial)</v>
      </c>
      <c r="F290" s="17">
        <v>45814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1" spans="1:9" x14ac:dyDescent="0.25">
      <c r="A291" s="15">
        <f t="shared" si="4"/>
        <v>290</v>
      </c>
      <c r="B291" s="15" t="s">
        <v>85</v>
      </c>
      <c r="C291" s="15" t="str" cm="1">
        <f t="array" ref="C291">IFERROR(_xlfn.XLOOKUP(B291, tblPeople[PersonID], tblPeople[PersonName], ""), "")</f>
        <v>Titus Shunza</v>
      </c>
      <c r="D291" s="15" t="s">
        <v>175</v>
      </c>
      <c r="E291" s="16" t="str">
        <f>IFERROR(_xlfn.XLOOKUP(D291, tblCourses[CourseID], tblCourses[CourseName], ""), "")</f>
        <v>Aircraft Maintenance Engineers' Licence</v>
      </c>
      <c r="F291" s="17">
        <v>45607</v>
      </c>
      <c r="G291" s="17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1" s="15">
        <f ca="1">IF(OR(tblTraining[[#This Row],[Status]]="Renewed",tblTraining[[#This Row],[NextDueDate]]=""),"",tblTraining[[#This Row],[NextDueDate]]-TODAY())</f>
        <v>51</v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92" spans="1:9" x14ac:dyDescent="0.25">
      <c r="A292" s="15">
        <f t="shared" si="4"/>
        <v>291</v>
      </c>
      <c r="B292" s="15" t="s">
        <v>152</v>
      </c>
      <c r="C292" s="15" t="str" cm="1">
        <f t="array" ref="C292">IFERROR(_xlfn.XLOOKUP(B292, tblPeople[PersonID], tblPeople[PersonName], ""), "")</f>
        <v>Majid Mohamed</v>
      </c>
      <c r="D292" s="15" t="s">
        <v>28</v>
      </c>
      <c r="E292" s="16" t="str">
        <f>IFERROR(_xlfn.XLOOKUP(D292, tblCourses[CourseID], tblCourses[CourseName], ""), "")</f>
        <v>DHC-8 100/200/300 with PWC 120/120A/121/123B/C/D/E Series Engines(Refresher)</v>
      </c>
      <c r="F292" s="17">
        <v>45394</v>
      </c>
      <c r="G292" s="17" t="str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2" s="15" t="str">
        <f ca="1">IF(OR(tblTraining[[#This Row],[Status]]="Renewed",tblTraining[[#This Row],[NextDueDate]]=""),"",tblTraining[[#This Row],[NextDueDate]]-TODAY())</f>
        <v/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3" spans="1:9" x14ac:dyDescent="0.25">
      <c r="A293" s="15">
        <f t="shared" si="4"/>
        <v>292</v>
      </c>
      <c r="B293" s="15" t="s">
        <v>209</v>
      </c>
      <c r="C293" s="15" t="str" cm="1">
        <f t="array" ref="C293">IFERROR(_xlfn.XLOOKUP(B293, tblPeople[PersonID], tblPeople[PersonName], ""), "")</f>
        <v>Samuel Wacho</v>
      </c>
      <c r="D293" s="15" t="s">
        <v>178</v>
      </c>
      <c r="E293" s="16" t="str">
        <f>IFERROR(_xlfn.XLOOKUP(D293, tblCourses[CourseID], tblCourses[CourseName], ""), "")</f>
        <v>Cessna 208 Series (Caravan) With P&amp;WC PT6A-114/ -114A/ -140 Engines (Refresher)</v>
      </c>
      <c r="F293" s="17">
        <v>45814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293" s="15">
        <f ca="1">IF(OR(tblTraining[[#This Row],[Status]]="Renewed",tblTraining[[#This Row],[NextDueDate]]=""),"",tblTraining[[#This Row],[NextDueDate]]-TODAY())</f>
        <v>258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4" spans="1:9" x14ac:dyDescent="0.25">
      <c r="A294" s="15">
        <f t="shared" si="4"/>
        <v>293</v>
      </c>
      <c r="B294" s="15" t="s">
        <v>85</v>
      </c>
      <c r="C294" s="15" t="str" cm="1">
        <f t="array" ref="C294">IFERROR(_xlfn.XLOOKUP(B294, tblPeople[PersonID], tblPeople[PersonName], ""), "")</f>
        <v>Titus Shunza</v>
      </c>
      <c r="D294" s="15" t="s">
        <v>28</v>
      </c>
      <c r="E294" s="16" t="str">
        <f>IFERROR(_xlfn.XLOOKUP(D294, tblCourses[CourseID], tblCourses[CourseName], ""), "")</f>
        <v>DHC-8 100/200/300 with PWC 120/120A/121/123B/C/D/E Series Engines(Refresher)</v>
      </c>
      <c r="F294" s="17">
        <v>45856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294" s="15">
        <f ca="1">IF(OR(tblTraining[[#This Row],[Status]]="Renewed",tblTraining[[#This Row],[NextDueDate]]=""),"",tblTraining[[#This Row],[NextDueDate]]-TODAY())</f>
        <v>300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152</v>
      </c>
      <c r="C295" s="15" t="str" cm="1">
        <f t="array" ref="C295">IFERROR(_xlfn.XLOOKUP(B295, tblPeople[PersonID], tblPeople[PersonName], ""), "")</f>
        <v>Majid Mohamed</v>
      </c>
      <c r="D295" s="15" t="s">
        <v>25</v>
      </c>
      <c r="E295" s="16" t="str">
        <f>IFERROR(_xlfn.XLOOKUP(D295, tblCourses[CourseID], tblCourses[CourseName], ""), "")</f>
        <v>Pratt &amp; Whitney Canada PT6A Engine With P&amp;WC PT6A
20/ 27/ 41/ 42/ 60A/ 67D/ 112/ 114A/ 140 (Refresher)</v>
      </c>
      <c r="F295" s="17">
        <v>45730</v>
      </c>
      <c r="G295" s="17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295" s="15">
        <f ca="1">IF(OR(tblTraining[[#This Row],[Status]]="Renewed",tblTraining[[#This Row],[NextDueDate]]=""),"",tblTraining[[#This Row],[NextDueDate]]-TODAY())</f>
        <v>174</v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209</v>
      </c>
      <c r="C296" s="15" t="str" cm="1">
        <f t="array" ref="C296">IFERROR(_xlfn.XLOOKUP(B296, tblPeople[PersonID], tblPeople[PersonName], ""), "")</f>
        <v>Samuel Wacho</v>
      </c>
      <c r="D296" s="15" t="s">
        <v>76</v>
      </c>
      <c r="E296" s="16" t="str">
        <f>IFERROR(_xlfn.XLOOKUP(D296, tblCourses[CourseID], tblCourses[CourseName], ""), "")</f>
        <v>Fuel Tank Safety Phase 1 &amp; 2 Course (Initial)</v>
      </c>
      <c r="F296" s="17">
        <v>45410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85</v>
      </c>
      <c r="C297" s="15" t="str" cm="1">
        <f t="array" ref="C297">IFERROR(_xlfn.XLOOKUP(B297, tblPeople[PersonID], tblPeople[PersonName], ""), "")</f>
        <v>Titus Shunza</v>
      </c>
      <c r="D297" s="15" t="s">
        <v>25</v>
      </c>
      <c r="E297" s="16" t="str">
        <f>IFERROR(_xlfn.XLOOKUP(D297, tblCourses[CourseID], tblCourses[CourseName], ""), "")</f>
        <v>Pratt &amp; Whitney Canada PT6A Engine With P&amp;WC PT6A
20/ 27/ 41/ 42/ 60A/ 67D/ 112/ 114A/ 140 (Refresher)</v>
      </c>
      <c r="F297" s="17">
        <v>45821</v>
      </c>
      <c r="G297" s="17" t="str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7" s="15" t="str">
        <f ca="1">IF(OR(tblTraining[[#This Row],[Status]]="Renewed",tblTraining[[#This Row],[NextDueDate]]=""),"",tblTraining[[#This Row],[NextDueDate]]-TODAY())</f>
        <v/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8" spans="1:9" x14ac:dyDescent="0.25">
      <c r="A298" s="15">
        <f t="shared" si="4"/>
        <v>297</v>
      </c>
      <c r="B298" s="15" t="s">
        <v>152</v>
      </c>
      <c r="C298" s="15" t="str" cm="1">
        <f t="array" ref="C298">IFERROR(_xlfn.XLOOKUP(B298, tblPeople[PersonID], tblPeople[PersonName], ""), "")</f>
        <v>Majid Mohamed</v>
      </c>
      <c r="D298" s="15" t="s">
        <v>178</v>
      </c>
      <c r="E298" s="16" t="str">
        <f>IFERROR(_xlfn.XLOOKUP(D298, tblCourses[CourseID], tblCourses[CourseName], ""), "")</f>
        <v>Cessna 208 Series (Caravan) With P&amp;WC PT6A-114/ -114A/ -140 Engines (Refresher)</v>
      </c>
      <c r="F298" s="17">
        <v>45387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9" spans="1:9" x14ac:dyDescent="0.25">
      <c r="A299" s="15">
        <f t="shared" si="4"/>
        <v>298</v>
      </c>
      <c r="B299" s="15" t="s">
        <v>209</v>
      </c>
      <c r="C299" s="15" t="str" cm="1">
        <f t="array" ref="C299">IFERROR(_xlfn.XLOOKUP(B299, tblPeople[PersonID], tblPeople[PersonName], ""), "")</f>
        <v>Samuel Wacho</v>
      </c>
      <c r="D299" s="15" t="s">
        <v>75</v>
      </c>
      <c r="E299" s="16" t="str">
        <f>IFERROR(_xlfn.XLOOKUP(D299, tblCourses[CourseID], tblCourses[CourseName], ""), "")</f>
        <v>Fuel Tank Safety Phase 1 &amp; 2 Course (Refresher)</v>
      </c>
      <c r="F299" s="17">
        <v>45410</v>
      </c>
      <c r="G299" s="17" t="str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9" s="15" t="str">
        <f ca="1">IF(OR(tblTraining[[#This Row],[Status]]="Renewed",tblTraining[[#This Row],[NextDueDate]]=""),"",tblTraining[[#This Row],[NextDueDate]]-TODAY())</f>
        <v/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0" spans="1:9" x14ac:dyDescent="0.25">
      <c r="A300" s="15">
        <f t="shared" si="4"/>
        <v>299</v>
      </c>
      <c r="B300" s="15" t="s">
        <v>152</v>
      </c>
      <c r="C300" s="15" t="str" cm="1">
        <f t="array" ref="C300">IFERROR(_xlfn.XLOOKUP(B300, tblPeople[PersonID], tblPeople[PersonName], ""), "")</f>
        <v>Majid Mohamed</v>
      </c>
      <c r="D300" s="15" t="s">
        <v>75</v>
      </c>
      <c r="E300" s="16" t="str">
        <f>IFERROR(_xlfn.XLOOKUP(D300, tblCourses[CourseID], tblCourses[CourseName], ""), "")</f>
        <v>Fuel Tank Safety Phase 1 &amp; 2 Course (Refresher)</v>
      </c>
      <c r="F300" s="17">
        <v>45410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209</v>
      </c>
      <c r="C301" s="15" t="str" cm="1">
        <f t="array" ref="C301">IFERROR(_xlfn.XLOOKUP(B301, tblPeople[PersonID], tblPeople[PersonName], ""), "")</f>
        <v>Samuel Wacho</v>
      </c>
      <c r="D301" s="15" t="s">
        <v>20</v>
      </c>
      <c r="E301" s="16" t="str">
        <f>IFERROR(_xlfn.XLOOKUP(D301, tblCourses[CourseID], tblCourses[CourseName], ""), "")</f>
        <v>Safety Management Systems (Initial)</v>
      </c>
      <c r="F301" s="17">
        <v>45379</v>
      </c>
      <c r="G301" s="17" t="str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1" s="15" t="str">
        <f ca="1">IF(OR(tblTraining[[#This Row],[Status]]="Renewed",tblTraining[[#This Row],[NextDueDate]]=""),"",tblTraining[[#This Row],[NextDueDate]]-TODAY())</f>
        <v/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187</v>
      </c>
      <c r="E302" s="16" t="str">
        <f>IFERROR(_xlfn.XLOOKUP(D302, tblCourses[CourseID], tblCourses[CourseName], ""), "")</f>
        <v>Borescope Fundamentals P&amp;WC PW100 Series</v>
      </c>
      <c r="F302" s="17">
        <v>42709</v>
      </c>
      <c r="G302" s="17" t="str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2" s="15" t="str">
        <f ca="1">IF(OR(tblTraining[[#This Row],[Status]]="Renewed",tblTraining[[#This Row],[NextDueDate]]=""),"",tblTraining[[#This Row],[NextDueDate]]-TODAY())</f>
        <v/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4"/>
        <v>302</v>
      </c>
      <c r="B303" s="15" t="s">
        <v>152</v>
      </c>
      <c r="C303" s="15" t="str" cm="1">
        <f t="array" ref="C303">IFERROR(_xlfn.XLOOKUP(B303, tblPeople[PersonID], tblPeople[PersonName], ""), "")</f>
        <v>Majid Mohamed</v>
      </c>
      <c r="D303" s="15" t="s">
        <v>24</v>
      </c>
      <c r="E303" s="16" t="str">
        <f>IFERROR(_xlfn.XLOOKUP(D303, tblCourses[CourseID], tblCourses[CourseName], ""), "")</f>
        <v>Human Factors in Aviation (Initial)</v>
      </c>
      <c r="F303" s="17">
        <v>45410</v>
      </c>
      <c r="G303" s="17" t="str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3" s="15" t="str">
        <f ca="1">IF(OR(tblTraining[[#This Row],[Status]]="Renewed",tblTraining[[#This Row],[NextDueDate]]=""),"",tblTraining[[#This Row],[NextDueDate]]-TODAY())</f>
        <v/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209</v>
      </c>
      <c r="C304" s="15" t="str" cm="1">
        <f t="array" ref="C304">IFERROR(_xlfn.XLOOKUP(B304, tblPeople[PersonID], tblPeople[PersonName], ""), "")</f>
        <v>Samuel Wacho</v>
      </c>
      <c r="D304" s="15" t="s">
        <v>17</v>
      </c>
      <c r="E304" s="16" t="str">
        <f>IFERROR(_xlfn.XLOOKUP(D304, tblCourses[CourseID], tblCourses[CourseName], ""), "")</f>
        <v>Safety Management Systems (Refresher)</v>
      </c>
      <c r="F304" s="17">
        <v>45379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5" spans="1:9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132</v>
      </c>
      <c r="E305" s="16" t="str">
        <f>IFERROR(_xlfn.XLOOKUP(D305, tblCourses[CourseID], tblCourses[CourseName], ""), "")</f>
        <v>Marshalling Techniques Course</v>
      </c>
      <c r="F305" s="17">
        <v>45470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6" spans="1:9" x14ac:dyDescent="0.25">
      <c r="A306" s="15">
        <f t="shared" si="4"/>
        <v>305</v>
      </c>
      <c r="B306" s="15" t="s">
        <v>152</v>
      </c>
      <c r="C306" s="15" t="str" cm="1">
        <f t="array" ref="C306">IFERROR(_xlfn.XLOOKUP(B306, tblPeople[PersonID], tblPeople[PersonName], ""), "")</f>
        <v>Majid Mohamed</v>
      </c>
      <c r="D306" s="15" t="s">
        <v>22</v>
      </c>
      <c r="E306" s="16" t="str">
        <f>IFERROR(_xlfn.XLOOKUP(D306, tblCourses[CourseID], tblCourses[CourseName], ""), "")</f>
        <v>Human Factors in Aviation (Refresher)</v>
      </c>
      <c r="F306" s="17">
        <v>45410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209</v>
      </c>
      <c r="C307" s="15" t="str" cm="1">
        <f t="array" ref="C307">IFERROR(_xlfn.XLOOKUP(B307, tblPeople[PersonID], tblPeople[PersonName], ""), "")</f>
        <v>Samuel Wacho</v>
      </c>
      <c r="D307" s="15" t="s">
        <v>24</v>
      </c>
      <c r="E307" s="16" t="str">
        <f>IFERROR(_xlfn.XLOOKUP(D307, tblCourses[CourseID], tblCourses[CourseName], ""), "")</f>
        <v>Human Factors in Aviation (Initial)</v>
      </c>
      <c r="F307" s="17">
        <v>45212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8" spans="1:9" x14ac:dyDescent="0.25">
      <c r="A308" s="15">
        <f t="shared" si="4"/>
        <v>307</v>
      </c>
      <c r="B308" s="15" t="s">
        <v>85</v>
      </c>
      <c r="C308" s="15" t="str" cm="1">
        <f t="array" ref="C308">IFERROR(_xlfn.XLOOKUP(B308, tblPeople[PersonID], tblPeople[PersonName], ""), "")</f>
        <v>Titus Shunza</v>
      </c>
      <c r="D308" s="15" t="s">
        <v>77</v>
      </c>
      <c r="E308" s="16" t="str">
        <f>IFERROR(_xlfn.XLOOKUP(D308, tblCourses[CourseID], tblCourses[CourseName], ""), "")</f>
        <v>DHC8 -100/-200/-300 Collins Wheels &amp; Brakes Familiarization Training (Refresher)</v>
      </c>
      <c r="F308" s="17">
        <v>45637</v>
      </c>
      <c r="G308" s="17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08" s="15">
        <f ca="1">IF(OR(tblTraining[[#This Row],[Status]]="Renewed",tblTraining[[#This Row],[NextDueDate]]=""),"",tblTraining[[#This Row],[NextDueDate]]-TODAY())</f>
        <v>81</v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9" spans="1:9" x14ac:dyDescent="0.25">
      <c r="A309" s="15">
        <f t="shared" si="4"/>
        <v>308</v>
      </c>
      <c r="B309" s="15" t="s">
        <v>152</v>
      </c>
      <c r="C309" s="15" t="str" cm="1">
        <f t="array" ref="C309">IFERROR(_xlfn.XLOOKUP(B309, tblPeople[PersonID], tblPeople[PersonName], ""), "")</f>
        <v>Majid Mohamed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209</v>
      </c>
      <c r="C310" s="15" t="str" cm="1">
        <f t="array" ref="C310">IFERROR(_xlfn.XLOOKUP(B310, tblPeople[PersonID], tblPeople[PersonName], ""), "")</f>
        <v>Samuel Wacho</v>
      </c>
      <c r="D310" s="15" t="s">
        <v>22</v>
      </c>
      <c r="E310" s="16" t="str">
        <f>IFERROR(_xlfn.XLOOKUP(D310, tblCourses[CourseID], tblCourses[CourseName], ""), "")</f>
        <v>Human Factors in Aviation (Refresher)</v>
      </c>
      <c r="F310" s="17">
        <v>45212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1" spans="1:9" x14ac:dyDescent="0.25">
      <c r="A311" s="15">
        <f t="shared" si="4"/>
        <v>310</v>
      </c>
      <c r="B311" s="15" t="s">
        <v>85</v>
      </c>
      <c r="C311" s="15" t="str" cm="1">
        <f t="array" ref="C311">IFERROR(_xlfn.XLOOKUP(B311, tblPeople[PersonID], tblPeople[PersonName], ""), "")</f>
        <v>Titus Shunza</v>
      </c>
      <c r="D311" s="15" t="s">
        <v>178</v>
      </c>
      <c r="E311" s="16" t="str">
        <f>IFERROR(_xlfn.XLOOKUP(D311, tblCourses[CourseID], tblCourses[CourseName], ""), "")</f>
        <v>Cessna 208 Series (Caravan) With P&amp;WC PT6A-114/ -114A/ -140 Engines (Refresher)</v>
      </c>
      <c r="F311" s="17">
        <v>45343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2" spans="1:9" x14ac:dyDescent="0.25">
      <c r="A312" s="15">
        <f t="shared" si="4"/>
        <v>311</v>
      </c>
      <c r="B312" s="15" t="s">
        <v>152</v>
      </c>
      <c r="C312" s="15" t="str" cm="1">
        <f t="array" ref="C312">IFERROR(_xlfn.XLOOKUP(B312, tblPeople[PersonID], tblPeople[PersonName], ""), "")</f>
        <v>Majid Mohamed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25</v>
      </c>
      <c r="E313" s="16" t="str">
        <f>IFERROR(_xlfn.XLOOKUP(D313, tblCourses[CourseID], tblCourses[CourseName], ""), "")</f>
        <v>Pratt &amp; Whitney Canada PT6A Engine With P&amp;WC PT6A
20/ 27/ 41/ 42/ 60A/ 67D/ 112/ 114A/ 140 (Refresher)</v>
      </c>
      <c r="F313" s="17">
        <v>45090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4" spans="1:9" x14ac:dyDescent="0.25">
      <c r="A314" s="15">
        <f t="shared" si="4"/>
        <v>313</v>
      </c>
      <c r="B314" s="15" t="s">
        <v>117</v>
      </c>
      <c r="C314" s="15" t="str" cm="1">
        <f t="array" ref="C314">IFERROR(_xlfn.XLOOKUP(B314, tblPeople[PersonID], tblPeople[PersonName], ""), "")</f>
        <v>Mercy Etende</v>
      </c>
      <c r="D314" s="15" t="s">
        <v>126</v>
      </c>
      <c r="E314" s="16" t="str">
        <f>IFERROR(_xlfn.XLOOKUP(D314, tblCourses[CourseID], tblCourses[CourseName], ""), "")</f>
        <v>Maintenance Indoctrination</v>
      </c>
      <c r="F314" s="17">
        <v>43867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5" spans="1:9" x14ac:dyDescent="0.25">
      <c r="A315" s="15">
        <f t="shared" si="4"/>
        <v>314</v>
      </c>
      <c r="B315" s="15" t="s">
        <v>103</v>
      </c>
      <c r="C315" s="15" t="str" cm="1">
        <f t="array" ref="C315">IFERROR(_xlfn.XLOOKUP(B315, tblPeople[PersonID], tblPeople[PersonName], ""), "")</f>
        <v>Smith Harun</v>
      </c>
      <c r="D315" s="15" t="s">
        <v>132</v>
      </c>
      <c r="E315" s="16" t="str">
        <f>IFERROR(_xlfn.XLOOKUP(D315, tblCourses[CourseID], tblCourses[CourseName], ""), "")</f>
        <v>Marshalling Techniques Course</v>
      </c>
      <c r="F315" s="17">
        <v>45470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22</v>
      </c>
      <c r="E316" s="16" t="str">
        <f>IFERROR(_xlfn.XLOOKUP(D316, tblCourses[CourseID], tblCourses[CourseName], ""), "")</f>
        <v>Human Factors in Aviation (Refresher)</v>
      </c>
      <c r="F316" s="17">
        <v>45344</v>
      </c>
      <c r="G316" s="17" t="str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6" s="15" t="str">
        <f ca="1">IF(OR(tblTraining[[#This Row],[Status]]="Renewed",tblTraining[[#This Row],[NextDueDate]]=""),"",tblTraining[[#This Row],[NextDueDate]]-TODAY())</f>
        <v/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7" spans="1:9" x14ac:dyDescent="0.25">
      <c r="A317" s="15">
        <f t="shared" si="4"/>
        <v>316</v>
      </c>
      <c r="B317" s="15" t="s">
        <v>117</v>
      </c>
      <c r="C317" s="15" t="str" cm="1">
        <f t="array" ref="C317">IFERROR(_xlfn.XLOOKUP(B317, tblPeople[PersonID], tblPeople[PersonName], ""), "")</f>
        <v>Mercy Etende</v>
      </c>
      <c r="D317" s="15" t="s">
        <v>22</v>
      </c>
      <c r="E317" s="16" t="str">
        <f>IFERROR(_xlfn.XLOOKUP(D317, tblCourses[CourseID], tblCourses[CourseName], ""), "")</f>
        <v>Human Factors in Aviation (Refresher)</v>
      </c>
      <c r="F317" s="17">
        <v>45874</v>
      </c>
      <c r="G317" s="17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17" s="15">
        <f ca="1">IF(OR(tblTraining[[#This Row],[Status]]="Renewed",tblTraining[[#This Row],[NextDueDate]]=""),"",tblTraining[[#This Row],[NextDueDate]]-TODAY())</f>
        <v>318</v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103</v>
      </c>
      <c r="C318" s="15" t="str" cm="1">
        <f t="array" ref="C318">IFERROR(_xlfn.XLOOKUP(B318, tblPeople[PersonID], tblPeople[PersonName], ""), "")</f>
        <v>Smith Harun</v>
      </c>
      <c r="D318" s="15" t="s">
        <v>126</v>
      </c>
      <c r="E318" s="16" t="str">
        <f>IFERROR(_xlfn.XLOOKUP(D318, tblCourses[CourseID], tblCourses[CourseName], ""), "")</f>
        <v>Maintenance Indoctrination</v>
      </c>
      <c r="F318" s="17">
        <v>43444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76</v>
      </c>
      <c r="E319" s="16" t="str">
        <f>IFERROR(_xlfn.XLOOKUP(D319, tblCourses[CourseID], tblCourses[CourseName], ""), "")</f>
        <v>Fuel Tank Safety Phase 1 &amp; 2 Course (Initial)</v>
      </c>
      <c r="F319" s="17">
        <v>45403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0" spans="1:9" x14ac:dyDescent="0.25">
      <c r="A320" s="15">
        <f t="shared" si="4"/>
        <v>319</v>
      </c>
      <c r="B320" s="15" t="s">
        <v>117</v>
      </c>
      <c r="C320" s="15" t="str" cm="1">
        <f t="array" ref="C320">IFERROR(_xlfn.XLOOKUP(B320, tblPeople[PersonID], tblPeople[PersonName], ""), "")</f>
        <v>Mercy Etende</v>
      </c>
      <c r="D320" s="15" t="s">
        <v>30</v>
      </c>
      <c r="E320" s="16" t="str">
        <f>IFERROR(_xlfn.XLOOKUP(D320, tblCourses[CourseID], tblCourses[CourseName], ""), "")</f>
        <v>Dangerous Goods Regulations (CBTA 7.3) (Refresher)</v>
      </c>
      <c r="F320" s="17">
        <v>45503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4"/>
        <v>320</v>
      </c>
      <c r="B321" s="15" t="s">
        <v>103</v>
      </c>
      <c r="C321" s="15" t="str" cm="1">
        <f t="array" ref="C321">IFERROR(_xlfn.XLOOKUP(B321, tblPeople[PersonID], tblPeople[PersonName], ""), "")</f>
        <v>Smith Harun</v>
      </c>
      <c r="D321" s="15" t="s">
        <v>175</v>
      </c>
      <c r="E321" s="16" t="str">
        <f>IFERROR(_xlfn.XLOOKUP(D321, tblCourses[CourseID], tblCourses[CourseName], ""), "")</f>
        <v>Aircraft Maintenance Engineers' Licence</v>
      </c>
      <c r="F321" s="17">
        <v>45312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85</v>
      </c>
      <c r="C322" s="15" t="str" cm="1">
        <f t="array" ref="C322">IFERROR(_xlfn.XLOOKUP(B322, tblPeople[PersonID], tblPeople[PersonName], ""), "")</f>
        <v>Titus Shunza</v>
      </c>
      <c r="D322" s="15" t="s">
        <v>75</v>
      </c>
      <c r="E322" s="16" t="str">
        <f>IFERROR(_xlfn.XLOOKUP(D322, tblCourses[CourseID], tblCourses[CourseName], ""), "")</f>
        <v>Fuel Tank Safety Phase 1 &amp; 2 Course (Refresher)</v>
      </c>
      <c r="F322" s="17">
        <v>45403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3" spans="1:9" x14ac:dyDescent="0.25">
      <c r="A323" s="15">
        <f t="shared" si="4"/>
        <v>322</v>
      </c>
      <c r="B323" s="15" t="s">
        <v>117</v>
      </c>
      <c r="C323" s="15" t="str" cm="1">
        <f t="array" ref="C323">IFERROR(_xlfn.XLOOKUP(B323, tblPeople[PersonID], tblPeople[PersonName], ""), "")</f>
        <v>Mercy Etende</v>
      </c>
      <c r="D323" s="15" t="s">
        <v>22</v>
      </c>
      <c r="E323" s="16" t="str">
        <f>IFERROR(_xlfn.XLOOKUP(D323, tblCourses[CourseID], tblCourses[CourseName], ""), "")</f>
        <v>Human Factors in Aviation (Refresher)</v>
      </c>
      <c r="F323" s="17">
        <v>45112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4" spans="1:9" x14ac:dyDescent="0.25">
      <c r="A324" s="15">
        <f t="shared" ref="A324:A387" si="5">A323+1</f>
        <v>323</v>
      </c>
      <c r="B324" s="15" t="s">
        <v>103</v>
      </c>
      <c r="C324" s="15" t="str" cm="1">
        <f t="array" ref="C324">IFERROR(_xlfn.XLOOKUP(B324, tblPeople[PersonID], tblPeople[PersonName], ""), "")</f>
        <v>Smith Harun</v>
      </c>
      <c r="D324" s="15" t="s">
        <v>190</v>
      </c>
      <c r="E324" s="16" t="str">
        <f>IFERROR(_xlfn.XLOOKUP(D324, tblCourses[CourseID], tblCourses[CourseName], ""), "")</f>
        <v>Stock Receiving Inspection</v>
      </c>
      <c r="F324" s="17">
        <v>43423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5" spans="1:9" x14ac:dyDescent="0.25">
      <c r="A325" s="15">
        <f t="shared" si="5"/>
        <v>324</v>
      </c>
      <c r="B325" s="15" t="s">
        <v>85</v>
      </c>
      <c r="C325" s="15" t="str" cm="1">
        <f t="array" ref="C325">IFERROR(_xlfn.XLOOKUP(B325, tblPeople[PersonID], tblPeople[PersonName], ""), "")</f>
        <v>Titus Shunza</v>
      </c>
      <c r="D325" s="15" t="s">
        <v>17</v>
      </c>
      <c r="E325" s="16" t="str">
        <f>IFERROR(_xlfn.XLOOKUP(D325, tblCourses[CourseID], tblCourses[CourseName], ""), "")</f>
        <v>Safety Management Systems (Refresher)</v>
      </c>
      <c r="F325" s="17">
        <v>45482</v>
      </c>
      <c r="G325" s="17" t="str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5" s="15" t="str">
        <f ca="1">IF(OR(tblTraining[[#This Row],[Status]]="Renewed",tblTraining[[#This Row],[NextDueDate]]=""),"",tblTraining[[#This Row],[NextDueDate]]-TODAY())</f>
        <v/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6" spans="1:9" x14ac:dyDescent="0.25">
      <c r="A326" s="15">
        <f t="shared" si="5"/>
        <v>325</v>
      </c>
      <c r="B326" s="15" t="s">
        <v>117</v>
      </c>
      <c r="C326" s="15" t="str" cm="1">
        <f t="array" ref="C326">IFERROR(_xlfn.XLOOKUP(B326, tblPeople[PersonID], tblPeople[PersonName], ""), "")</f>
        <v>Mercy Etende</v>
      </c>
      <c r="D326" s="15" t="s">
        <v>198</v>
      </c>
      <c r="E326" s="16" t="str">
        <f>IFERROR(_xlfn.XLOOKUP(D326, tblCourses[CourseID], tblCourses[CourseName], ""), "")</f>
        <v>Maintenance Procedures &amp; Standard Maintenance Practices (Refresher)</v>
      </c>
      <c r="F326" s="17">
        <v>45322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7" spans="1:9" x14ac:dyDescent="0.25">
      <c r="A327" s="15">
        <f t="shared" si="5"/>
        <v>326</v>
      </c>
      <c r="B327" s="15" t="s">
        <v>103</v>
      </c>
      <c r="C327" s="15" t="str" cm="1">
        <f t="array" ref="C327">IFERROR(_xlfn.XLOOKUP(B327, tblPeople[PersonID], tblPeople[PersonName], ""), "")</f>
        <v>Smith Harun</v>
      </c>
      <c r="D327" s="15" t="s">
        <v>28</v>
      </c>
      <c r="E327" s="16" t="str">
        <f>IFERROR(_xlfn.XLOOKUP(D327, tblCourses[CourseID], tblCourses[CourseName], ""), "")</f>
        <v>DHC-8 100/200/300 with PWC 120/120A/121/123B/C/D/E Series Engines(Refresher)</v>
      </c>
      <c r="F327" s="17">
        <v>45856</v>
      </c>
      <c r="G327" s="17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27" s="15">
        <f ca="1">IF(OR(tblTraining[[#This Row],[Status]]="Renewed",tblTraining[[#This Row],[NextDueDate]]=""),"",tblTraining[[#This Row],[NextDueDate]]-TODAY())</f>
        <v>300</v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85</v>
      </c>
      <c r="C328" s="15" t="str" cm="1">
        <f t="array" ref="C328">IFERROR(_xlfn.XLOOKUP(B328, tblPeople[PersonID], tblPeople[PersonName], ""), "")</f>
        <v>Titus Shunza</v>
      </c>
      <c r="D328" s="15" t="s">
        <v>110</v>
      </c>
      <c r="E328" s="16" t="str">
        <f>IFERROR(_xlfn.XLOOKUP(D328, tblCourses[CourseID], tblCourses[CourseName], ""), "")</f>
        <v>Electrical Wiring Interconnection System Target Groups 1 &amp; 2 (Initial)</v>
      </c>
      <c r="F328" s="17">
        <v>45783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9" spans="1:9" x14ac:dyDescent="0.25">
      <c r="A329" s="15">
        <f t="shared" si="5"/>
        <v>328</v>
      </c>
      <c r="B329" s="15" t="s">
        <v>117</v>
      </c>
      <c r="C329" s="15" t="str" cm="1">
        <f t="array" ref="C329">IFERROR(_xlfn.XLOOKUP(B329, tblPeople[PersonID], tblPeople[PersonName], ""), "")</f>
        <v>Mercy Etende</v>
      </c>
      <c r="D329" s="15" t="s">
        <v>17</v>
      </c>
      <c r="E329" s="16" t="str">
        <f>IFERROR(_xlfn.XLOOKUP(D329, tblCourses[CourseID], tblCourses[CourseName], ""), "")</f>
        <v>Safety Management Systems (Refresher)</v>
      </c>
      <c r="F329" s="17">
        <v>44990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103</v>
      </c>
      <c r="C330" s="15" t="str" cm="1">
        <f t="array" ref="C330">IFERROR(_xlfn.XLOOKUP(B330, tblPeople[PersonID], tblPeople[PersonName], ""), "")</f>
        <v>Smith Harun</v>
      </c>
      <c r="D330" s="15" t="s">
        <v>77</v>
      </c>
      <c r="E330" s="16" t="str">
        <f>IFERROR(_xlfn.XLOOKUP(D330, tblCourses[CourseID], tblCourses[CourseName], ""), "")</f>
        <v>DHC8 -100/-200/-300 Collins Wheels &amp; Brakes Familiarization Training (Refresher)</v>
      </c>
      <c r="F330" s="17">
        <v>45637</v>
      </c>
      <c r="G330" s="17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0" s="15">
        <f ca="1">IF(OR(tblTraining[[#This Row],[Status]]="Renewed",tblTraining[[#This Row],[NextDueDate]]=""),"",tblTraining[[#This Row],[NextDueDate]]-TODAY())</f>
        <v>81</v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1" spans="1:9" x14ac:dyDescent="0.25">
      <c r="A331" s="15">
        <f t="shared" si="5"/>
        <v>330</v>
      </c>
      <c r="B331" s="15" t="s">
        <v>85</v>
      </c>
      <c r="C331" s="15" t="str" cm="1">
        <f t="array" ref="C331">IFERROR(_xlfn.XLOOKUP(B331, tblPeople[PersonID], tblPeople[PersonName], ""), "")</f>
        <v>Titus Shunza</v>
      </c>
      <c r="D331" s="15" t="s">
        <v>109</v>
      </c>
      <c r="E331" s="16" t="str">
        <f>IFERROR(_xlfn.XLOOKUP(D331, tblCourses[CourseID], tblCourses[CourseName], ""), "")</f>
        <v>Electrical Wiring Interconnection System Target Groups 1 &amp; 2 (Refresher)</v>
      </c>
      <c r="F331" s="17">
        <v>45783</v>
      </c>
      <c r="G331" s="17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1" s="15">
        <f ca="1">IF(OR(tblTraining[[#This Row],[Status]]="Renewed",tblTraining[[#This Row],[NextDueDate]]=""),"",tblTraining[[#This Row],[NextDueDate]]-TODAY())</f>
        <v>227</v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2" spans="1:9" x14ac:dyDescent="0.25">
      <c r="A332" s="15">
        <f t="shared" si="5"/>
        <v>331</v>
      </c>
      <c r="B332" s="15" t="s">
        <v>117</v>
      </c>
      <c r="C332" s="15" t="str" cm="1">
        <f t="array" ref="C332">IFERROR(_xlfn.XLOOKUP(B332, tblPeople[PersonID], tblPeople[PersonName], ""), "")</f>
        <v>Mercy Etende</v>
      </c>
      <c r="D332" s="15" t="s">
        <v>17</v>
      </c>
      <c r="E332" s="16" t="str">
        <f>IFERROR(_xlfn.XLOOKUP(D332, tblCourses[CourseID], tblCourses[CourseName], ""), "")</f>
        <v>Safety Management Systems (Refresher)</v>
      </c>
      <c r="F332" s="17">
        <v>45723</v>
      </c>
      <c r="G332" s="17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32" s="15">
        <f ca="1">IF(OR(tblTraining[[#This Row],[Status]]="Renewed",tblTraining[[#This Row],[NextDueDate]]=""),"",tblTraining[[#This Row],[NextDueDate]]-TODAY())</f>
        <v>167</v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103</v>
      </c>
      <c r="C333" s="15" t="str" cm="1">
        <f t="array" ref="C333">IFERROR(_xlfn.XLOOKUP(B333, tblPeople[PersonID], tblPeople[PersonName], ""), "")</f>
        <v>Smith Harun</v>
      </c>
      <c r="D333" s="15" t="s">
        <v>198</v>
      </c>
      <c r="E333" s="16" t="str">
        <f>IFERROR(_xlfn.XLOOKUP(D333, tblCourses[CourseID], tblCourses[CourseName], ""), "")</f>
        <v>Maintenance Procedures &amp; Standard Maintenance Practices (Refresher)</v>
      </c>
      <c r="F333" s="17">
        <v>45322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85</v>
      </c>
      <c r="C334" s="15" t="str" cm="1">
        <f t="array" ref="C334">IFERROR(_xlfn.XLOOKUP(B334, tblPeople[PersonID], tblPeople[PersonName], ""), "")</f>
        <v>Titus Shunza</v>
      </c>
      <c r="D334" s="15" t="s">
        <v>33</v>
      </c>
      <c r="E334" s="16" t="str">
        <f>IFERROR(_xlfn.XLOOKUP(D334, tblCourses[CourseID], tblCourses[CourseName], ""), "")</f>
        <v>Audit Techniques</v>
      </c>
      <c r="F334" s="17">
        <v>45756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110</v>
      </c>
      <c r="E335" s="16" t="str">
        <f>IFERROR(_xlfn.XLOOKUP(D335, tblCourses[CourseID], tblCourses[CourseName], ""), "")</f>
        <v>Electrical Wiring Interconnection System Target Groups 1 &amp; 2 (Initial)</v>
      </c>
      <c r="F335" s="17">
        <v>45813</v>
      </c>
      <c r="G335" s="17" t="str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5" s="15" t="str">
        <f ca="1">IF(OR(tblTraining[[#This Row],[Status]]="Renewed",tblTraining[[#This Row],[NextDueDate]]=""),"",tblTraining[[#This Row],[NextDueDate]]-TODAY())</f>
        <v/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169</v>
      </c>
      <c r="E336" s="16" t="str">
        <f>IFERROR(_xlfn.XLOOKUP(D336, tblCourses[CourseID], tblCourses[CourseName], ""), "")</f>
        <v>Quality Management Systems</v>
      </c>
      <c r="F336" s="17">
        <v>45709</v>
      </c>
      <c r="G336" s="17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36" s="15">
        <f ca="1">IF(OR(tblTraining[[#This Row],[Status]]="Renewed",tblTraining[[#This Row],[NextDueDate]]=""),"",tblTraining[[#This Row],[NextDueDate]]-TODAY())</f>
        <v>518</v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103</v>
      </c>
      <c r="C337" s="15" t="str" cm="1">
        <f t="array" ref="C337">IFERROR(_xlfn.XLOOKUP(B337, tblPeople[PersonID], tblPeople[PersonName], ""), "")</f>
        <v>Smith Harun</v>
      </c>
      <c r="D337" s="15" t="s">
        <v>109</v>
      </c>
      <c r="E337" s="16" t="str">
        <f>IFERROR(_xlfn.XLOOKUP(D337, tblCourses[CourseID], tblCourses[CourseName], ""), "")</f>
        <v>Electrical Wiring Interconnection System Target Groups 1 &amp; 2 (Refresher)</v>
      </c>
      <c r="F337" s="17">
        <v>45813</v>
      </c>
      <c r="G337" s="17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37" s="15">
        <f ca="1">IF(OR(tblTraining[[#This Row],[Status]]="Renewed",tblTraining[[#This Row],[NextDueDate]]=""),"",tblTraining[[#This Row],[NextDueDate]]-TODAY())</f>
        <v>257</v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8" spans="1:9" x14ac:dyDescent="0.25">
      <c r="A338" s="15">
        <f t="shared" si="5"/>
        <v>337</v>
      </c>
      <c r="B338" s="15" t="s">
        <v>85</v>
      </c>
      <c r="C338" s="15" t="str" cm="1">
        <f t="array" ref="C338">IFERROR(_xlfn.XLOOKUP(B338, tblPeople[PersonID], tblPeople[PersonName], ""), "")</f>
        <v>Titus Shunza</v>
      </c>
      <c r="D338" s="15" t="s">
        <v>124</v>
      </c>
      <c r="E338" s="16" t="str">
        <f>IFERROR(_xlfn.XLOOKUP(D338, tblCourses[CourseID], tblCourses[CourseName], ""), "")</f>
        <v>Aviation Security (Initial)</v>
      </c>
      <c r="F338" s="17">
        <v>45716</v>
      </c>
      <c r="G338" s="17" t="str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8" s="15" t="str">
        <f ca="1">IF(OR(tblTraining[[#This Row],[Status]]="Renewed",tblTraining[[#This Row],[NextDueDate]]=""),"",tblTraining[[#This Row],[NextDueDate]]-TODAY())</f>
        <v/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103</v>
      </c>
      <c r="C339" s="15" t="str" cm="1">
        <f t="array" ref="C339">IFERROR(_xlfn.XLOOKUP(B339, tblPeople[PersonID], tblPeople[PersonName], ""), "")</f>
        <v>Smith Harun</v>
      </c>
      <c r="D339" s="15" t="s">
        <v>22</v>
      </c>
      <c r="E339" s="16" t="str">
        <f>IFERROR(_xlfn.XLOOKUP(D339, tblCourses[CourseID], tblCourses[CourseName], ""), "")</f>
        <v>Human Factors in Aviation (Refresher)</v>
      </c>
      <c r="F339" s="17">
        <v>45637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9" s="15">
        <f ca="1">IF(OR(tblTraining[[#This Row],[Status]]="Renewed",tblTraining[[#This Row],[NextDueDate]]=""),"",tblTraining[[#This Row],[NextDueDate]]-TODAY())</f>
        <v>81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85</v>
      </c>
      <c r="C340" s="15" t="str" cm="1">
        <f t="array" ref="C340">IFERROR(_xlfn.XLOOKUP(B340, tblPeople[PersonID], tblPeople[PersonName], ""), "")</f>
        <v>Titus Shunza</v>
      </c>
      <c r="D340" s="15" t="s">
        <v>125</v>
      </c>
      <c r="E340" s="16" t="str">
        <f>IFERROR(_xlfn.XLOOKUP(D340, tblCourses[CourseID], tblCourses[CourseName], ""), "")</f>
        <v>Aviation Security (Refresher)</v>
      </c>
      <c r="F340" s="17">
        <v>45716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0" s="15">
        <f ca="1">IF(OR(tblTraining[[#This Row],[Status]]="Renewed",tblTraining[[#This Row],[NextDueDate]]=""),"",tblTraining[[#This Row],[NextDueDate]]-TODAY())</f>
        <v>160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17</v>
      </c>
      <c r="E341" s="16" t="str">
        <f>IFERROR(_xlfn.XLOOKUP(D341, tblCourses[CourseID], tblCourses[CourseName], ""), "")</f>
        <v>Safety Management Systems (Refresher)</v>
      </c>
      <c r="F341" s="17">
        <v>45114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155</v>
      </c>
      <c r="C342" s="15" t="str" cm="1">
        <f t="array" ref="C342">IFERROR(_xlfn.XLOOKUP(B342, tblPeople[PersonID], tblPeople[PersonName], ""), "")</f>
        <v>Urbanus Muema</v>
      </c>
      <c r="D342" s="15" t="s">
        <v>126</v>
      </c>
      <c r="E342" s="16" t="str">
        <f>IFERROR(_xlfn.XLOOKUP(D342, tblCourses[CourseID], tblCourses[CourseName], ""), "")</f>
        <v>Maintenance Indoctrination</v>
      </c>
      <c r="F342" s="17">
        <v>44686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30</v>
      </c>
      <c r="E343" s="16" t="str">
        <f>IFERROR(_xlfn.XLOOKUP(D343, tblCourses[CourseID], tblCourses[CourseName], ""), "")</f>
        <v>Dangerous Goods Regulations (CBTA 7.3) (Refresher)</v>
      </c>
      <c r="F343" s="17">
        <v>45758</v>
      </c>
      <c r="G343" s="17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43" s="15">
        <f ca="1">IF(OR(tblTraining[[#This Row],[Status]]="Renewed",tblTraining[[#This Row],[NextDueDate]]=""),"",tblTraining[[#This Row],[NextDueDate]]-TODAY())</f>
        <v>202</v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155</v>
      </c>
      <c r="C344" s="15" t="str" cm="1">
        <f t="array" ref="C344">IFERROR(_xlfn.XLOOKUP(B344, tblPeople[PersonID], tblPeople[PersonName], ""), "")</f>
        <v>Urbanus Muema</v>
      </c>
      <c r="D344" s="15" t="s">
        <v>78</v>
      </c>
      <c r="E344" s="16" t="str">
        <f>IFERROR(_xlfn.XLOOKUP(D344, tblCourses[CourseID], tblCourses[CourseName], ""), "")</f>
        <v>DHC8 -100/-200/-300 Collins Wheels &amp; Brakes Familiarization Training (Initial)</v>
      </c>
      <c r="F344" s="17">
        <v>45637</v>
      </c>
      <c r="G344" s="17" t="str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4" s="15" t="str">
        <f ca="1">IF(OR(tblTraining[[#This Row],[Status]]="Renewed",tblTraining[[#This Row],[NextDueDate]]=""),"",tblTraining[[#This Row],[NextDueDate]]-TODAY())</f>
        <v/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218</v>
      </c>
      <c r="E345" s="16" t="str">
        <f>IFERROR(_xlfn.XLOOKUP(D345, tblCourses[CourseID], tblCourses[CourseName], ""), "")</f>
        <v>SOCATA TBM 700 Series (Initial)</v>
      </c>
      <c r="F345" s="17">
        <v>45733</v>
      </c>
      <c r="G345" s="17" t="str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5" s="15" t="str">
        <f ca="1">IF(OR(tblTraining[[#This Row],[Status]]="Renewed",tblTraining[[#This Row],[NextDueDate]]=""),"",tblTraining[[#This Row],[NextDueDate]]-TODAY())</f>
        <v/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155</v>
      </c>
      <c r="C346" s="15" t="str" cm="1">
        <f t="array" ref="C346">IFERROR(_xlfn.XLOOKUP(B346, tblPeople[PersonID], tblPeople[PersonName], ""), "")</f>
        <v>Urbanus Muema</v>
      </c>
      <c r="D346" s="15" t="s">
        <v>77</v>
      </c>
      <c r="E346" s="16" t="str">
        <f>IFERROR(_xlfn.XLOOKUP(D346, tblCourses[CourseID], tblCourses[CourseName], ""), "")</f>
        <v>DHC8 -100/-200/-300 Collins Wheels &amp; Brakes Familiarization Training (Refresher)</v>
      </c>
      <c r="F346" s="17">
        <v>45637</v>
      </c>
      <c r="G346" s="17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6" s="15">
        <f ca="1">IF(OR(tblTraining[[#This Row],[Status]]="Renewed",tblTraining[[#This Row],[NextDueDate]]=""),"",tblTraining[[#This Row],[NextDueDate]]-TODAY())</f>
        <v>81</v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75</v>
      </c>
      <c r="E347" s="16" t="str">
        <f>IFERROR(_xlfn.XLOOKUP(D347, tblCourses[CourseID], tblCourses[CourseName], ""), "")</f>
        <v>Fuel Tank Safety Phase 1 &amp; 2 Course (Refresher)</v>
      </c>
      <c r="F347" s="17">
        <v>45428</v>
      </c>
      <c r="G347" s="17" t="str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7" s="15" t="str">
        <f ca="1">IF(OR(tblTraining[[#This Row],[Status]]="Renewed",tblTraining[[#This Row],[NextDueDate]]=""),"",tblTraining[[#This Row],[NextDueDate]]-TODAY())</f>
        <v/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8" spans="1:9" x14ac:dyDescent="0.25">
      <c r="A348" s="15">
        <f t="shared" si="5"/>
        <v>347</v>
      </c>
      <c r="B348" s="15" t="s">
        <v>155</v>
      </c>
      <c r="C348" s="15" t="str" cm="1">
        <f t="array" ref="C348">IFERROR(_xlfn.XLOOKUP(B348, tblPeople[PersonID], tblPeople[PersonName], ""), "")</f>
        <v>Urbanus Muema</v>
      </c>
      <c r="D348" s="15" t="s">
        <v>24</v>
      </c>
      <c r="E348" s="16" t="str">
        <f>IFERROR(_xlfn.XLOOKUP(D348, tblCourses[CourseID], tblCourses[CourseName], ""), "")</f>
        <v>Human Factors in Aviation (Initial)</v>
      </c>
      <c r="F348" s="17">
        <v>44854</v>
      </c>
      <c r="G348" s="17" t="str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8" s="15" t="str">
        <f ca="1">IF(OR(tblTraining[[#This Row],[Status]]="Renewed",tblTraining[[#This Row],[NextDueDate]]=""),"",tblTraining[[#This Row],[NextDueDate]]-TODAY())</f>
        <v/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178</v>
      </c>
      <c r="E349" s="16" t="str">
        <f>IFERROR(_xlfn.XLOOKUP(D349, tblCourses[CourseID], tblCourses[CourseName], ""), "")</f>
        <v>Cessna 208 Series (Caravan) With P&amp;WC PT6A-114/ -114A/ -140 Engines (Refresher)</v>
      </c>
      <c r="F349" s="17">
        <v>45343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155</v>
      </c>
      <c r="C350" s="15" t="str" cm="1">
        <f t="array" ref="C350">IFERROR(_xlfn.XLOOKUP(B350, tblPeople[PersonID], tblPeople[PersonName], ""), "")</f>
        <v>Urbanus Muema</v>
      </c>
      <c r="D350" s="15" t="s">
        <v>22</v>
      </c>
      <c r="E350" s="16" t="str">
        <f>IFERROR(_xlfn.XLOOKUP(D350, tblCourses[CourseID], tblCourses[CourseName], ""), "")</f>
        <v>Human Factors in Aviation (Refresher)</v>
      </c>
      <c r="F350" s="17">
        <v>45606</v>
      </c>
      <c r="G350" s="17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0" s="15">
        <f ca="1">IF(OR(tblTraining[[#This Row],[Status]]="Renewed",tblTraining[[#This Row],[NextDueDate]]=""),"",tblTraining[[#This Row],[NextDueDate]]-TODAY())</f>
        <v>50</v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28</v>
      </c>
      <c r="E351" s="16" t="str">
        <f>IFERROR(_xlfn.XLOOKUP(D351, tblCourses[CourseID], tblCourses[CourseName], ""), "")</f>
        <v>DHC-8 100/200/300 with PWC 120/120A/121/123B/C/D/E Series Engines(Refresher)</v>
      </c>
      <c r="F351" s="17">
        <v>45135</v>
      </c>
      <c r="G351" s="17" t="str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1" s="15" t="str">
        <f ca="1">IF(OR(tblTraining[[#This Row],[Status]]="Renewed",tblTraining[[#This Row],[NextDueDate]]=""),"",tblTraining[[#This Row],[NextDueDate]]-TODAY())</f>
        <v/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2" spans="1:9" x14ac:dyDescent="0.25">
      <c r="A352" s="15">
        <f t="shared" si="5"/>
        <v>351</v>
      </c>
      <c r="B352" s="15" t="s">
        <v>155</v>
      </c>
      <c r="C352" s="15" t="str" cm="1">
        <f t="array" ref="C352">IFERROR(_xlfn.XLOOKUP(B352, tblPeople[PersonID], tblPeople[PersonName], ""), "")</f>
        <v>Urbanus Muema</v>
      </c>
      <c r="D352" s="15" t="s">
        <v>17</v>
      </c>
      <c r="E352" s="16" t="str">
        <f>IFERROR(_xlfn.XLOOKUP(D352, tblCourses[CourseID], tblCourses[CourseName], ""), "")</f>
        <v>Safety Management Systems (Refresher)</v>
      </c>
      <c r="F352" s="17">
        <v>45590</v>
      </c>
      <c r="G352" s="17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52" s="15">
        <f ca="1">IF(OR(tblTraining[[#This Row],[Status]]="Renewed",tblTraining[[#This Row],[NextDueDate]]=""),"",tblTraining[[#This Row],[NextDueDate]]-TODAY())</f>
        <v>34</v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25</v>
      </c>
      <c r="E353" s="16" t="str">
        <f>IFERROR(_xlfn.XLOOKUP(D353, tblCourses[CourseID], tblCourses[CourseName], ""), "")</f>
        <v>Pratt &amp; Whitney Canada PT6A Engine With P&amp;WC PT6A
20/ 27/ 41/ 42/ 60A/ 67D/ 112/ 114A/ 140 (Refresher)</v>
      </c>
      <c r="F353" s="17">
        <v>45195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4" spans="1:9" x14ac:dyDescent="0.25">
      <c r="A354" s="15">
        <f t="shared" si="5"/>
        <v>353</v>
      </c>
      <c r="B354" s="15" t="s">
        <v>155</v>
      </c>
      <c r="C354" s="15" t="str" cm="1">
        <f t="array" ref="C354">IFERROR(_xlfn.XLOOKUP(B354, tblPeople[PersonID], tblPeople[PersonName], ""), "")</f>
        <v>Urbanus Muema</v>
      </c>
      <c r="D354" s="15" t="s">
        <v>76</v>
      </c>
      <c r="E354" s="16" t="str">
        <f>IFERROR(_xlfn.XLOOKUP(D354, tblCourses[CourseID], tblCourses[CourseName], ""), "")</f>
        <v>Fuel Tank Safety Phase 1 &amp; 2 Course (Initial)</v>
      </c>
      <c r="F354" s="17">
        <v>45416</v>
      </c>
      <c r="G354" s="17" t="str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4" s="15" t="str">
        <f ca="1">IF(OR(tblTraining[[#This Row],[Status]]="Renewed",tblTraining[[#This Row],[NextDueDate]]=""),"",tblTraining[[#This Row],[NextDueDate]]-TODAY())</f>
        <v/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221</v>
      </c>
      <c r="E355" s="16" t="str">
        <f>IFERROR(_xlfn.XLOOKUP(D355, tblCourses[CourseID], tblCourses[CourseName], ""), "")</f>
        <v>Core Instructional Technique (Initial)</v>
      </c>
      <c r="F355" s="17">
        <v>43357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6" spans="1:9" x14ac:dyDescent="0.25">
      <c r="A356" s="15">
        <f t="shared" si="5"/>
        <v>355</v>
      </c>
      <c r="B356" s="15" t="s">
        <v>155</v>
      </c>
      <c r="C356" s="15" t="str" cm="1">
        <f t="array" ref="C356">IFERROR(_xlfn.XLOOKUP(B356, tblPeople[PersonID], tblPeople[PersonName], ""), "")</f>
        <v>Urbanus Muema</v>
      </c>
      <c r="D356" s="15" t="s">
        <v>75</v>
      </c>
      <c r="E356" s="16" t="str">
        <f>IFERROR(_xlfn.XLOOKUP(D356, tblCourses[CourseID], tblCourses[CourseName], ""), "")</f>
        <v>Fuel Tank Safety Phase 1 &amp; 2 Course (Refresher)</v>
      </c>
      <c r="F356" s="17">
        <v>45416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187</v>
      </c>
      <c r="E357" s="16" t="str">
        <f>IFERROR(_xlfn.XLOOKUP(D357, tblCourses[CourseID], tblCourses[CourseName], ""), "")</f>
        <v>Borescope Fundamentals P&amp;WC PW100 Series</v>
      </c>
      <c r="F357" s="17">
        <v>43416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8" spans="1:9" x14ac:dyDescent="0.25">
      <c r="A358" s="15">
        <f t="shared" si="5"/>
        <v>357</v>
      </c>
      <c r="B358" s="15" t="s">
        <v>155</v>
      </c>
      <c r="C358" s="15" t="str" cm="1">
        <f t="array" ref="C358">IFERROR(_xlfn.XLOOKUP(B358, tblPeople[PersonID], tblPeople[PersonName], ""), "")</f>
        <v>Urbanus Muema</v>
      </c>
      <c r="D358" s="15" t="s">
        <v>144</v>
      </c>
      <c r="E358" s="16" t="str">
        <f>IFERROR(_xlfn.XLOOKUP(D358, tblCourses[CourseID], tblCourses[CourseName], ""), "")</f>
        <v>Composite Structures Inspection - Familiarisation</v>
      </c>
      <c r="F358" s="17">
        <v>44485</v>
      </c>
      <c r="G358" s="17" t="str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8" s="15" t="str">
        <f ca="1">IF(OR(tblTraining[[#This Row],[Status]]="Renewed",tblTraining[[#This Row],[NextDueDate]]=""),"",tblTraining[[#This Row],[NextDueDate]]-TODAY())</f>
        <v/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181</v>
      </c>
      <c r="E359" s="16" t="str">
        <f>IFERROR(_xlfn.XLOOKUP(D359, tblCourses[CourseID], tblCourses[CourseName], ""), "")</f>
        <v>Leadership &amp; Management</v>
      </c>
      <c r="F359" s="17">
        <v>43076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0" spans="1:9" x14ac:dyDescent="0.25">
      <c r="A360" s="15">
        <f t="shared" si="5"/>
        <v>359</v>
      </c>
      <c r="B360" s="15" t="s">
        <v>103</v>
      </c>
      <c r="C360" s="15" t="str" cm="1">
        <f t="array" ref="C360">IFERROR(_xlfn.XLOOKUP(B360, tblPeople[PersonID], tblPeople[PersonName], ""), "")</f>
        <v>Smith Harun</v>
      </c>
      <c r="D360" s="15" t="s">
        <v>77</v>
      </c>
      <c r="E360" s="16" t="str">
        <f>IFERROR(_xlfn.XLOOKUP(D360, tblCourses[CourseID], tblCourses[CourseName], ""), "")</f>
        <v>DHC8 -100/-200/-300 Collins Wheels &amp; Brakes Familiarization Training (Refresher)</v>
      </c>
      <c r="F360" s="17">
        <v>44392</v>
      </c>
      <c r="G360" s="17" t="str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0" s="15" t="str">
        <f ca="1">IF(OR(tblTraining[[#This Row],[Status]]="Renewed",tblTraining[[#This Row],[NextDueDate]]=""),"",tblTraining[[#This Row],[NextDueDate]]-TODAY())</f>
        <v/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1" spans="1:9" x14ac:dyDescent="0.25">
      <c r="A361" s="15">
        <f t="shared" si="5"/>
        <v>360</v>
      </c>
      <c r="B361" s="15" t="s">
        <v>119</v>
      </c>
      <c r="C361" s="15" t="str" cm="1">
        <f t="array" ref="C361">IFERROR(_xlfn.XLOOKUP(B361, tblPeople[PersonID], tblPeople[PersonName], ""), "")</f>
        <v>Walter Edupu</v>
      </c>
      <c r="D361" s="15" t="s">
        <v>32</v>
      </c>
      <c r="E361" s="16" t="str">
        <f>IFERROR(_xlfn.XLOOKUP(D361, tblCourses[CourseID], tblCourses[CourseName], ""), "")</f>
        <v>Dangerous Goods Regulations (CBTA 7.3) (Initial)</v>
      </c>
      <c r="F361" s="17">
        <v>45772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2" spans="1:9" x14ac:dyDescent="0.25">
      <c r="A362" s="15">
        <f t="shared" si="5"/>
        <v>361</v>
      </c>
      <c r="B362" s="15" t="s">
        <v>103</v>
      </c>
      <c r="C362" s="15" t="str" cm="1">
        <f t="array" ref="C362">IFERROR(_xlfn.XLOOKUP(B362, tblPeople[PersonID], tblPeople[PersonName], ""), "")</f>
        <v>Smith Harun</v>
      </c>
      <c r="D362" s="15" t="s">
        <v>32</v>
      </c>
      <c r="E362" s="16" t="str">
        <f>IFERROR(_xlfn.XLOOKUP(D362, tblCourses[CourseID], tblCourses[CourseName], ""), "")</f>
        <v>Dangerous Goods Regulations (CBTA 7.3) (Initial)</v>
      </c>
      <c r="F362" s="17">
        <v>44116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119</v>
      </c>
      <c r="C363" s="15" t="str" cm="1">
        <f t="array" ref="C363">IFERROR(_xlfn.XLOOKUP(B363, tblPeople[PersonID], tblPeople[PersonName], ""), "")</f>
        <v>Walter Edupu</v>
      </c>
      <c r="D363" s="15" t="s">
        <v>30</v>
      </c>
      <c r="E363" s="16" t="str">
        <f>IFERROR(_xlfn.XLOOKUP(D363, tblCourses[CourseID], tblCourses[CourseName], ""), "")</f>
        <v>Dangerous Goods Regulations (CBTA 7.3) (Refresher)</v>
      </c>
      <c r="F363" s="17">
        <v>45772</v>
      </c>
      <c r="G363" s="17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63" s="15">
        <f ca="1">IF(OR(tblTraining[[#This Row],[Status]]="Renewed",tblTraining[[#This Row],[NextDueDate]]=""),"",tblTraining[[#This Row],[NextDueDate]]-TODAY())</f>
        <v>216</v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103</v>
      </c>
      <c r="C364" s="15" t="str" cm="1">
        <f t="array" ref="C364">IFERROR(_xlfn.XLOOKUP(B364, tblPeople[PersonID], tblPeople[PersonName], ""), "")</f>
        <v>Smith Harun</v>
      </c>
      <c r="D364" s="15" t="s">
        <v>17</v>
      </c>
      <c r="E364" s="16" t="str">
        <f>IFERROR(_xlfn.XLOOKUP(D364, tblCourses[CourseID], tblCourses[CourseName], ""), "")</f>
        <v>Safety Management Systems (Refresher)</v>
      </c>
      <c r="F364" s="17">
        <v>45874</v>
      </c>
      <c r="G364" s="17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64" s="15">
        <f ca="1">IF(OR(tblTraining[[#This Row],[Status]]="Renewed",tblTraining[[#This Row],[NextDueDate]]=""),"",tblTraining[[#This Row],[NextDueDate]]-TODAY())</f>
        <v>318</v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5" spans="1:9" x14ac:dyDescent="0.25">
      <c r="A365" s="15">
        <f t="shared" si="5"/>
        <v>364</v>
      </c>
      <c r="B365" s="15" t="s">
        <v>119</v>
      </c>
      <c r="C365" s="15" t="str" cm="1">
        <f t="array" ref="C365">IFERROR(_xlfn.XLOOKUP(B365, tblPeople[PersonID], tblPeople[PersonName], ""), "")</f>
        <v>Walter Edupu</v>
      </c>
      <c r="D365" s="15" t="s">
        <v>20</v>
      </c>
      <c r="E365" s="16" t="str">
        <f>IFERROR(_xlfn.XLOOKUP(D365, tblCourses[CourseID], tblCourses[CourseName], ""), "")</f>
        <v>Safety Management Systems (Initial)</v>
      </c>
      <c r="F365" s="17">
        <v>45813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119</v>
      </c>
      <c r="C366" s="15" t="str" cm="1">
        <f t="array" ref="C366">IFERROR(_xlfn.XLOOKUP(B366, tblPeople[PersonID], tblPeople[PersonName], ""), "")</f>
        <v>Walter Edupu</v>
      </c>
      <c r="D366" s="15" t="s">
        <v>17</v>
      </c>
      <c r="E366" s="16" t="str">
        <f>IFERROR(_xlfn.XLOOKUP(D366, tblCourses[CourseID], tblCourses[CourseName], ""), "")</f>
        <v>Safety Management Systems (Refresher)</v>
      </c>
      <c r="F366" s="17">
        <v>45813</v>
      </c>
      <c r="G366" s="17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66" s="15">
        <f ca="1">IF(OR(tblTraining[[#This Row],[Status]]="Renewed",tblTraining[[#This Row],[NextDueDate]]=""),"",tblTraining[[#This Row],[NextDueDate]]-TODAY())</f>
        <v>257</v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119</v>
      </c>
      <c r="C367" s="15" t="str" cm="1">
        <f t="array" ref="C367">IFERROR(_xlfn.XLOOKUP(B367, tblPeople[PersonID], tblPeople[PersonName], ""), "")</f>
        <v>Walter Edupu</v>
      </c>
      <c r="D367" s="15" t="s">
        <v>172</v>
      </c>
      <c r="E367" s="16" t="str">
        <f>IFERROR(_xlfn.XLOOKUP(D367, tblCourses[CourseID], tblCourses[CourseName], ""), "")</f>
        <v>Aviation Technical Records &amp; Stores Management (TRS)</v>
      </c>
      <c r="F367" s="17">
        <v>45737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119</v>
      </c>
      <c r="C368" s="15" t="str" cm="1">
        <f t="array" ref="C368">IFERROR(_xlfn.XLOOKUP(B368, tblPeople[PersonID], tblPeople[PersonName], ""), "")</f>
        <v>Walter Edupu</v>
      </c>
      <c r="D368" s="15" t="s">
        <v>124</v>
      </c>
      <c r="E368" s="16" t="str">
        <f>IFERROR(_xlfn.XLOOKUP(D368, tblCourses[CourseID], tblCourses[CourseName], ""), "")</f>
        <v>Aviation Security (Initial)</v>
      </c>
      <c r="F368" s="17">
        <v>45716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125</v>
      </c>
      <c r="E369" s="16" t="str">
        <f>IFERROR(_xlfn.XLOOKUP(D369, tblCourses[CourseID], tblCourses[CourseName], ""), "")</f>
        <v>Aviation Security (Refresher)</v>
      </c>
      <c r="F369" s="17">
        <v>45716</v>
      </c>
      <c r="G369" s="17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69" s="15">
        <f ca="1">IF(OR(tblTraining[[#This Row],[Status]]="Renewed",tblTraining[[#This Row],[NextDueDate]]=""),"",tblTraining[[#This Row],[NextDueDate]]-TODAY())</f>
        <v>160</v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119</v>
      </c>
      <c r="C370" s="15" t="str" cm="1">
        <f t="array" ref="C370">IFERROR(_xlfn.XLOOKUP(B370, tblPeople[PersonID], tblPeople[PersonName], ""), "")</f>
        <v>Walter Edupu</v>
      </c>
      <c r="D370" s="15" t="s">
        <v>24</v>
      </c>
      <c r="E370" s="16" t="str">
        <f>IFERROR(_xlfn.XLOOKUP(D370, tblCourses[CourseID], tblCourses[CourseName], ""), "")</f>
        <v>Human Factors in Aviation (Initial)</v>
      </c>
      <c r="F370" s="17">
        <v>45687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22</v>
      </c>
      <c r="E371" s="16" t="str">
        <f>IFERROR(_xlfn.XLOOKUP(D371, tblCourses[CourseID], tblCourses[CourseName], ""), "")</f>
        <v>Human Factors in Aviation (Refresher)</v>
      </c>
      <c r="F371" s="17">
        <v>45687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1" s="15">
        <f ca="1">IF(OR(tblTraining[[#This Row],[Status]]="Renewed",tblTraining[[#This Row],[NextDueDate]]=""),"",tblTraining[[#This Row],[NextDueDate]]-TODAY())</f>
        <v>131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95</v>
      </c>
      <c r="C372" s="15" t="str" cm="1">
        <f t="array" ref="C372">IFERROR(_xlfn.XLOOKUP(B372, tblPeople[PersonID], tblPeople[PersonName], ""), "")</f>
        <v>Walter Kibet</v>
      </c>
      <c r="D372" s="15" t="s">
        <v>126</v>
      </c>
      <c r="E372" s="16" t="str">
        <f>IFERROR(_xlfn.XLOOKUP(D372, tblCourses[CourseID], tblCourses[CourseName], ""), "")</f>
        <v>Maintenance Indoctrination</v>
      </c>
      <c r="F372" s="17">
        <v>45306</v>
      </c>
      <c r="G372" s="17" t="str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2" s="15" t="str">
        <f ca="1">IF(OR(tblTraining[[#This Row],[Status]]="Renewed",tblTraining[[#This Row],[NextDueDate]]=""),"",tblTraining[[#This Row],[NextDueDate]]-TODAY())</f>
        <v/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95</v>
      </c>
      <c r="C373" s="15" t="str" cm="1">
        <f t="array" ref="C373">IFERROR(_xlfn.XLOOKUP(B373, tblPeople[PersonID], tblPeople[PersonName], ""), "")</f>
        <v>Walter Kibet</v>
      </c>
      <c r="D373" s="15" t="s">
        <v>110</v>
      </c>
      <c r="E373" s="16" t="str">
        <f>IFERROR(_xlfn.XLOOKUP(D373, tblCourses[CourseID], tblCourses[CourseName], ""), "")</f>
        <v>Electrical Wiring Interconnection System Target Groups 1 &amp; 2 (Initial)</v>
      </c>
      <c r="F373" s="17">
        <v>45805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95</v>
      </c>
      <c r="C374" s="15" t="str" cm="1">
        <f t="array" ref="C374">IFERROR(_xlfn.XLOOKUP(B374, tblPeople[PersonID], tblPeople[PersonName], ""), "")</f>
        <v>Walter Kibet</v>
      </c>
      <c r="D374" s="15" t="s">
        <v>109</v>
      </c>
      <c r="E374" s="16" t="str">
        <f>IFERROR(_xlfn.XLOOKUP(D374, tblCourses[CourseID], tblCourses[CourseName], ""), "")</f>
        <v>Electrical Wiring Interconnection System Target Groups 1 &amp; 2 (Refresher)</v>
      </c>
      <c r="F374" s="17">
        <v>45805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74" s="15">
        <f ca="1">IF(OR(tblTraining[[#This Row],[Status]]="Renewed",tblTraining[[#This Row],[NextDueDate]]=""),"",tblTraining[[#This Row],[NextDueDate]]-TODAY())</f>
        <v>249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95</v>
      </c>
      <c r="C375" s="15" t="str" cm="1">
        <f t="array" ref="C375">IFERROR(_xlfn.XLOOKUP(B375, tblPeople[PersonID], tblPeople[PersonName], ""), "")</f>
        <v>Walter Kibet</v>
      </c>
      <c r="D375" s="15" t="s">
        <v>78</v>
      </c>
      <c r="E375" s="16" t="str">
        <f>IFERROR(_xlfn.XLOOKUP(D375, tblCourses[CourseID], tblCourses[CourseName], ""), "")</f>
        <v>DHC8 -100/-200/-300 Collins Wheels &amp; Brakes Familiarization Training (Initial)</v>
      </c>
      <c r="F375" s="17">
        <v>45637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95</v>
      </c>
      <c r="C376" s="15" t="str" cm="1">
        <f t="array" ref="C376">IFERROR(_xlfn.XLOOKUP(B376, tblPeople[PersonID], tblPeople[PersonName], ""), "")</f>
        <v>Walter Kibet</v>
      </c>
      <c r="D376" s="15" t="s">
        <v>77</v>
      </c>
      <c r="E376" s="16" t="str">
        <f>IFERROR(_xlfn.XLOOKUP(D376, tblCourses[CourseID], tblCourses[CourseName], ""), "")</f>
        <v>DHC8 -100/-200/-300 Collins Wheels &amp; Brakes Familiarization Training (Refresher)</v>
      </c>
      <c r="F376" s="17">
        <v>45637</v>
      </c>
      <c r="G376" s="17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76" s="15">
        <f ca="1">IF(OR(tblTraining[[#This Row],[Status]]="Renewed",tblTraining[[#This Row],[NextDueDate]]=""),"",tblTraining[[#This Row],[NextDueDate]]-TODAY())</f>
        <v>81</v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95</v>
      </c>
      <c r="C377" s="15" t="str" cm="1">
        <f t="array" ref="C377">IFERROR(_xlfn.XLOOKUP(B377, tblPeople[PersonID], tblPeople[PersonName], ""), "")</f>
        <v>Walter Kibet</v>
      </c>
      <c r="D377" s="15" t="s">
        <v>198</v>
      </c>
      <c r="E377" s="16" t="str">
        <f>IFERROR(_xlfn.XLOOKUP(D377, tblCourses[CourseID], tblCourses[CourseName], ""), "")</f>
        <v>Maintenance Procedures &amp; Standard Maintenance Practices (Refresher)</v>
      </c>
      <c r="F377" s="17">
        <v>45786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77" s="15">
        <f ca="1">IF(OR(tblTraining[[#This Row],[Status]]="Renewed",tblTraining[[#This Row],[NextDueDate]]=""),"",tblTraining[[#This Row],[NextDueDate]]-TODAY())</f>
        <v>230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95</v>
      </c>
      <c r="C378" s="15" t="str" cm="1">
        <f t="array" ref="C378">IFERROR(_xlfn.XLOOKUP(B378, tblPeople[PersonID], tblPeople[PersonName], ""), "")</f>
        <v>Walter Kibet</v>
      </c>
      <c r="D378" s="15" t="s">
        <v>29</v>
      </c>
      <c r="E378" s="16" t="str">
        <f>IFERROR(_xlfn.XLOOKUP(D378, tblCourses[CourseID], tblCourses[CourseName], ""), "")</f>
        <v>DHC-8 100/200/300 with PWC 120/120A/121/123B/C/D/E Series Engines(Initial)</v>
      </c>
      <c r="F378" s="17">
        <v>45737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95</v>
      </c>
      <c r="C379" s="15" t="str" cm="1">
        <f t="array" ref="C379">IFERROR(_xlfn.XLOOKUP(B379, tblPeople[PersonID], tblPeople[PersonName], ""), "")</f>
        <v>Walter Kibet</v>
      </c>
      <c r="D379" s="15" t="s">
        <v>28</v>
      </c>
      <c r="E379" s="16" t="str">
        <f>IFERROR(_xlfn.XLOOKUP(D379, tblCourses[CourseID], tblCourses[CourseName], ""), "")</f>
        <v>DHC-8 100/200/300 with PWC 120/120A/121/123B/C/D/E Series Engines(Refresher)</v>
      </c>
      <c r="F379" s="17">
        <v>45737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79" s="15">
        <f ca="1">IF(OR(tblTraining[[#This Row],[Status]]="Renewed",tblTraining[[#This Row],[NextDueDate]]=""),"",tblTraining[[#This Row],[NextDueDate]]-TODAY())</f>
        <v>181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177</v>
      </c>
      <c r="E380" s="16" t="str">
        <f>IFERROR(_xlfn.XLOOKUP(D380, tblCourses[CourseID], tblCourses[CourseName], ""), "")</f>
        <v>Cessna 208 Series (Caravan) With P&amp;WC PT6A-114/ -114A/ -140 Engines (Initial)</v>
      </c>
      <c r="F380" s="17">
        <v>45709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178</v>
      </c>
      <c r="E381" s="16" t="str">
        <f>IFERROR(_xlfn.XLOOKUP(D381, tblCourses[CourseID], tblCourses[CourseName], ""), "")</f>
        <v>Cessna 208 Series (Caravan) With P&amp;WC PT6A-114/ -114A/ -140 Engines (Refresher)</v>
      </c>
      <c r="F381" s="17">
        <v>45709</v>
      </c>
      <c r="G381" s="17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1" s="15">
        <f ca="1">IF(OR(tblTraining[[#This Row],[Status]]="Renewed",tblTraining[[#This Row],[NextDueDate]]=""),"",tblTraining[[#This Row],[NextDueDate]]-TODAY())</f>
        <v>153</v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32</v>
      </c>
      <c r="E382" s="16" t="str">
        <f>IFERROR(_xlfn.XLOOKUP(D382, tblCourses[CourseID], tblCourses[CourseName], ""), "")</f>
        <v>Dangerous Goods Regulations (CBTA 7.3) (Initial)</v>
      </c>
      <c r="F382" s="17">
        <v>45427</v>
      </c>
      <c r="G382" s="17" t="str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2" s="15" t="str">
        <f ca="1">IF(OR(tblTraining[[#This Row],[Status]]="Renewed",tblTraining[[#This Row],[NextDueDate]]=""),"",tblTraining[[#This Row],[NextDueDate]]-TODAY())</f>
        <v/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30</v>
      </c>
      <c r="E383" s="16" t="str">
        <f>IFERROR(_xlfn.XLOOKUP(D383, tblCourses[CourseID], tblCourses[CourseName], ""), "")</f>
        <v>Dangerous Goods Regulations (CBTA 7.3) (Refresher)</v>
      </c>
      <c r="F383" s="17">
        <v>45427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20</v>
      </c>
      <c r="E384" s="16" t="str">
        <f>IFERROR(_xlfn.XLOOKUP(D384, tblCourses[CourseID], tblCourses[CourseName], ""), "")</f>
        <v>Safety Management Systems (Initial)</v>
      </c>
      <c r="F384" s="17">
        <v>45379</v>
      </c>
      <c r="G384" s="17" t="str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4" s="15" t="str">
        <f ca="1">IF(OR(tblTraining[[#This Row],[Status]]="Renewed",tblTraining[[#This Row],[NextDueDate]]=""),"",tblTraining[[#This Row],[NextDueDate]]-TODAY())</f>
        <v/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17</v>
      </c>
      <c r="E385" s="16" t="str">
        <f>IFERROR(_xlfn.XLOOKUP(D385, tblCourses[CourseID], tblCourses[CourseName], ""), "")</f>
        <v>Safety Management Systems (Refresher)</v>
      </c>
      <c r="F385" s="17">
        <v>45379</v>
      </c>
      <c r="G385" s="17" t="str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5" s="15" t="str">
        <f ca="1">IF(OR(tblTraining[[#This Row],[Status]]="Renewed",tblTraining[[#This Row],[NextDueDate]]=""),"",tblTraining[[#This Row],[NextDueDate]]-TODAY())</f>
        <v/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175</v>
      </c>
      <c r="E386" s="16" t="str">
        <f>IFERROR(_xlfn.XLOOKUP(D386, tblCourses[CourseID], tblCourses[CourseName], ""), "")</f>
        <v>Aircraft Maintenance Engineers' Licence</v>
      </c>
      <c r="F386" s="17">
        <v>45624</v>
      </c>
      <c r="G386" s="17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86" s="15">
        <f ca="1">IF(OR(tblTraining[[#This Row],[Status]]="Renewed",tblTraining[[#This Row],[NextDueDate]]=""),"",tblTraining[[#This Row],[NextDueDate]]-TODAY())</f>
        <v>68</v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137</v>
      </c>
      <c r="E387" s="16" t="str">
        <f>IFERROR(_xlfn.XLOOKUP(D387, tblCourses[CourseID], tblCourses[CourseName], ""), "")</f>
        <v>GARMIN 1000 Avionics</v>
      </c>
      <c r="F387" s="17">
        <v>45805</v>
      </c>
      <c r="G387" s="17" t="str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7" s="15" t="str">
        <f ca="1">IF(OR(tblTraining[[#This Row],[Status]]="Renewed",tblTraining[[#This Row],[NextDueDate]]=""),"",tblTraining[[#This Row],[NextDueDate]]-TODAY())</f>
        <v/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102</v>
      </c>
      <c r="C388" s="15" t="str" cm="1">
        <f t="array" ref="C388">IFERROR(_xlfn.XLOOKUP(B388, tblPeople[PersonID], tblPeople[PersonName], ""), "")</f>
        <v>William Mlati</v>
      </c>
      <c r="D388" s="15" t="s">
        <v>126</v>
      </c>
      <c r="E388" s="16" t="str">
        <f>IFERROR(_xlfn.XLOOKUP(D388, tblCourses[CourseID], tblCourses[CourseName], ""), "")</f>
        <v>Maintenance Indoctrination</v>
      </c>
      <c r="F388" s="17">
        <v>43444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102</v>
      </c>
      <c r="C389" s="15" t="str" cm="1">
        <f t="array" ref="C389">IFERROR(_xlfn.XLOOKUP(B389, tblPeople[PersonID], tblPeople[PersonName], ""), "")</f>
        <v>William Mlati</v>
      </c>
      <c r="D389" s="15" t="s">
        <v>110</v>
      </c>
      <c r="E389" s="16" t="str">
        <f>IFERROR(_xlfn.XLOOKUP(D389, tblCourses[CourseID], tblCourses[CourseName], ""), "")</f>
        <v>Electrical Wiring Interconnection System Target Groups 1 &amp; 2 (Initial)</v>
      </c>
      <c r="F389" s="17">
        <v>45847</v>
      </c>
      <c r="G389" s="17" t="str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9" s="15" t="str">
        <f ca="1">IF(OR(tblTraining[[#This Row],[Status]]="Renewed",tblTraining[[#This Row],[NextDueDate]]=""),"",tblTraining[[#This Row],[NextDueDate]]-TODAY())</f>
        <v/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102</v>
      </c>
      <c r="C390" s="15" t="str" cm="1">
        <f t="array" ref="C390">IFERROR(_xlfn.XLOOKUP(B390, tblPeople[PersonID], tblPeople[PersonName], ""), "")</f>
        <v>William Mlati</v>
      </c>
      <c r="D390" s="15" t="s">
        <v>109</v>
      </c>
      <c r="E390" s="16" t="str">
        <f>IFERROR(_xlfn.XLOOKUP(D390, tblCourses[CourseID], tblCourses[CourseName], ""), "")</f>
        <v>Electrical Wiring Interconnection System Target Groups 1 &amp; 2 (Refresher)</v>
      </c>
      <c r="F390" s="17">
        <v>45847</v>
      </c>
      <c r="G390" s="17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0" s="15">
        <f ca="1">IF(OR(tblTraining[[#This Row],[Status]]="Renewed",tblTraining[[#This Row],[NextDueDate]]=""),"",tblTraining[[#This Row],[NextDueDate]]-TODAY())</f>
        <v>291</v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102</v>
      </c>
      <c r="C391" s="15" t="str" cm="1">
        <f t="array" ref="C391">IFERROR(_xlfn.XLOOKUP(B391, tblPeople[PersonID], tblPeople[PersonName], ""), "")</f>
        <v>William Mlati</v>
      </c>
      <c r="D391" s="15" t="s">
        <v>218</v>
      </c>
      <c r="E391" s="16" t="str">
        <f>IFERROR(_xlfn.XLOOKUP(D391, tblCourses[CourseID], tblCourses[CourseName], ""), "")</f>
        <v>SOCATA TBM 700 Series (Initial)</v>
      </c>
      <c r="F391" s="17">
        <v>45733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2" spans="1:9" x14ac:dyDescent="0.25">
      <c r="A392" s="15">
        <f t="shared" si="6"/>
        <v>391</v>
      </c>
      <c r="B392" s="15" t="s">
        <v>102</v>
      </c>
      <c r="C392" s="15" t="str" cm="1">
        <f t="array" ref="C392">IFERROR(_xlfn.XLOOKUP(B392, tblPeople[PersonID], tblPeople[PersonName], ""), "")</f>
        <v>William Mlati</v>
      </c>
      <c r="D392" s="15" t="s">
        <v>132</v>
      </c>
      <c r="E392" s="16" t="str">
        <f>IFERROR(_xlfn.XLOOKUP(D392, tblCourses[CourseID], tblCourses[CourseName], ""), "")</f>
        <v>Marshalling Techniques Course</v>
      </c>
      <c r="F392" s="17">
        <v>45470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102</v>
      </c>
      <c r="C393" s="15" t="str" cm="1">
        <f t="array" ref="C393">IFERROR(_xlfn.XLOOKUP(B393, tblPeople[PersonID], tblPeople[PersonName], ""), "")</f>
        <v>William Mlati</v>
      </c>
      <c r="D393" s="15" t="s">
        <v>77</v>
      </c>
      <c r="E393" s="16" t="str">
        <f>IFERROR(_xlfn.XLOOKUP(D393, tblCourses[CourseID], tblCourses[CourseName], ""), "")</f>
        <v>DHC8 -100/-200/-300 Collins Wheels &amp; Brakes Familiarization Training (Refresher)</v>
      </c>
      <c r="F393" s="17">
        <v>45637</v>
      </c>
      <c r="G393" s="17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93" s="15">
        <f ca="1">IF(OR(tblTraining[[#This Row],[Status]]="Renewed",tblTraining[[#This Row],[NextDueDate]]=""),"",tblTraining[[#This Row],[NextDueDate]]-TODAY())</f>
        <v>81</v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4" spans="1:9" x14ac:dyDescent="0.25">
      <c r="A394" s="15">
        <f t="shared" si="6"/>
        <v>393</v>
      </c>
      <c r="B394" s="15" t="s">
        <v>102</v>
      </c>
      <c r="C394" s="15" t="str" cm="1">
        <f t="array" ref="C394">IFERROR(_xlfn.XLOOKUP(B394, tblPeople[PersonID], tblPeople[PersonName], ""), "")</f>
        <v>William Mlati</v>
      </c>
      <c r="D394" s="15" t="s">
        <v>22</v>
      </c>
      <c r="E394" s="16" t="str">
        <f>IFERROR(_xlfn.XLOOKUP(D394, tblCourses[CourseID], tblCourses[CourseName], ""), "")</f>
        <v>Human Factors in Aviation (Refresher)</v>
      </c>
      <c r="F394" s="17">
        <v>45630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394" s="15">
        <f ca="1">IF(OR(tblTraining[[#This Row],[Status]]="Renewed",tblTraining[[#This Row],[NextDueDate]]=""),"",tblTraining[[#This Row],[NextDueDate]]-TODAY())</f>
        <v>74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102</v>
      </c>
      <c r="C395" s="15" t="str" cm="1">
        <f t="array" ref="C395">IFERROR(_xlfn.XLOOKUP(B395, tblPeople[PersonID], tblPeople[PersonName], ""), "")</f>
        <v>William Mlati</v>
      </c>
      <c r="D395" s="15" t="s">
        <v>28</v>
      </c>
      <c r="E395" s="16" t="str">
        <f>IFERROR(_xlfn.XLOOKUP(D395, tblCourses[CourseID], tblCourses[CourseName], ""), "")</f>
        <v>DHC-8 100/200/300 with PWC 120/120A/121/123B/C/D/E Series Engines(Refresher)</v>
      </c>
      <c r="F395" s="17">
        <v>45338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178</v>
      </c>
      <c r="E396" s="16" t="str">
        <f>IFERROR(_xlfn.XLOOKUP(D396, tblCourses[CourseID], tblCourses[CourseName], ""), "")</f>
        <v>Cessna 208 Series (Caravan) With P&amp;WC PT6A-114/ -114A/ -140 Engines (Refresher)</v>
      </c>
      <c r="F396" s="17">
        <v>45343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25</v>
      </c>
      <c r="E397" s="16" t="str">
        <f>IFERROR(_xlfn.XLOOKUP(D397, tblCourses[CourseID], tblCourses[CourseName], ""), "")</f>
        <v>Pratt &amp; Whitney Canada PT6A Engine With P&amp;WC PT6A
20/ 27/ 41/ 42/ 60A/ 67D/ 112/ 114A/ 140 (Refresher)</v>
      </c>
      <c r="F397" s="17">
        <v>45195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187</v>
      </c>
      <c r="E398" s="16" t="str">
        <f>IFERROR(_xlfn.XLOOKUP(D398, tblCourses[CourseID], tblCourses[CourseName], ""), "")</f>
        <v>Borescope Fundamentals P&amp;WC PW100 Series</v>
      </c>
      <c r="F398" s="17">
        <v>43416</v>
      </c>
      <c r="G398" s="17" t="str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8" s="15" t="str">
        <f ca="1">IF(OR(tblTraining[[#This Row],[Status]]="Renewed",tblTraining[[#This Row],[NextDueDate]]=""),"",tblTraining[[#This Row],[NextDueDate]]-TODAY())</f>
        <v/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75</v>
      </c>
      <c r="E399" s="16" t="str">
        <f>IFERROR(_xlfn.XLOOKUP(D399, tblCourses[CourseID], tblCourses[CourseName], ""), "")</f>
        <v>Fuel Tank Safety Phase 1 &amp; 2 Course (Refresher)</v>
      </c>
      <c r="F399" s="17">
        <v>45434</v>
      </c>
      <c r="G399" s="17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399" s="15">
        <f ca="1">IF(OR(tblTraining[[#This Row],[Status]]="Renewed",tblTraining[[#This Row],[NextDueDate]]=""),"",tblTraining[[#This Row],[NextDueDate]]-TODAY())</f>
        <v>-122</v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198</v>
      </c>
      <c r="E400" s="16" t="str">
        <f>IFERROR(_xlfn.XLOOKUP(D400, tblCourses[CourseID], tblCourses[CourseName], ""), "")</f>
        <v>Maintenance Procedures &amp; Standard Maintenance Practices (Refresher)</v>
      </c>
      <c r="F400" s="17">
        <v>45322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186</v>
      </c>
      <c r="E401" s="16" t="str">
        <f>IFERROR(_xlfn.XLOOKUP(D401, tblCourses[CourseID], tblCourses[CourseName], ""), "")</f>
        <v>Borescope Training P&amp;WC PT6A Series</v>
      </c>
      <c r="F401" s="17">
        <v>40215</v>
      </c>
      <c r="G401" s="17" t="str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1" s="15" t="str">
        <f ca="1">IF(OR(tblTraining[[#This Row],[Status]]="Renewed",tblTraining[[#This Row],[NextDueDate]]=""),"",tblTraining[[#This Row],[NextDueDate]]-TODAY())</f>
        <v/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17</v>
      </c>
      <c r="E402" s="16" t="str">
        <f>IFERROR(_xlfn.XLOOKUP(D402, tblCourses[CourseID], tblCourses[CourseName], ""), "")</f>
        <v>Safety Management Systems (Refresher)</v>
      </c>
      <c r="F402" s="17">
        <v>45750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02" s="15">
        <f ca="1">IF(OR(tblTraining[[#This Row],[Status]]="Renewed",tblTraining[[#This Row],[NextDueDate]]=""),"",tblTraining[[#This Row],[NextDueDate]]-TODAY())</f>
        <v>194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77</v>
      </c>
      <c r="E403" s="16" t="str">
        <f>IFERROR(_xlfn.XLOOKUP(D403, tblCourses[CourseID], tblCourses[CourseName], ""), "")</f>
        <v>DHC8 -100/-200/-300 Collins Wheels &amp; Brakes Familiarization Training (Refresher)</v>
      </c>
      <c r="F403" s="17">
        <v>44392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175</v>
      </c>
      <c r="E404" s="16" t="str">
        <f>IFERROR(_xlfn.XLOOKUP(D404, tblCourses[CourseID], tblCourses[CourseName], ""), "")</f>
        <v>Aircraft Maintenance Engineers' Licence</v>
      </c>
      <c r="F404" s="17">
        <v>45292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211</v>
      </c>
      <c r="C405" s="15" t="str" cm="1">
        <f t="array" ref="C405">IFERROR(_xlfn.XLOOKUP(B405, tblPeople[PersonID], tblPeople[PersonName], ""), "")</f>
        <v>Angeline Nthakyo</v>
      </c>
      <c r="D405" s="15" t="s">
        <v>20</v>
      </c>
      <c r="E405" s="16" t="str">
        <f>IFERROR(_xlfn.XLOOKUP(D405, tblCourses[CourseID], tblCourses[CourseName], ""), "")</f>
        <v>Safety Management Systems (Initial)</v>
      </c>
      <c r="F405" s="17">
        <v>45846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6" spans="1:9" x14ac:dyDescent="0.25">
      <c r="A406" s="15">
        <f t="shared" si="6"/>
        <v>405</v>
      </c>
      <c r="B406" s="15" t="s">
        <v>211</v>
      </c>
      <c r="C406" s="15" t="str" cm="1">
        <f t="array" ref="C406">IFERROR(_xlfn.XLOOKUP(B406, tblPeople[PersonID], tblPeople[PersonName], ""), "")</f>
        <v>Angeline Nthakyo</v>
      </c>
      <c r="D406" s="15" t="s">
        <v>17</v>
      </c>
      <c r="E406" s="16" t="str">
        <f>IFERROR(_xlfn.XLOOKUP(D406, tblCourses[CourseID], tblCourses[CourseName], ""), "")</f>
        <v>Safety Management Systems (Refresher)</v>
      </c>
      <c r="F406" s="17">
        <v>45846</v>
      </c>
      <c r="G406" s="17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06" s="15">
        <f ca="1">IF(OR(tblTraining[[#This Row],[Status]]="Renewed",tblTraining[[#This Row],[NextDueDate]]=""),"",tblTraining[[#This Row],[NextDueDate]]-TODAY())</f>
        <v>290</v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113</v>
      </c>
      <c r="C407" s="15" t="str" cm="1">
        <f t="array" ref="C407">IFERROR(_xlfn.XLOOKUP(B407, tblPeople[PersonID], tblPeople[PersonName], ""), "")</f>
        <v>Ann Mwangi</v>
      </c>
      <c r="D407" s="15" t="s">
        <v>126</v>
      </c>
      <c r="E407" s="16" t="str">
        <f>IFERROR(_xlfn.XLOOKUP(D407, tblCourses[CourseID], tblCourses[CourseName], ""), "")</f>
        <v>Maintenance Indoctrination</v>
      </c>
      <c r="F407" s="17">
        <v>43752</v>
      </c>
      <c r="G407" s="17" t="str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7" s="15" t="str">
        <f ca="1">IF(OR(tblTraining[[#This Row],[Status]]="Renewed",tblTraining[[#This Row],[NextDueDate]]=""),"",tblTraining[[#This Row],[NextDueDate]]-TODAY())</f>
        <v/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8" spans="1:9" x14ac:dyDescent="0.25">
      <c r="A408" s="15">
        <f t="shared" si="6"/>
        <v>407</v>
      </c>
      <c r="B408" s="15" t="s">
        <v>113</v>
      </c>
      <c r="C408" s="15" t="str" cm="1">
        <f t="array" ref="C408">IFERROR(_xlfn.XLOOKUP(B408, tblPeople[PersonID], tblPeople[PersonName], ""), "")</f>
        <v>Ann Mwangi</v>
      </c>
      <c r="D408" s="15" t="s">
        <v>221</v>
      </c>
      <c r="E408" s="16" t="str">
        <f>IFERROR(_xlfn.XLOOKUP(D408, tblCourses[CourseID], tblCourses[CourseName], ""), "")</f>
        <v>Core Instructional Technique (Initial)</v>
      </c>
      <c r="F408" s="17">
        <v>45637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9" spans="1:9" x14ac:dyDescent="0.25">
      <c r="A409" s="15">
        <f t="shared" si="6"/>
        <v>408</v>
      </c>
      <c r="B409" s="15" t="s">
        <v>113</v>
      </c>
      <c r="C409" s="15" t="str" cm="1">
        <f t="array" ref="C409">IFERROR(_xlfn.XLOOKUP(B409, tblPeople[PersonID], tblPeople[PersonName], ""), "")</f>
        <v>Ann Mwangi</v>
      </c>
      <c r="D409" s="15" t="s">
        <v>32</v>
      </c>
      <c r="E409" s="16" t="str">
        <f>IFERROR(_xlfn.XLOOKUP(D409, tblCourses[CourseID], tblCourses[CourseName], ""), "")</f>
        <v>Dangerous Goods Regulations (CBTA 7.3) (Initial)</v>
      </c>
      <c r="F409" s="17">
        <v>45008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113</v>
      </c>
      <c r="C410" s="15" t="str" cm="1">
        <f t="array" ref="C410">IFERROR(_xlfn.XLOOKUP(B410, tblPeople[PersonID], tblPeople[PersonName], ""), "")</f>
        <v>Ann Mwangi</v>
      </c>
      <c r="D410" s="15" t="s">
        <v>30</v>
      </c>
      <c r="E410" s="16" t="str">
        <f>IFERROR(_xlfn.XLOOKUP(D410, tblCourses[CourseID], tblCourses[CourseName], ""), "")</f>
        <v>Dangerous Goods Regulations (CBTA 7.3) (Refresher)</v>
      </c>
      <c r="F410" s="17">
        <v>45008</v>
      </c>
      <c r="G410" s="17" t="str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0" s="15" t="str">
        <f ca="1">IF(OR(tblTraining[[#This Row],[Status]]="Renewed",tblTraining[[#This Row],[NextDueDate]]=""),"",tblTraining[[#This Row],[NextDueDate]]-TODAY())</f>
        <v/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1" spans="1:9" x14ac:dyDescent="0.25">
      <c r="A411" s="15">
        <f t="shared" si="6"/>
        <v>410</v>
      </c>
      <c r="B411" s="15" t="s">
        <v>113</v>
      </c>
      <c r="C411" s="15" t="str" cm="1">
        <f t="array" ref="C411">IFERROR(_xlfn.XLOOKUP(B411, tblPeople[PersonID], tblPeople[PersonName], ""), "")</f>
        <v>Ann Mwangi</v>
      </c>
      <c r="D411" s="15" t="s">
        <v>17</v>
      </c>
      <c r="E411" s="16" t="str">
        <f>IFERROR(_xlfn.XLOOKUP(D411, tblCourses[CourseID], tblCourses[CourseName], ""), "")</f>
        <v>Safety Management Systems (Refresher)</v>
      </c>
      <c r="F411" s="17">
        <v>44915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113</v>
      </c>
      <c r="C412" s="15" t="str" cm="1">
        <f t="array" ref="C412">IFERROR(_xlfn.XLOOKUP(B412, tblPeople[PersonID], tblPeople[PersonName], ""), "")</f>
        <v>Ann Mwangi</v>
      </c>
      <c r="D412" s="15" t="s">
        <v>22</v>
      </c>
      <c r="E412" s="16" t="str">
        <f>IFERROR(_xlfn.XLOOKUP(D412, tblCourses[CourseID], tblCourses[CourseName], ""), "")</f>
        <v>Human Factors in Aviation (Refresher)</v>
      </c>
      <c r="F412" s="17">
        <v>44915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113</v>
      </c>
      <c r="C413" s="15" t="str" cm="1">
        <f t="array" ref="C413">IFERROR(_xlfn.XLOOKUP(B413, tblPeople[PersonID], tblPeople[PersonName], ""), "")</f>
        <v>Ann Mwangi</v>
      </c>
      <c r="D413" s="15" t="s">
        <v>165</v>
      </c>
      <c r="E413" s="16" t="str">
        <f>IFERROR(_xlfn.XLOOKUP(D413, tblCourses[CourseID], tblCourses[CourseName], ""), "")</f>
        <v xml:space="preserve">Aircraft Reliability </v>
      </c>
      <c r="F413" s="17">
        <v>44545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113</v>
      </c>
      <c r="C414" s="15" t="str" cm="1">
        <f t="array" ref="C414">IFERROR(_xlfn.XLOOKUP(B414, tblPeople[PersonID], tblPeople[PersonName], ""), "")</f>
        <v>Ann Mwangi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45343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14" s="15">
        <f ca="1">IF(OR(tblTraining[[#This Row],[Status]]="Renewed",tblTraining[[#This Row],[NextDueDate]]=""),"",tblTraining[[#This Row],[NextDueDate]]-TODAY())</f>
        <v>-212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30</v>
      </c>
      <c r="E415" s="16" t="str">
        <f>IFERROR(_xlfn.XLOOKUP(D415, tblCourses[CourseID], tblCourses[CourseName], ""), "")</f>
        <v>Dangerous Goods Regulations (CBTA 7.3) (Refresher)</v>
      </c>
      <c r="F415" s="17">
        <v>45887</v>
      </c>
      <c r="G415" s="17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15" s="15">
        <f ca="1">IF(OR(tblTraining[[#This Row],[Status]]="Renewed",tblTraining[[#This Row],[NextDueDate]]=""),"",tblTraining[[#This Row],[NextDueDate]]-TODAY())</f>
        <v>331</v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</v>
      </c>
      <c r="E416" s="16" t="str">
        <f>IFERROR(_xlfn.XLOOKUP(D416, tblCourses[CourseID], tblCourses[CourseName], ""), "")</f>
        <v>Human Factors in Aviation (Refresher)</v>
      </c>
      <c r="F416" s="17">
        <v>45917</v>
      </c>
      <c r="G416" s="17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16" s="15">
        <f ca="1">IF(OR(tblTraining[[#This Row],[Status]]="Renewed",tblTraining[[#This Row],[NextDueDate]]=""),"",tblTraining[[#This Row],[NextDueDate]]-TODAY())</f>
        <v>361</v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99</v>
      </c>
      <c r="C417" s="15" t="str" cm="1">
        <f t="array" ref="C417">IFERROR(_xlfn.XLOOKUP(B417, tblPeople[PersonID], tblPeople[PersonName], ""), "")</f>
        <v>Bernard Kibiwott</v>
      </c>
      <c r="D417" s="15" t="s">
        <v>126</v>
      </c>
      <c r="E417" s="16" t="str">
        <f>IFERROR(_xlfn.XLOOKUP(D417, tblCourses[CourseID], tblCourses[CourseName], ""), "")</f>
        <v>Maintenance Indoctrination</v>
      </c>
      <c r="F417" s="17">
        <v>44382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99</v>
      </c>
      <c r="C418" s="15" t="str" cm="1">
        <f t="array" ref="C418">IFERROR(_xlfn.XLOOKUP(B418, tblPeople[PersonID], tblPeople[PersonName], ""), "")</f>
        <v>Bernard Kibiwott</v>
      </c>
      <c r="D418" s="15" t="s">
        <v>17</v>
      </c>
      <c r="E418" s="16" t="str">
        <f>IFERROR(_xlfn.XLOOKUP(D418, tblCourses[CourseID], tblCourses[CourseName], ""), "")</f>
        <v>Safety Management Systems (Refresher)</v>
      </c>
      <c r="F418" s="17">
        <v>45590</v>
      </c>
      <c r="G418" s="17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18" s="15">
        <f ca="1">IF(OR(tblTraining[[#This Row],[Status]]="Renewed",tblTraining[[#This Row],[NextDueDate]]=""),"",tblTraining[[#This Row],[NextDueDate]]-TODAY())</f>
        <v>34</v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19" spans="1:9" x14ac:dyDescent="0.25">
      <c r="A419" s="15">
        <f t="shared" si="6"/>
        <v>418</v>
      </c>
      <c r="B419" s="15" t="s">
        <v>99</v>
      </c>
      <c r="C419" s="15" t="str" cm="1">
        <f t="array" ref="C419">IFERROR(_xlfn.XLOOKUP(B419, tblPeople[PersonID], tblPeople[PersonName], ""), "")</f>
        <v>Bernard Kibiwott</v>
      </c>
      <c r="D419" s="15" t="s">
        <v>20</v>
      </c>
      <c r="E419" s="16" t="str">
        <f>IFERROR(_xlfn.XLOOKUP(D419, tblCourses[CourseID], tblCourses[CourseName], ""), "")</f>
        <v>Safety Management Systems (Initial)</v>
      </c>
      <c r="F419" s="17">
        <v>44853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0" spans="1:9" x14ac:dyDescent="0.25">
      <c r="A420" s="15">
        <f t="shared" si="6"/>
        <v>419</v>
      </c>
      <c r="B420" s="15" t="s">
        <v>99</v>
      </c>
      <c r="C420" s="15" t="str" cm="1">
        <f t="array" ref="C420">IFERROR(_xlfn.XLOOKUP(B420, tblPeople[PersonID], tblPeople[PersonName], ""), "")</f>
        <v>Bernard Kibiwott</v>
      </c>
      <c r="D420" s="15" t="s">
        <v>132</v>
      </c>
      <c r="E420" s="16" t="str">
        <f>IFERROR(_xlfn.XLOOKUP(D420, tblCourses[CourseID], tblCourses[CourseName], ""), "")</f>
        <v>Marshalling Techniques Course</v>
      </c>
      <c r="F420" s="17">
        <v>42167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1" spans="1:9" x14ac:dyDescent="0.25">
      <c r="A421" s="15">
        <f t="shared" si="6"/>
        <v>420</v>
      </c>
      <c r="B421" s="15" t="s">
        <v>99</v>
      </c>
      <c r="C421" s="15" t="str" cm="1">
        <f t="array" ref="C421">IFERROR(_xlfn.XLOOKUP(B421, tblPeople[PersonID], tblPeople[PersonName], ""), "")</f>
        <v>Bernard Kibiwott</v>
      </c>
      <c r="D421" s="15" t="s">
        <v>24</v>
      </c>
      <c r="E421" s="16" t="str">
        <f>IFERROR(_xlfn.XLOOKUP(D421, tblCourses[CourseID], tblCourses[CourseName], ""), "")</f>
        <v>Human Factors in Aviation (Initial)</v>
      </c>
      <c r="F421" s="17">
        <v>45894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99</v>
      </c>
      <c r="C422" s="15" t="str" cm="1">
        <f t="array" ref="C422">IFERROR(_xlfn.XLOOKUP(B422, tblPeople[PersonID], tblPeople[PersonName], ""), "")</f>
        <v>Bernard Kibiwott</v>
      </c>
      <c r="D422" s="15" t="s">
        <v>22</v>
      </c>
      <c r="E422" s="16" t="str">
        <f>IFERROR(_xlfn.XLOOKUP(D422, tblCourses[CourseID], tblCourses[CourseName], ""), "")</f>
        <v>Human Factors in Aviation (Refresher)</v>
      </c>
      <c r="F422" s="17">
        <v>45894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22" s="15">
        <f ca="1">IF(OR(tblTraining[[#This Row],[Status]]="Renewed",tblTraining[[#This Row],[NextDueDate]]=""),"",tblTraining[[#This Row],[NextDueDate]]-TODAY())</f>
        <v>338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3" spans="1:9" x14ac:dyDescent="0.25">
      <c r="A423" s="15">
        <f t="shared" si="6"/>
        <v>422</v>
      </c>
      <c r="B423" s="15" t="s">
        <v>106</v>
      </c>
      <c r="C423" s="15" t="str" cm="1">
        <f t="array" ref="C423">IFERROR(_xlfn.XLOOKUP(B423, tblPeople[PersonID], tblPeople[PersonName], ""), "")</f>
        <v>James Mugo</v>
      </c>
      <c r="D423" s="15" t="s">
        <v>17</v>
      </c>
      <c r="E423" s="16" t="str">
        <f>IFERROR(_xlfn.XLOOKUP(D423, tblCourses[CourseID], tblCourses[CourseName], ""), "")</f>
        <v>Safety Management Systems (Refresher)</v>
      </c>
      <c r="F423" s="17">
        <v>45114</v>
      </c>
      <c r="G423" s="17" t="str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3" s="15" t="str">
        <f ca="1">IF(OR(tblTraining[[#This Row],[Status]]="Renewed",tblTraining[[#This Row],[NextDueDate]]=""),"",tblTraining[[#This Row],[NextDueDate]]-TODAY())</f>
        <v/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4" spans="1:9" x14ac:dyDescent="0.25">
      <c r="A424" s="15">
        <f t="shared" si="6"/>
        <v>423</v>
      </c>
      <c r="B424" s="15" t="s">
        <v>106</v>
      </c>
      <c r="C424" s="15" t="str" cm="1">
        <f t="array" ref="C424">IFERROR(_xlfn.XLOOKUP(B424, tblPeople[PersonID], tblPeople[PersonName], ""), "")</f>
        <v>James Mugo</v>
      </c>
      <c r="D424" s="15" t="s">
        <v>17</v>
      </c>
      <c r="E424" s="16" t="str">
        <f>IFERROR(_xlfn.XLOOKUP(D424, tblCourses[CourseID], tblCourses[CourseName], ""), "")</f>
        <v>Safety Management Systems (Refresher)</v>
      </c>
      <c r="F424" s="17">
        <v>45895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24" s="15">
        <f ca="1">IF(OR(tblTraining[[#This Row],[Status]]="Renewed",tblTraining[[#This Row],[NextDueDate]]=""),"",tblTraining[[#This Row],[NextDueDate]]-TODAY())</f>
        <v>339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210</v>
      </c>
      <c r="C425" s="15" t="str" cm="1">
        <f t="array" ref="C425">IFERROR(_xlfn.XLOOKUP(B425, tblPeople[PersonID], tblPeople[PersonName], ""), "")</f>
        <v>John Kihara</v>
      </c>
      <c r="D425" s="15" t="s">
        <v>20</v>
      </c>
      <c r="E425" s="16" t="str">
        <f>IFERROR(_xlfn.XLOOKUP(D425, tblCourses[CourseID], tblCourses[CourseName], ""), "")</f>
        <v>Safety Management Systems (Initial)</v>
      </c>
      <c r="F425" s="17">
        <v>45846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210</v>
      </c>
      <c r="C426" s="15" t="str" cm="1">
        <f t="array" ref="C426">IFERROR(_xlfn.XLOOKUP(B426, tblPeople[PersonID], tblPeople[PersonName], ""), "")</f>
        <v>John Kihara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45846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26" s="15">
        <f ca="1">IF(OR(tblTraining[[#This Row],[Status]]="Renewed",tblTraining[[#This Row],[NextDueDate]]=""),"",tblTraining[[#This Row],[NextDueDate]]-TODAY())</f>
        <v>290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7" spans="1:9" x14ac:dyDescent="0.25">
      <c r="A427" s="15">
        <f t="shared" si="6"/>
        <v>426</v>
      </c>
      <c r="B427" s="15" t="s">
        <v>100</v>
      </c>
      <c r="C427" s="15" t="str" cm="1">
        <f t="array" ref="C427">IFERROR(_xlfn.XLOOKUP(B427, tblPeople[PersonID], tblPeople[PersonName], ""), "")</f>
        <v>John Muriithi</v>
      </c>
      <c r="D427" s="15" t="s">
        <v>28</v>
      </c>
      <c r="E427" s="16" t="str">
        <f>IFERROR(_xlfn.XLOOKUP(D427, tblCourses[CourseID], tblCourses[CourseName], ""), "")</f>
        <v>DHC-8 100/200/300 with PWC 120/120A/121/123B/C/D/E Series Engines(Refresher)</v>
      </c>
      <c r="F427" s="17">
        <v>45737</v>
      </c>
      <c r="G427" s="17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27" s="15">
        <f ca="1">IF(OR(tblTraining[[#This Row],[Status]]="Renewed",tblTraining[[#This Row],[NextDueDate]]=""),"",tblTraining[[#This Row],[NextDueDate]]-TODAY())</f>
        <v>181</v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100</v>
      </c>
      <c r="C428" s="15" t="str" cm="1">
        <f t="array" ref="C428">IFERROR(_xlfn.XLOOKUP(B428, tblPeople[PersonID], tblPeople[PersonName], ""), "")</f>
        <v>John Muriithi</v>
      </c>
      <c r="D428" s="15" t="s">
        <v>126</v>
      </c>
      <c r="E428" s="16" t="str">
        <f>IFERROR(_xlfn.XLOOKUP(D428, tblCourses[CourseID], tblCourses[CourseName], ""), "")</f>
        <v>Maintenance Indoctrination</v>
      </c>
      <c r="F428" s="17">
        <v>43444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100</v>
      </c>
      <c r="C429" s="15" t="str" cm="1">
        <f t="array" ref="C429">IFERROR(_xlfn.XLOOKUP(B429, tblPeople[PersonID], tblPeople[PersonName], ""), "")</f>
        <v>John Muriithi</v>
      </c>
      <c r="D429" s="15" t="s">
        <v>175</v>
      </c>
      <c r="E429" s="16" t="str">
        <f>IFERROR(_xlfn.XLOOKUP(D429, tblCourses[CourseID], tblCourses[CourseName], ""), "")</f>
        <v>Aircraft Maintenance Engineers' Licence</v>
      </c>
      <c r="F429" s="17">
        <v>45683</v>
      </c>
      <c r="G429" s="17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29" s="15">
        <f ca="1">IF(OR(tblTraining[[#This Row],[Status]]="Renewed",tblTraining[[#This Row],[NextDueDate]]=""),"",tblTraining[[#This Row],[NextDueDate]]-TODAY())</f>
        <v>127</v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100</v>
      </c>
      <c r="C430" s="15" t="str" cm="1">
        <f t="array" ref="C430">IFERROR(_xlfn.XLOOKUP(B430, tblPeople[PersonID], tblPeople[PersonName], ""), "")</f>
        <v>John Muriithi</v>
      </c>
      <c r="D430" s="15" t="s">
        <v>190</v>
      </c>
      <c r="E430" s="16" t="str">
        <f>IFERROR(_xlfn.XLOOKUP(D430, tblCourses[CourseID], tblCourses[CourseName], ""), "")</f>
        <v>Stock Receiving Inspection</v>
      </c>
      <c r="F430" s="17">
        <v>45086</v>
      </c>
      <c r="G430" s="17" t="str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0" s="15" t="str">
        <f ca="1">IF(OR(tblTraining[[#This Row],[Status]]="Renewed",tblTraining[[#This Row],[NextDueDate]]=""),"",tblTraining[[#This Row],[NextDueDate]]-TODAY())</f>
        <v/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1" spans="1:9" x14ac:dyDescent="0.25">
      <c r="A431" s="15">
        <f t="shared" si="6"/>
        <v>430</v>
      </c>
      <c r="B431" s="15" t="s">
        <v>100</v>
      </c>
      <c r="C431" s="15" t="str" cm="1">
        <f t="array" ref="C431">IFERROR(_xlfn.XLOOKUP(B431, tblPeople[PersonID], tblPeople[PersonName], ""), "")</f>
        <v>John Muriithi</v>
      </c>
      <c r="D431" s="15" t="s">
        <v>198</v>
      </c>
      <c r="E431" s="16" t="str">
        <f>IFERROR(_xlfn.XLOOKUP(D431, tblCourses[CourseID], tblCourses[CourseName], ""), "")</f>
        <v>Maintenance Procedures &amp; Standard Maintenance Practices (Refresher)</v>
      </c>
      <c r="F431" s="17">
        <v>45328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100</v>
      </c>
      <c r="C432" s="15" t="str" cm="1">
        <f t="array" ref="C432">IFERROR(_xlfn.XLOOKUP(B432, tblPeople[PersonID], tblPeople[PersonName], ""), "")</f>
        <v>John Muriithi</v>
      </c>
      <c r="D432" s="15" t="s">
        <v>124</v>
      </c>
      <c r="E432" s="16" t="str">
        <f>IFERROR(_xlfn.XLOOKUP(D432, tblCourses[CourseID], tblCourses[CourseName], ""), "")</f>
        <v>Aviation Security (Initial)</v>
      </c>
      <c r="F432" s="17">
        <v>45730</v>
      </c>
      <c r="G432" s="17" t="str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2" s="15" t="str">
        <f ca="1">IF(OR(tblTraining[[#This Row],[Status]]="Renewed",tblTraining[[#This Row],[NextDueDate]]=""),"",tblTraining[[#This Row],[NextDueDate]]-TODAY())</f>
        <v/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100</v>
      </c>
      <c r="C433" s="15" t="str" cm="1">
        <f t="array" ref="C433">IFERROR(_xlfn.XLOOKUP(B433, tblPeople[PersonID], tblPeople[PersonName], ""), "")</f>
        <v>John Muriithi</v>
      </c>
      <c r="D433" s="15" t="s">
        <v>125</v>
      </c>
      <c r="E433" s="16" t="str">
        <f>IFERROR(_xlfn.XLOOKUP(D433, tblCourses[CourseID], tblCourses[CourseName], ""), "")</f>
        <v>Aviation Security (Refresher)</v>
      </c>
      <c r="F433" s="17">
        <v>45730</v>
      </c>
      <c r="G433" s="17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33" s="15">
        <f ca="1">IF(OR(tblTraining[[#This Row],[Status]]="Renewed",tblTraining[[#This Row],[NextDueDate]]=""),"",tblTraining[[#This Row],[NextDueDate]]-TODAY())</f>
        <v>174</v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100</v>
      </c>
      <c r="C434" s="15" t="str" cm="1">
        <f t="array" ref="C434">IFERROR(_xlfn.XLOOKUP(B434, tblPeople[PersonID], tblPeople[PersonName], ""), "")</f>
        <v>John Muriithi</v>
      </c>
      <c r="D434" s="15" t="s">
        <v>110</v>
      </c>
      <c r="E434" s="16" t="str">
        <f>IFERROR(_xlfn.XLOOKUP(D434, tblCourses[CourseID], tblCourses[CourseName], ""), "")</f>
        <v>Electrical Wiring Interconnection System Target Groups 1 &amp; 2 (Initial)</v>
      </c>
      <c r="F434" s="17">
        <v>45811</v>
      </c>
      <c r="G434" s="17" t="str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4" s="15" t="str">
        <f ca="1">IF(OR(tblTraining[[#This Row],[Status]]="Renewed",tblTraining[[#This Row],[NextDueDate]]=""),"",tblTraining[[#This Row],[NextDueDate]]-TODAY())</f>
        <v/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109</v>
      </c>
      <c r="E435" s="16" t="str">
        <f>IFERROR(_xlfn.XLOOKUP(D435, tblCourses[CourseID], tblCourses[CourseName], ""), "")</f>
        <v>Electrical Wiring Interconnection System Target Groups 1 &amp; 2 (Refresher)</v>
      </c>
      <c r="F435" s="17">
        <v>45811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35" s="15">
        <f ca="1">IF(OR(tblTraining[[#This Row],[Status]]="Renewed",tblTraining[[#This Row],[NextDueDate]]=""),"",tblTraining[[#This Row],[NextDueDate]]-TODAY())</f>
        <v>255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77</v>
      </c>
      <c r="E436" s="16" t="str">
        <f>IFERROR(_xlfn.XLOOKUP(D436, tblCourses[CourseID], tblCourses[CourseName], ""), "")</f>
        <v>DHC8 -100/-200/-300 Collins Wheels &amp; Brakes Familiarization Training (Refresher)</v>
      </c>
      <c r="F436" s="17">
        <v>45637</v>
      </c>
      <c r="G436" s="17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36" s="15">
        <f ca="1">IF(OR(tblTraining[[#This Row],[Status]]="Renewed",tblTraining[[#This Row],[NextDueDate]]=""),"",tblTraining[[#This Row],[NextDueDate]]-TODAY())</f>
        <v>81</v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132</v>
      </c>
      <c r="E437" s="16" t="str">
        <f>IFERROR(_xlfn.XLOOKUP(D437, tblCourses[CourseID], tblCourses[CourseName], ""), "")</f>
        <v>Marshalling Techniques Course</v>
      </c>
      <c r="F437" s="17">
        <v>45475</v>
      </c>
      <c r="G437" s="17" t="str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7" s="15" t="str">
        <f ca="1">IF(OR(tblTraining[[#This Row],[Status]]="Renewed",tblTraining[[#This Row],[NextDueDate]]=""),"",tblTraining[[#This Row],[NextDueDate]]-TODAY())</f>
        <v/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22</v>
      </c>
      <c r="E438" s="16" t="str">
        <f>IFERROR(_xlfn.XLOOKUP(D438, tblCourses[CourseID], tblCourses[CourseName], ""), "")</f>
        <v>Human Factors in Aviation (Refresher)</v>
      </c>
      <c r="F438" s="17">
        <v>45854</v>
      </c>
      <c r="G438" s="17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38" s="15">
        <f ca="1">IF(OR(tblTraining[[#This Row],[Status]]="Renewed",tblTraining[[#This Row],[NextDueDate]]=""),"",tblTraining[[#This Row],[NextDueDate]]-TODAY())</f>
        <v>298</v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177</v>
      </c>
      <c r="E439" s="16" t="str">
        <f>IFERROR(_xlfn.XLOOKUP(D439, tblCourses[CourseID], tblCourses[CourseName], ""), "")</f>
        <v>Cessna 208 Series (Caravan) With P&amp;WC PT6A-114/ -114A/ -140 Engines (Initial)</v>
      </c>
      <c r="F439" s="17">
        <v>45212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178</v>
      </c>
      <c r="E440" s="16" t="str">
        <f>IFERROR(_xlfn.XLOOKUP(D440, tblCourses[CourseID], tblCourses[CourseName], ""), "")</f>
        <v>Cessna 208 Series (Caravan) With P&amp;WC PT6A-114/ -114A/ -140 Engines (Refresher)</v>
      </c>
      <c r="F440" s="17">
        <v>45212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76</v>
      </c>
      <c r="E441" s="16" t="str">
        <f>IFERROR(_xlfn.XLOOKUP(D441, tblCourses[CourseID], tblCourses[CourseName], ""), "")</f>
        <v>Fuel Tank Safety Phase 1 &amp; 2 Course (Initial)</v>
      </c>
      <c r="F441" s="17">
        <v>45405</v>
      </c>
      <c r="G441" s="17" t="str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1" s="15" t="str">
        <f ca="1">IF(OR(tblTraining[[#This Row],[Status]]="Renewed",tblTraining[[#This Row],[NextDueDate]]=""),"",tblTraining[[#This Row],[NextDueDate]]-TODAY())</f>
        <v/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75</v>
      </c>
      <c r="E442" s="16" t="str">
        <f>IFERROR(_xlfn.XLOOKUP(D442, tblCourses[CourseID], tblCourses[CourseName], ""), "")</f>
        <v>Fuel Tank Safety Phase 1 &amp; 2 Course (Refresher)</v>
      </c>
      <c r="F442" s="17">
        <v>45405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30</v>
      </c>
      <c r="E443" s="16" t="str">
        <f>IFERROR(_xlfn.XLOOKUP(D443, tblCourses[CourseID], tblCourses[CourseName], ""), "")</f>
        <v>Dangerous Goods Regulations (CBTA 7.3) (Refresher)</v>
      </c>
      <c r="F443" s="17">
        <v>45726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43" s="15">
        <f ca="1">IF(OR(tblTraining[[#This Row],[Status]]="Renewed",tblTraining[[#This Row],[NextDueDate]]=""),"",tblTraining[[#This Row],[NextDueDate]]-TODAY())</f>
        <v>170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17</v>
      </c>
      <c r="E444" s="16" t="str">
        <f>IFERROR(_xlfn.XLOOKUP(D444, tblCourses[CourseID], tblCourses[CourseName], ""), "")</f>
        <v>Safety Management Systems (Refresher)</v>
      </c>
      <c r="F444" s="17">
        <v>44990</v>
      </c>
      <c r="G444" s="17" t="str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4" s="15" t="str">
        <f ca="1">IF(OR(tblTraining[[#This Row],[Status]]="Renewed",tblTraining[[#This Row],[NextDueDate]]=""),"",tblTraining[[#This Row],[NextDueDate]]-TODAY())</f>
        <v/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137</v>
      </c>
      <c r="E445" s="16" t="str">
        <f>IFERROR(_xlfn.XLOOKUP(D445, tblCourses[CourseID], tblCourses[CourseName], ""), "")</f>
        <v>GARMIN 1000 Avionics</v>
      </c>
      <c r="F445" s="17">
        <v>41529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17</v>
      </c>
      <c r="E446" s="16" t="str">
        <f>IFERROR(_xlfn.XLOOKUP(D446, tblCourses[CourseID], tblCourses[CourseName], ""), "")</f>
        <v>Safety Management Systems (Refresher)</v>
      </c>
      <c r="F446" s="17">
        <v>45723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46" s="15">
        <f ca="1">IF(OR(tblTraining[[#This Row],[Status]]="Renewed",tblTraining[[#This Row],[NextDueDate]]=""),"",tblTraining[[#This Row],[NextDueDate]]-TODAY())</f>
        <v>167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94</v>
      </c>
      <c r="C447" s="15" t="str" cm="1">
        <f t="array" ref="C447">IFERROR(_xlfn.XLOOKUP(B447, tblPeople[PersonID], tblPeople[PersonName], ""), "")</f>
        <v>Moses Musyoka</v>
      </c>
      <c r="D447" s="15" t="s">
        <v>78</v>
      </c>
      <c r="E447" s="16" t="str">
        <f>IFERROR(_xlfn.XLOOKUP(D447, tblCourses[CourseID], tblCourses[CourseName], ""), "")</f>
        <v>DHC8 -100/-200/-300 Collins Wheels &amp; Brakes Familiarization Training (Initial)</v>
      </c>
      <c r="F447" s="18">
        <v>45637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94</v>
      </c>
      <c r="C448" s="15" t="str" cm="1">
        <f t="array" ref="C448">IFERROR(_xlfn.XLOOKUP(B448, tblPeople[PersonID], tblPeople[PersonName], ""), "")</f>
        <v>Moses Musyoka</v>
      </c>
      <c r="D448" s="15" t="s">
        <v>109</v>
      </c>
      <c r="E448" s="16" t="str">
        <f>IFERROR(_xlfn.XLOOKUP(D448, tblCourses[CourseID], tblCourses[CourseName], ""), "")</f>
        <v>Electrical Wiring Interconnection System Target Groups 1 &amp; 2 (Refresher)</v>
      </c>
      <c r="F448" s="17">
        <v>45788</v>
      </c>
      <c r="G448" s="17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48" s="15">
        <f ca="1">IF(OR(tblTraining[[#This Row],[Status]]="Renewed",tblTraining[[#This Row],[NextDueDate]]=""),"",tblTraining[[#This Row],[NextDueDate]]-TODAY())</f>
        <v>232</v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9" spans="1:9" x14ac:dyDescent="0.25">
      <c r="A449" s="15">
        <f t="shared" si="6"/>
        <v>448</v>
      </c>
      <c r="B449" s="15" t="s">
        <v>94</v>
      </c>
      <c r="C449" s="15" t="str" cm="1">
        <f t="array" ref="C449">IFERROR(_xlfn.XLOOKUP(B449, tblPeople[PersonID], tblPeople[PersonName], ""), "")</f>
        <v>Moses Musyoka</v>
      </c>
      <c r="D449" s="15" t="s">
        <v>126</v>
      </c>
      <c r="E449" s="16" t="str">
        <f>IFERROR(_xlfn.XLOOKUP(D449, tblCourses[CourseID], tblCourses[CourseName], ""), "")</f>
        <v>Maintenance Indoctrination</v>
      </c>
      <c r="F449" s="17">
        <v>45211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94</v>
      </c>
      <c r="C450" s="15" t="str" cm="1">
        <f t="array" ref="C450">IFERROR(_xlfn.XLOOKUP(B450, tblPeople[PersonID], tblPeople[PersonName], ""), "")</f>
        <v>Moses Musyoka</v>
      </c>
      <c r="D450" s="15" t="s">
        <v>77</v>
      </c>
      <c r="E450" s="16" t="str">
        <f>IFERROR(_xlfn.XLOOKUP(D450, tblCourses[CourseID], tblCourses[CourseName], ""), "")</f>
        <v>DHC8 -100/-200/-300 Collins Wheels &amp; Brakes Familiarization Training (Refresher)</v>
      </c>
      <c r="F450" s="17">
        <v>45637</v>
      </c>
      <c r="G450" s="17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0" s="15">
        <f ca="1">IF(OR(tblTraining[[#This Row],[Status]]="Renewed",tblTraining[[#This Row],[NextDueDate]]=""),"",tblTraining[[#This Row],[NextDueDate]]-TODAY())</f>
        <v>81</v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1" spans="1:9" x14ac:dyDescent="0.25">
      <c r="A451" s="15">
        <f t="shared" si="6"/>
        <v>450</v>
      </c>
      <c r="B451" s="15" t="s">
        <v>94</v>
      </c>
      <c r="C451" s="15" t="str" cm="1">
        <f t="array" ref="C451">IFERROR(_xlfn.XLOOKUP(B451, tblPeople[PersonID], tblPeople[PersonName], ""), "")</f>
        <v>Moses Musyoka</v>
      </c>
      <c r="D451" s="15" t="s">
        <v>75</v>
      </c>
      <c r="E451" s="16" t="str">
        <f>IFERROR(_xlfn.XLOOKUP(D451, tblCourses[CourseID], tblCourses[CourseName], ""), "")</f>
        <v>Fuel Tank Safety Phase 1 &amp; 2 Course (Refresher)</v>
      </c>
      <c r="F451" s="17">
        <v>45402</v>
      </c>
      <c r="G451" s="17" t="str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1" s="15" t="str">
        <f ca="1">IF(OR(tblTraining[[#This Row],[Status]]="Renewed",tblTraining[[#This Row],[NextDueDate]]=""),"",tblTraining[[#This Row],[NextDueDate]]-TODAY())</f>
        <v/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2" spans="1:9" x14ac:dyDescent="0.25">
      <c r="A452" s="15">
        <f t="shared" ref="A452:A515" si="7">A451+1</f>
        <v>451</v>
      </c>
      <c r="B452" s="15" t="s">
        <v>94</v>
      </c>
      <c r="C452" s="15" t="str" cm="1">
        <f t="array" ref="C452">IFERROR(_xlfn.XLOOKUP(B452, tblPeople[PersonID], tblPeople[PersonName], ""), "")</f>
        <v>Moses Musyoka</v>
      </c>
      <c r="D452" s="15" t="s">
        <v>124</v>
      </c>
      <c r="E452" s="16" t="str">
        <f>IFERROR(_xlfn.XLOOKUP(D452, tblCourses[CourseID], tblCourses[CourseName], ""), "")</f>
        <v>Aviation Security (Initial)</v>
      </c>
      <c r="F452" s="17">
        <v>45716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3" spans="1:9" x14ac:dyDescent="0.25">
      <c r="A453" s="15">
        <f t="shared" si="7"/>
        <v>452</v>
      </c>
      <c r="B453" s="15" t="s">
        <v>94</v>
      </c>
      <c r="C453" s="15" t="str" cm="1">
        <f t="array" ref="C453">IFERROR(_xlfn.XLOOKUP(B453, tblPeople[PersonID], tblPeople[PersonName], ""), "")</f>
        <v>Moses Musyoka</v>
      </c>
      <c r="D453" s="15" t="s">
        <v>125</v>
      </c>
      <c r="E453" s="16" t="str">
        <f>IFERROR(_xlfn.XLOOKUP(D453, tblCourses[CourseID], tblCourses[CourseName], ""), "")</f>
        <v>Aviation Security (Refresher)</v>
      </c>
      <c r="F453" s="17">
        <v>45716</v>
      </c>
      <c r="G453" s="17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53" s="15">
        <f ca="1">IF(OR(tblTraining[[#This Row],[Status]]="Renewed",tblTraining[[#This Row],[NextDueDate]]=""),"",tblTraining[[#This Row],[NextDueDate]]-TODAY())</f>
        <v>160</v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208</v>
      </c>
      <c r="C454" s="15" t="str" cm="1">
        <f t="array" ref="C454">IFERROR(_xlfn.XLOOKUP(B454, tblPeople[PersonID], tblPeople[PersonName], ""), "")</f>
        <v xml:space="preserve">Edwin Kemei </v>
      </c>
      <c r="D454" s="15" t="s">
        <v>22</v>
      </c>
      <c r="E454" s="16" t="str">
        <f>IFERROR(_xlfn.XLOOKUP(D454, tblCourses[CourseID], tblCourses[CourseName], ""), "")</f>
        <v>Human Factors in Aviation (Refresher)</v>
      </c>
      <c r="F454" s="17">
        <v>45349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54" s="15">
        <f ca="1">IF(OR(tblTraining[[#This Row],[Status]]="Renewed",tblTraining[[#This Row],[NextDueDate]]=""),"",tblTraining[[#This Row],[NextDueDate]]-TODAY())</f>
        <v>-206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55" spans="1:9" x14ac:dyDescent="0.25">
      <c r="A455" s="15">
        <f t="shared" si="7"/>
        <v>454</v>
      </c>
      <c r="B455" s="15" t="s">
        <v>135</v>
      </c>
      <c r="C455" s="15" t="str" cm="1">
        <f t="array" ref="C455">IFERROR(_xlfn.XLOOKUP(B455, tblPeople[PersonID], tblPeople[PersonName], ""), "")</f>
        <v>Francis Muriuki</v>
      </c>
      <c r="D455" s="15" t="s">
        <v>178</v>
      </c>
      <c r="E455" s="16" t="str">
        <f>IFERROR(_xlfn.XLOOKUP(D455, tblCourses[CourseID], tblCourses[CourseName], ""), "")</f>
        <v>Cessna 208 Series (Caravan) With P&amp;WC PT6A-114/ -114A/ -140 Engines (Refresher)</v>
      </c>
      <c r="F455" s="17">
        <v>45924</v>
      </c>
      <c r="G455" s="17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5" s="15">
        <f ca="1">IF(OR(tblTraining[[#This Row],[Status]]="Renewed",tblTraining[[#This Row],[NextDueDate]]=""),"",tblTraining[[#This Row],[NextDueDate]]-TODAY())</f>
        <v>368</v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135</v>
      </c>
      <c r="C456" s="15" t="str" cm="1">
        <f t="array" ref="C456">IFERROR(_xlfn.XLOOKUP(B456, tblPeople[PersonID], tblPeople[PersonName], ""), "")</f>
        <v>Francis Muriuki</v>
      </c>
      <c r="D456" s="15" t="s">
        <v>25</v>
      </c>
      <c r="E456" s="16" t="str">
        <f>IFERROR(_xlfn.XLOOKUP(D456, tblCourses[CourseID], tblCourses[CourseName], ""), "")</f>
        <v>Pratt &amp; Whitney Canada PT6A Engine With P&amp;WC PT6A
20/ 27/ 41/ 42/ 60A/ 67D/ 112/ 114A/ 140 (Refresher)</v>
      </c>
      <c r="F456" s="17">
        <v>45926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56" s="15">
        <f ca="1">IF(OR(tblTraining[[#This Row],[Status]]="Renewed",tblTraining[[#This Row],[NextDueDate]]=""),"",tblTraining[[#This Row],[NextDueDate]]-TODAY())</f>
        <v>370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135</v>
      </c>
      <c r="C457" s="15" t="str" cm="1">
        <f t="array" ref="C457">IFERROR(_xlfn.XLOOKUP(B457, tblPeople[PersonID], tblPeople[PersonName], ""), "")</f>
        <v>Francis Muriuki</v>
      </c>
      <c r="D457" s="15" t="s">
        <v>218</v>
      </c>
      <c r="E457" s="16" t="str">
        <f>IFERROR(_xlfn.XLOOKUP(D457, tblCourses[CourseID], tblCourses[CourseName], ""), "")</f>
        <v>SOCATA TBM 700 Series (Initial)</v>
      </c>
      <c r="F457" s="17">
        <v>45733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135</v>
      </c>
      <c r="C458" s="15" t="str" cm="1">
        <f t="array" ref="C458">IFERROR(_xlfn.XLOOKUP(B458, tblPeople[PersonID], tblPeople[PersonName], ""), "")</f>
        <v>Francis Muriuki</v>
      </c>
      <c r="D458" s="15" t="s">
        <v>110</v>
      </c>
      <c r="E458" s="16" t="str">
        <f>IFERROR(_xlfn.XLOOKUP(D458, tblCourses[CourseID], tblCourses[CourseName], ""), "")</f>
        <v>Electrical Wiring Interconnection System Target Groups 1 &amp; 2 (Initial)</v>
      </c>
      <c r="F458" s="17">
        <v>45805</v>
      </c>
      <c r="G458" s="17" t="str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8" s="15" t="str">
        <f ca="1">IF(OR(tblTraining[[#This Row],[Status]]="Renewed",tblTraining[[#This Row],[NextDueDate]]=""),"",tblTraining[[#This Row],[NextDueDate]]-TODAY())</f>
        <v/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100</v>
      </c>
      <c r="C459" s="15" t="str" cm="1">
        <f t="array" ref="C459">IFERROR(_xlfn.XLOOKUP(B459, tblPeople[PersonID], tblPeople[PersonName], ""), "")</f>
        <v>John Muriithi</v>
      </c>
      <c r="D459" s="15" t="s">
        <v>178</v>
      </c>
      <c r="E459" s="16" t="str">
        <f>IFERROR(_xlfn.XLOOKUP(D459, tblCourses[CourseID], tblCourses[CourseName], ""), "")</f>
        <v>Cessna 208 Series (Caravan) With P&amp;WC PT6A-114/ -114A/ -140 Engines (Refresher)</v>
      </c>
      <c r="F459" s="17">
        <v>45924</v>
      </c>
      <c r="G459" s="17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59" s="15">
        <f ca="1">IF(OR(tblTraining[[#This Row],[Status]]="Renewed",tblTraining[[#This Row],[NextDueDate]]=""),"",tblTraining[[#This Row],[NextDueDate]]-TODAY())</f>
        <v>368</v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0" spans="1:9" x14ac:dyDescent="0.25">
      <c r="A460" s="15">
        <f t="shared" si="7"/>
        <v>459</v>
      </c>
      <c r="B460" s="15" t="s">
        <v>88</v>
      </c>
      <c r="C460" s="15" t="str" cm="1">
        <f t="array" ref="C460">IFERROR(_xlfn.XLOOKUP(B460, tblPeople[PersonID], tblPeople[PersonName], ""), "")</f>
        <v>Michael Njihia</v>
      </c>
      <c r="D460" s="15" t="s">
        <v>17</v>
      </c>
      <c r="E460" s="16" t="str">
        <f>IFERROR(_xlfn.XLOOKUP(D460, tblCourses[CourseID], tblCourses[CourseName], ""), "")</f>
        <v>Safety Management Systems (Refresher)</v>
      </c>
      <c r="F460" s="17">
        <v>45895</v>
      </c>
      <c r="G460" s="17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0" s="15">
        <f ca="1">IF(OR(tblTraining[[#This Row],[Status]]="Renewed",tblTraining[[#This Row],[NextDueDate]]=""),"",tblTraining[[#This Row],[NextDueDate]]-TODAY())</f>
        <v>339</v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22</v>
      </c>
      <c r="E461" s="16" t="str">
        <f>IFERROR(_xlfn.XLOOKUP(D461, tblCourses[CourseID], tblCourses[CourseName], ""), "")</f>
        <v>Human Factors in Aviation (Refresher)</v>
      </c>
      <c r="F461" s="17">
        <v>45928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1" s="15">
        <f ca="1">IF(OR(tblTraining[[#This Row],[Status]]="Renewed",tblTraining[[#This Row],[NextDueDate]]=""),"",tblTraining[[#This Row],[NextDueDate]]-TODAY())</f>
        <v>372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94</v>
      </c>
      <c r="C462" s="15" t="str" cm="1">
        <f t="array" ref="C462">IFERROR(_xlfn.XLOOKUP(B462, tblPeople[PersonID], tblPeople[PersonName], ""), "")</f>
        <v>Moses Musyoka</v>
      </c>
      <c r="D462" s="15" t="s">
        <v>24</v>
      </c>
      <c r="E462" s="16" t="str">
        <f>IFERROR(_xlfn.XLOOKUP(D462, tblCourses[CourseID], tblCourses[CourseName], ""), "")</f>
        <v>Human Factors in Aviation (Initial)</v>
      </c>
      <c r="F462" s="17">
        <v>45212</v>
      </c>
      <c r="G462" s="17" t="str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2" s="15" t="str">
        <f ca="1">IF(OR(tblTraining[[#This Row],[Status]]="Renewed",tblTraining[[#This Row],[NextDueDate]]=""),"",tblTraining[[#This Row],[NextDueDate]]-TODAY())</f>
        <v/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3" spans="1:9" x14ac:dyDescent="0.25">
      <c r="A463" s="15">
        <f t="shared" si="7"/>
        <v>462</v>
      </c>
      <c r="B463" s="15" t="s">
        <v>94</v>
      </c>
      <c r="C463" s="15" t="str" cm="1">
        <f t="array" ref="C463">IFERROR(_xlfn.XLOOKUP(B463, tblPeople[PersonID], tblPeople[PersonName], ""), "")</f>
        <v>Moses Musyoka</v>
      </c>
      <c r="D463" s="15" t="s">
        <v>76</v>
      </c>
      <c r="E463" s="16" t="str">
        <f>IFERROR(_xlfn.XLOOKUP(D463, tblCourses[CourseID], tblCourses[CourseName], ""), "")</f>
        <v>Fuel Tank Safety Phase 1 &amp; 2 Course (Initial)</v>
      </c>
      <c r="F463" s="17">
        <v>45402</v>
      </c>
      <c r="G463" s="17" t="str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3" s="15" t="str">
        <f ca="1">IF(OR(tblTraining[[#This Row],[Status]]="Renewed",tblTraining[[#This Row],[NextDueDate]]=""),"",tblTraining[[#This Row],[NextDueDate]]-TODAY())</f>
        <v/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x14ac:dyDescent="0.25">
      <c r="A464" s="15">
        <f t="shared" si="7"/>
        <v>463</v>
      </c>
      <c r="B464" s="15" t="s">
        <v>103</v>
      </c>
      <c r="C464" s="15" t="str" cm="1">
        <f t="array" ref="C464">IFERROR(_xlfn.XLOOKUP(B464, tblPeople[PersonID], tblPeople[PersonName], ""), "")</f>
        <v>Smith Harun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t="str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4" s="15" t="str">
        <f ca="1">IF(OR(tblTraining[[#This Row],[Status]]="Renewed",tblTraining[[#This Row],[NextDueDate]]=""),"",tblTraining[[#This Row],[NextDueDate]]-TODAY())</f>
        <v/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5" spans="1:9" x14ac:dyDescent="0.25">
      <c r="A465" s="15">
        <f t="shared" si="7"/>
        <v>464</v>
      </c>
      <c r="B465" s="15" t="s">
        <v>103</v>
      </c>
      <c r="C465" s="15" t="str" cm="1">
        <f t="array" ref="C465">IFERROR(_xlfn.XLOOKUP(B465, tblPeople[PersonID], tblPeople[PersonName], ""), "")</f>
        <v>Smith Harun</v>
      </c>
      <c r="D465" s="15" t="s">
        <v>217</v>
      </c>
      <c r="E465" s="16" t="str">
        <f>IFERROR(_xlfn.XLOOKUP(D465, tblCourses[CourseID], tblCourses[CourseName], ""), "")</f>
        <v>SOCATA TBM 700 Series (Refresher)</v>
      </c>
      <c r="F465" s="17">
        <v>45733</v>
      </c>
      <c r="G465" s="17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5" s="15">
        <f ca="1">IF(OR(tblTraining[[#This Row],[Status]]="Renewed",tblTraining[[#This Row],[NextDueDate]]=""),"",tblTraining[[#This Row],[NextDueDate]]-TODAY())</f>
        <v>177</v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103</v>
      </c>
      <c r="C466" s="15" t="str" cm="1">
        <f t="array" ref="C466">IFERROR(_xlfn.XLOOKUP(B466, tblPeople[PersonID], tblPeople[PersonName], ""), "")</f>
        <v>Smith Harun</v>
      </c>
      <c r="D466" s="15" t="s">
        <v>78</v>
      </c>
      <c r="E466" s="16" t="str">
        <f>IFERROR(_xlfn.XLOOKUP(D466, tblCourses[CourseID], tblCourses[CourseName], ""), "")</f>
        <v>DHC8 -100/-200/-300 Collins Wheels &amp; Brakes Familiarization Training (Initial)</v>
      </c>
      <c r="F466" s="17">
        <v>44392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103</v>
      </c>
      <c r="C467" s="15" t="str" cm="1">
        <f t="array" ref="C467">IFERROR(_xlfn.XLOOKUP(B467, tblPeople[PersonID], tblPeople[PersonName], ""), "")</f>
        <v>Smith Harun</v>
      </c>
      <c r="D467" s="15" t="s">
        <v>169</v>
      </c>
      <c r="E467" s="16" t="str">
        <f>IFERROR(_xlfn.XLOOKUP(D467, tblCourses[CourseID], tblCourses[CourseName], ""), "")</f>
        <v>Quality Management Systems</v>
      </c>
      <c r="F467" s="17">
        <v>45793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67" s="15">
        <f ca="1">IF(OR(tblTraining[[#This Row],[Status]]="Renewed",tblTraining[[#This Row],[NextDueDate]]=""),"",tblTraining[[#This Row],[NextDueDate]]-TODAY())</f>
        <v>603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102</v>
      </c>
      <c r="C468" s="15" t="str" cm="1">
        <f t="array" ref="C468">IFERROR(_xlfn.XLOOKUP(B468, tblPeople[PersonID], tblPeople[PersonName], ""), "")</f>
        <v>William Mlati</v>
      </c>
      <c r="D468" s="15" t="s">
        <v>25</v>
      </c>
      <c r="E468" s="16" t="str">
        <f>IFERROR(_xlfn.XLOOKUP(D468, tblCourses[CourseID], tblCourses[CourseName], ""), "")</f>
        <v>Pratt &amp; Whitney Canada PT6A Engine With P&amp;WC PT6A
20/ 27/ 41/ 42/ 60A/ 67D/ 112/ 114A/ 140 (Refresher)</v>
      </c>
      <c r="F468" s="17">
        <v>45926</v>
      </c>
      <c r="G468" s="17" t="str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8" s="15" t="str">
        <f ca="1">IF(OR(tblTraining[[#This Row],[Status]]="Renewed",tblTraining[[#This Row],[NextDueDate]]=""),"",tblTraining[[#This Row],[NextDueDate]]-TODAY())</f>
        <v/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9" spans="1:9" x14ac:dyDescent="0.25">
      <c r="A469" s="15">
        <f t="shared" si="7"/>
        <v>468</v>
      </c>
      <c r="B469" s="15" t="s">
        <v>102</v>
      </c>
      <c r="C469" s="15" t="str" cm="1">
        <f t="array" ref="C469">IFERROR(_xlfn.XLOOKUP(B469, tblPeople[PersonID], tblPeople[PersonName], ""), "")</f>
        <v>William Mlati</v>
      </c>
      <c r="D469" s="15" t="s">
        <v>217</v>
      </c>
      <c r="E469" s="16" t="str">
        <f>IFERROR(_xlfn.XLOOKUP(D469, tblCourses[CourseID], tblCourses[CourseName], ""), "")</f>
        <v>SOCATA TBM 700 Series (Refresher)</v>
      </c>
      <c r="F469" s="17">
        <v>45733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69" s="15">
        <f ca="1">IF(OR(tblTraining[[#This Row],[Status]]="Renewed",tblTraining[[#This Row],[NextDueDate]]=""),"",tblTraining[[#This Row],[NextDueDate]]-TODAY())</f>
        <v>177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102</v>
      </c>
      <c r="C470" s="15" t="str" cm="1">
        <f t="array" ref="C470">IFERROR(_xlfn.XLOOKUP(B470, tblPeople[PersonID], tblPeople[PersonName], ""), "")</f>
        <v>William Mlati</v>
      </c>
      <c r="D470" s="15" t="s">
        <v>32</v>
      </c>
      <c r="E470" s="16" t="str">
        <f>IFERROR(_xlfn.XLOOKUP(D470, tblCourses[CourseID], tblCourses[CourseName], ""), "")</f>
        <v>Dangerous Goods Regulations (CBTA 7.3) (Initial)</v>
      </c>
      <c r="F470" s="17">
        <v>44123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102</v>
      </c>
      <c r="C471" s="15" t="str" cm="1">
        <f t="array" ref="C471">IFERROR(_xlfn.XLOOKUP(B471, tblPeople[PersonID], tblPeople[PersonName], ""), "")</f>
        <v>William Mlati</v>
      </c>
      <c r="D471" s="15" t="s">
        <v>30</v>
      </c>
      <c r="E471" s="16" t="str">
        <f>IFERROR(_xlfn.XLOOKUP(D471, tblCourses[CourseID], tblCourses[CourseName], ""), "")</f>
        <v>Dangerous Goods Regulations (CBTA 7.3) (Refresher)</v>
      </c>
      <c r="F471" s="17">
        <v>44123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2" spans="1:9" x14ac:dyDescent="0.25">
      <c r="A472" s="15">
        <f t="shared" si="7"/>
        <v>471</v>
      </c>
      <c r="B472" s="15" t="s">
        <v>102</v>
      </c>
      <c r="C472" s="15" t="str" cm="1">
        <f t="array" ref="C472">IFERROR(_xlfn.XLOOKUP(B472, tblPeople[PersonID], tblPeople[PersonName], ""), "")</f>
        <v>William Mlati</v>
      </c>
      <c r="D472" s="15" t="s">
        <v>181</v>
      </c>
      <c r="E472" s="16" t="str">
        <f>IFERROR(_xlfn.XLOOKUP(D472, tblCourses[CourseID], tblCourses[CourseName], ""), "")</f>
        <v>Leadership &amp; Management</v>
      </c>
      <c r="F472" s="17">
        <v>42886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3" spans="1:9" x14ac:dyDescent="0.25">
      <c r="A473" s="15">
        <f t="shared" si="7"/>
        <v>472</v>
      </c>
      <c r="B473" s="15" t="s">
        <v>102</v>
      </c>
      <c r="C473" s="15" t="str" cm="1">
        <f t="array" ref="C473">IFERROR(_xlfn.XLOOKUP(B473, tblPeople[PersonID], tblPeople[PersonName], ""), "")</f>
        <v>William Mlati</v>
      </c>
      <c r="D473" s="15" t="s">
        <v>221</v>
      </c>
      <c r="E473" s="16" t="str">
        <f>IFERROR(_xlfn.XLOOKUP(D473, tblCourses[CourseID], tblCourses[CourseName], ""), "")</f>
        <v>Core Instructional Technique (Initial)</v>
      </c>
      <c r="F473" s="17">
        <v>43357</v>
      </c>
      <c r="G473" s="17" t="str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3" s="15" t="str">
        <f ca="1">IF(OR(tblTraining[[#This Row],[Status]]="Renewed",tblTraining[[#This Row],[NextDueDate]]=""),"",tblTraining[[#This Row],[NextDueDate]]-TODAY())</f>
        <v/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102</v>
      </c>
      <c r="C474" s="15" t="str" cm="1">
        <f t="array" ref="C474">IFERROR(_xlfn.XLOOKUP(B474, tblPeople[PersonID], tblPeople[PersonName], ""), "")</f>
        <v>William Mlati</v>
      </c>
      <c r="D474" s="15" t="s">
        <v>27</v>
      </c>
      <c r="E474" s="16" t="str">
        <f>IFERROR(_xlfn.XLOOKUP(D474, tblCourses[CourseID], tblCourses[CourseName], ""), "")</f>
        <v>Pratt &amp; Whitney Canada PT6A Engine With P&amp;WC PT6A
20/ 27/ 41/ 42/ 60A/ 67D/ 112/ 114A/ 140 (Initial)</v>
      </c>
      <c r="F474" s="17">
        <v>39743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102</v>
      </c>
      <c r="C475" s="15" t="str" cm="1">
        <f t="array" ref="C475">IFERROR(_xlfn.XLOOKUP(B475, tblPeople[PersonID], tblPeople[PersonName], ""), "")</f>
        <v>William Mlati</v>
      </c>
      <c r="D475" s="15" t="s">
        <v>219</v>
      </c>
      <c r="E475" s="16" t="str">
        <f>IFERROR(_xlfn.XLOOKUP(D475, tblCourses[CourseID], tblCourses[CourseName], ""), "")</f>
        <v>Quality Management Systems (Initial)</v>
      </c>
      <c r="F475" s="17">
        <v>40577</v>
      </c>
      <c r="G475" s="17" t="str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5" s="15" t="str">
        <f ca="1">IF(OR(tblTraining[[#This Row],[Status]]="Renewed",tblTraining[[#This Row],[NextDueDate]]=""),"",tblTraining[[#This Row],[NextDueDate]]-TODAY())</f>
        <v/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30</v>
      </c>
      <c r="E476" s="16" t="str">
        <f>IFERROR(_xlfn.XLOOKUP(D476, tblCourses[CourseID], tblCourses[CourseName], ""), "")</f>
        <v>Dangerous Goods Regulations (CBTA 7.3) (Refresher)</v>
      </c>
      <c r="F476" s="17">
        <v>45916</v>
      </c>
      <c r="G476" s="17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76" s="15">
        <f ca="1">IF(OR(tblTraining[[#This Row],[Status]]="Renewed",tblTraining[[#This Row],[NextDueDate]]=""),"",tblTraining[[#This Row],[NextDueDate]]-TODAY())</f>
        <v>360</v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78</v>
      </c>
      <c r="E477" s="16" t="str">
        <f>IFERROR(_xlfn.XLOOKUP(D477, tblCourses[CourseID], tblCourses[CourseName], ""), "")</f>
        <v>DHC8 -100/-200/-300 Collins Wheels &amp; Brakes Familiarization Training (Initial)</v>
      </c>
      <c r="F477" s="17">
        <v>44392</v>
      </c>
      <c r="G477" s="17" t="str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7" s="15" t="str">
        <f ca="1">IF(OR(tblTraining[[#This Row],[Status]]="Renewed",tblTraining[[#This Row],[NextDueDate]]=""),"",tblTraining[[#This Row],[NextDueDate]]-TODAY())</f>
        <v/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149</v>
      </c>
      <c r="C478" s="15" t="str" cm="1">
        <f t="array" ref="C478">IFERROR(_xlfn.XLOOKUP(B478, tblPeople[PersonID], tblPeople[PersonName], ""), "")</f>
        <v>Kea Kazungu</v>
      </c>
      <c r="D478" s="15" t="s">
        <v>181</v>
      </c>
      <c r="E478" s="16" t="str">
        <f>IFERROR(_xlfn.XLOOKUP(D478, tblCourses[CourseID], tblCourses[CourseName], ""), "")</f>
        <v>Leadership &amp; Management</v>
      </c>
      <c r="F478" s="17">
        <v>43076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149</v>
      </c>
      <c r="C479" s="15" t="str" cm="1">
        <f t="array" ref="C479">IFERROR(_xlfn.XLOOKUP(B479, tblPeople[PersonID], tblPeople[PersonName], ""), "")</f>
        <v>Kea Kazungu</v>
      </c>
      <c r="D479" s="15" t="s">
        <v>221</v>
      </c>
      <c r="E479" s="16" t="str">
        <f>IFERROR(_xlfn.XLOOKUP(D479, tblCourses[CourseID], tblCourses[CourseName], ""), "")</f>
        <v>Core Instructional Technique (Initial)</v>
      </c>
      <c r="F479" s="17">
        <v>43357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0" spans="1:9" x14ac:dyDescent="0.25">
      <c r="A480" s="15">
        <f t="shared" si="7"/>
        <v>479</v>
      </c>
      <c r="B480" s="15" t="s">
        <v>149</v>
      </c>
      <c r="C480" s="15" t="str" cm="1">
        <f t="array" ref="C480">IFERROR(_xlfn.XLOOKUP(B480, tblPeople[PersonID], tblPeople[PersonName], ""), "")</f>
        <v>Kea Kazungu</v>
      </c>
      <c r="D480" s="15" t="s">
        <v>219</v>
      </c>
      <c r="E480" s="16" t="str">
        <f>IFERROR(_xlfn.XLOOKUP(D480, tblCourses[CourseID], tblCourses[CourseName], ""), "")</f>
        <v>Quality Management Systems (Initial)</v>
      </c>
      <c r="F480" s="17">
        <v>42132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149</v>
      </c>
      <c r="C481" s="15" t="str" cm="1">
        <f t="array" ref="C481">IFERROR(_xlfn.XLOOKUP(B481, tblPeople[PersonID], tblPeople[PersonName], ""), "")</f>
        <v>Kea Kazungu</v>
      </c>
      <c r="D481" s="15" t="s">
        <v>175</v>
      </c>
      <c r="E481" s="16" t="str">
        <f>IFERROR(_xlfn.XLOOKUP(D481, tblCourses[CourseID], tblCourses[CourseName], ""), "")</f>
        <v>Aircraft Maintenance Engineers' Licence</v>
      </c>
      <c r="F481" s="17">
        <v>45833</v>
      </c>
      <c r="G481" s="17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1" s="15">
        <f ca="1">IF(OR(tblTraining[[#This Row],[Status]]="Renewed",tblTraining[[#This Row],[NextDueDate]]=""),"",tblTraining[[#This Row],[NextDueDate]]-TODAY())</f>
        <v>277</v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7"/>
        <v>481</v>
      </c>
      <c r="B482" s="15" t="s">
        <v>106</v>
      </c>
      <c r="C482" s="15" t="str" cm="1">
        <f t="array" ref="C482">IFERROR(_xlfn.XLOOKUP(B482, tblPeople[PersonID], tblPeople[PersonName], ""), "")</f>
        <v>James Mugo</v>
      </c>
      <c r="D482" s="15" t="s">
        <v>110</v>
      </c>
      <c r="E482" s="16" t="str">
        <f>IFERROR(_xlfn.XLOOKUP(D482, tblCourses[CourseID], tblCourses[CourseName], ""), "")</f>
        <v>Electrical Wiring Interconnection System Target Groups 1 &amp; 2 (Initial)</v>
      </c>
      <c r="F482" s="17">
        <v>45925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106</v>
      </c>
      <c r="C483" s="15" t="str" cm="1">
        <f t="array" ref="C483">IFERROR(_xlfn.XLOOKUP(B483, tblPeople[PersonID], tblPeople[PersonName], ""), "")</f>
        <v>James Mugo</v>
      </c>
      <c r="D483" s="15" t="s">
        <v>109</v>
      </c>
      <c r="E483" s="16" t="str">
        <f>IFERROR(_xlfn.XLOOKUP(D483, tblCourses[CourseID], tblCourses[CourseName], ""), "")</f>
        <v>Electrical Wiring Interconnection System Target Groups 1 &amp; 2 (Refresher)</v>
      </c>
      <c r="F483" s="17">
        <v>45925</v>
      </c>
      <c r="G483" s="17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83" s="15">
        <f ca="1">IF(OR(tblTraining[[#This Row],[Status]]="Renewed",tblTraining[[#This Row],[NextDueDate]]=""),"",tblTraining[[#This Row],[NextDueDate]]-TODAY())</f>
        <v>369</v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106</v>
      </c>
      <c r="C484" s="15" t="str" cm="1">
        <f t="array" ref="C484">IFERROR(_xlfn.XLOOKUP(B484, tblPeople[PersonID], tblPeople[PersonName], ""), "")</f>
        <v>James Mugo</v>
      </c>
      <c r="D484" s="15" t="s">
        <v>198</v>
      </c>
      <c r="E484" s="16" t="str">
        <f>IFERROR(_xlfn.XLOOKUP(D484, tblCourses[CourseID], tblCourses[CourseName], ""), "")</f>
        <v>Maintenance Procedures &amp; Standard Maintenance Practices (Refresher)</v>
      </c>
      <c r="F484" s="17">
        <v>45328</v>
      </c>
      <c r="G484" s="17" t="str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4" s="15" t="str">
        <f ca="1">IF(OR(tblTraining[[#This Row],[Status]]="Renewed",tblTraining[[#This Row],[NextDueDate]]=""),"",tblTraining[[#This Row],[NextDueDate]]-TODAY())</f>
        <v/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5" spans="1:9" x14ac:dyDescent="0.25">
      <c r="A485" s="15">
        <f t="shared" si="7"/>
        <v>484</v>
      </c>
      <c r="B485" s="15" t="s">
        <v>106</v>
      </c>
      <c r="C485" s="15" t="str" cm="1">
        <f t="array" ref="C485">IFERROR(_xlfn.XLOOKUP(B485, tblPeople[PersonID], tblPeople[PersonName], ""), "")</f>
        <v>James Mugo</v>
      </c>
      <c r="D485" s="15" t="s">
        <v>27</v>
      </c>
      <c r="E485" s="16" t="str">
        <f>IFERROR(_xlfn.XLOOKUP(D485, tblCourses[CourseID], tblCourses[CourseName], ""), "")</f>
        <v>Pratt &amp; Whitney Canada PT6A Engine With P&amp;WC PT6A
20/ 27/ 41/ 42/ 60A/ 67D/ 112/ 114A/ 140 (Initial)</v>
      </c>
      <c r="F485" s="17">
        <v>41733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106</v>
      </c>
      <c r="C486" s="15" t="str" cm="1">
        <f t="array" ref="C486">IFERROR(_xlfn.XLOOKUP(B486, tblPeople[PersonID], tblPeople[PersonName], ""), "")</f>
        <v>James Mugo</v>
      </c>
      <c r="D486" s="15" t="s">
        <v>29</v>
      </c>
      <c r="E486" s="16" t="str">
        <f>IFERROR(_xlfn.XLOOKUP(D486, tblCourses[CourseID], tblCourses[CourseName], ""), "")</f>
        <v>DHC-8 100/200/300 with PWC 120/120A/121/123B/C/D/E Series Engines(Initial)</v>
      </c>
      <c r="F486" s="17">
        <v>38989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121</v>
      </c>
      <c r="C487" s="15" t="str" cm="1">
        <f t="array" ref="C487">IFERROR(_xlfn.XLOOKUP(B487, tblPeople[PersonID], tblPeople[PersonName], ""), "")</f>
        <v>Chrispus King'ori</v>
      </c>
      <c r="D487" s="15" t="s">
        <v>20</v>
      </c>
      <c r="E487" s="16" t="str">
        <f>IFERROR(_xlfn.XLOOKUP(D487, tblCourses[CourseID], tblCourses[CourseName], ""), "")</f>
        <v>Safety Management Systems (Initial)</v>
      </c>
      <c r="F487" s="17">
        <v>45742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121</v>
      </c>
      <c r="C488" s="15" t="str" cm="1">
        <f t="array" ref="C488">IFERROR(_xlfn.XLOOKUP(B488, tblPeople[PersonID], tblPeople[PersonName], ""), "")</f>
        <v>Chrispus King'ori</v>
      </c>
      <c r="D488" s="15" t="s">
        <v>17</v>
      </c>
      <c r="E488" s="16" t="str">
        <f>IFERROR(_xlfn.XLOOKUP(D488, tblCourses[CourseID], tblCourses[CourseName], ""), "")</f>
        <v>Safety Management Systems (Refresher)</v>
      </c>
      <c r="F488" s="17">
        <v>45742</v>
      </c>
      <c r="G488" s="17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88" s="15">
        <f ca="1">IF(OR(tblTraining[[#This Row],[Status]]="Renewed",tblTraining[[#This Row],[NextDueDate]]=""),"",tblTraining[[#This Row],[NextDueDate]]-TODAY())</f>
        <v>186</v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149</v>
      </c>
      <c r="C489" s="15" t="str" cm="1">
        <f t="array" ref="C489">IFERROR(_xlfn.XLOOKUP(B489, tblPeople[PersonID], tblPeople[PersonName], ""), "")</f>
        <v>Kea Kazungu</v>
      </c>
      <c r="D489" s="15" t="s">
        <v>225</v>
      </c>
      <c r="E489" s="16" t="str">
        <f>IFERROR(_xlfn.XLOOKUP(D489, tblCourses[CourseID], tblCourses[CourseName], ""), "")</f>
        <v>First Aid Training (Initial)</v>
      </c>
      <c r="F489" s="17">
        <v>41724</v>
      </c>
      <c r="G489" s="17" t="str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9" s="15" t="str">
        <f ca="1">IF(OR(tblTraining[[#This Row],[Status]]="Renewed",tblTraining[[#This Row],[NextDueDate]]=""),"",tblTraining[[#This Row],[NextDueDate]]-TODAY())</f>
        <v/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149</v>
      </c>
      <c r="C490" s="15" t="str" cm="1">
        <f t="array" ref="C490">IFERROR(_xlfn.XLOOKUP(B490, tblPeople[PersonID], tblPeople[PersonName], ""), "")</f>
        <v>Kea Kazungu</v>
      </c>
      <c r="D490" s="15" t="s">
        <v>226</v>
      </c>
      <c r="E490" s="16" t="str">
        <f>IFERROR(_xlfn.XLOOKUP(D490, tblCourses[CourseID], tblCourses[CourseName], ""), "")</f>
        <v>First Aid Training (Refresher)</v>
      </c>
      <c r="F490" s="17">
        <v>41724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1" spans="1:9" x14ac:dyDescent="0.25">
      <c r="A491" s="15">
        <f t="shared" si="7"/>
        <v>490</v>
      </c>
      <c r="B491" s="15" t="s">
        <v>149</v>
      </c>
      <c r="C491" s="15" t="str" cm="1">
        <f t="array" ref="C491">IFERROR(_xlfn.XLOOKUP(B491, tblPeople[PersonID], tblPeople[PersonName], ""), "")</f>
        <v>Kea Kazungu</v>
      </c>
      <c r="D491" s="15" t="s">
        <v>226</v>
      </c>
      <c r="E491" s="16" t="str">
        <f>IFERROR(_xlfn.XLOOKUP(D491, tblCourses[CourseID], tblCourses[CourseName], ""), "")</f>
        <v>First Aid Training (Refresher)</v>
      </c>
      <c r="F491" s="17">
        <v>44641</v>
      </c>
      <c r="G491" s="17" t="str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1" s="15" t="str">
        <f ca="1">IF(OR(tblTraining[[#This Row],[Status]]="Renewed",tblTraining[[#This Row],[NextDueDate]]=""),"",tblTraining[[#This Row],[NextDueDate]]-TODAY())</f>
        <v/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2" spans="1:9" x14ac:dyDescent="0.25">
      <c r="A492" s="15">
        <f t="shared" si="7"/>
        <v>491</v>
      </c>
      <c r="B492" s="15" t="s">
        <v>149</v>
      </c>
      <c r="C492" s="15" t="str" cm="1">
        <f t="array" ref="C492">IFERROR(_xlfn.XLOOKUP(B492, tblPeople[PersonID], tblPeople[PersonName], ""), "")</f>
        <v>Kea Kazungu</v>
      </c>
      <c r="D492" s="15" t="s">
        <v>20</v>
      </c>
      <c r="E492" s="16" t="str">
        <f>IFERROR(_xlfn.XLOOKUP(D492, tblCourses[CourseID], tblCourses[CourseName], ""), "")</f>
        <v>Safety Management Systems (Initial)</v>
      </c>
      <c r="F492" s="17">
        <v>43684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3" spans="1:9" x14ac:dyDescent="0.25">
      <c r="A493" s="15">
        <f t="shared" si="7"/>
        <v>492</v>
      </c>
      <c r="B493" s="15" t="s">
        <v>149</v>
      </c>
      <c r="C493" s="15" t="str" cm="1">
        <f t="array" ref="C493">IFERROR(_xlfn.XLOOKUP(B493, tblPeople[PersonID], tblPeople[PersonName], ""), "")</f>
        <v>Kea Kazungu</v>
      </c>
      <c r="D493" s="15" t="s">
        <v>17</v>
      </c>
      <c r="E493" s="16" t="str">
        <f>IFERROR(_xlfn.XLOOKUP(D493, tblCourses[CourseID], tblCourses[CourseName], ""), "")</f>
        <v>Safety Management Systems (Refresher)</v>
      </c>
      <c r="F493" s="17">
        <v>45910</v>
      </c>
      <c r="G493" s="17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493" s="15">
        <f ca="1">IF(OR(tblTraining[[#This Row],[Status]]="Renewed",tblTraining[[#This Row],[NextDueDate]]=""),"",tblTraining[[#This Row],[NextDueDate]]-TODAY())</f>
        <v>354</v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7"/>
        <v>493</v>
      </c>
      <c r="B494" s="15" t="s">
        <v>149</v>
      </c>
      <c r="C494" s="15" t="str" cm="1">
        <f t="array" ref="C494">IFERROR(_xlfn.XLOOKUP(B494, tblPeople[PersonID], tblPeople[PersonName], ""), "")</f>
        <v>Kea Kazungu</v>
      </c>
      <c r="D494" s="15" t="s">
        <v>226</v>
      </c>
      <c r="E494" s="16" t="str">
        <f>IFERROR(_xlfn.XLOOKUP(D494, tblCourses[CourseID], tblCourses[CourseName], ""), "")</f>
        <v>First Aid Training (Refresher)</v>
      </c>
      <c r="F494" s="17">
        <v>45875</v>
      </c>
      <c r="G494" s="17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494" s="15">
        <f ca="1">IF(OR(tblTraining[[#This Row],[Status]]="Renewed",tblTraining[[#This Row],[NextDueDate]]=""),"",tblTraining[[#This Row],[NextDueDate]]-TODAY())</f>
        <v>685</v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7"/>
        <v>494</v>
      </c>
      <c r="B495" s="15" t="s">
        <v>83</v>
      </c>
      <c r="C495" s="15" t="str" cm="1">
        <f t="array" ref="C495">IFERROR(_xlfn.XLOOKUP(B495, tblPeople[PersonID], tblPeople[PersonName], ""), "")</f>
        <v>Wycliffe Kanana</v>
      </c>
      <c r="D495" s="15" t="s">
        <v>30</v>
      </c>
      <c r="E495" s="16" t="str">
        <f>IFERROR(_xlfn.XLOOKUP(D495, tblCourses[CourseID], tblCourses[CourseName], ""), "")</f>
        <v>Dangerous Goods Regulations (CBTA 7.3) (Refresher)</v>
      </c>
      <c r="F495" s="17">
        <v>45758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495" s="15">
        <f ca="1">IF(OR(tblTraining[[#This Row],[Status]]="Renewed",tblTraining[[#This Row],[NextDueDate]]=""),"",tblTraining[[#This Row],[NextDueDate]]-TODAY())</f>
        <v>202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6" spans="1:9" x14ac:dyDescent="0.25">
      <c r="A496" s="15">
        <f t="shared" si="7"/>
        <v>495</v>
      </c>
      <c r="B496" s="15" t="s">
        <v>121</v>
      </c>
      <c r="C496" s="15" t="str" cm="1">
        <f t="array" ref="C496">IFERROR(_xlfn.XLOOKUP(B496, tblPeople[PersonID], tblPeople[PersonName], ""), "")</f>
        <v>Chrispus King'ori</v>
      </c>
      <c r="D496" s="15" t="s">
        <v>32</v>
      </c>
      <c r="E496" s="16" t="str">
        <f>IFERROR(_xlfn.XLOOKUP(D496, tblCourses[CourseID], tblCourses[CourseName], ""), "")</f>
        <v>Dangerous Goods Regulations (CBTA 7.3) (Initial)</v>
      </c>
      <c r="F496" s="17">
        <v>45772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7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30</v>
      </c>
      <c r="E497" s="16" t="str">
        <f>IFERROR(_xlfn.XLOOKUP(D497, tblCourses[CourseID], tblCourses[CourseName], ""), "")</f>
        <v>Dangerous Goods Regulations (CBTA 7.3) (Refresher)</v>
      </c>
      <c r="F497" s="17">
        <v>45772</v>
      </c>
      <c r="G497" s="17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497" s="15">
        <f ca="1">IF(OR(tblTraining[[#This Row],[Status]]="Renewed",tblTraining[[#This Row],[NextDueDate]]=""),"",tblTraining[[#This Row],[NextDueDate]]-TODAY())</f>
        <v>216</v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172</v>
      </c>
      <c r="E498" s="16" t="str">
        <f>IFERROR(_xlfn.XLOOKUP(D498, tblCourses[CourseID], tblCourses[CourseName], ""), "")</f>
        <v>Aviation Technical Records &amp; Stores Management (TRS)</v>
      </c>
      <c r="F498" s="17">
        <v>45737</v>
      </c>
      <c r="G498" s="17" t="str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8" s="15" t="str">
        <f ca="1">IF(OR(tblTraining[[#This Row],[Status]]="Renewed",tblTraining[[#This Row],[NextDueDate]]=""),"",tblTraining[[#This Row],[NextDueDate]]-TODAY())</f>
        <v/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121</v>
      </c>
      <c r="C499" s="15" t="str" cm="1">
        <f t="array" ref="C499">IFERROR(_xlfn.XLOOKUP(B499, tblPeople[PersonID], tblPeople[PersonName], ""), "")</f>
        <v>Chrispus King'ori</v>
      </c>
      <c r="D499" s="15" t="s">
        <v>110</v>
      </c>
      <c r="E499" s="16" t="str">
        <f>IFERROR(_xlfn.XLOOKUP(D499, tblCourses[CourseID], tblCourses[CourseName], ""), "")</f>
        <v>Electrical Wiring Interconnection System Target Groups 1 &amp; 2 (Initial)</v>
      </c>
      <c r="F499" s="17">
        <v>45803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121</v>
      </c>
      <c r="C500" s="15" t="str" cm="1">
        <f t="array" ref="C500">IFERROR(_xlfn.XLOOKUP(B500, tblPeople[PersonID], tblPeople[PersonName], ""), "")</f>
        <v>Chrispus King'ori</v>
      </c>
      <c r="D500" s="15" t="s">
        <v>109</v>
      </c>
      <c r="E500" s="16" t="str">
        <f>IFERROR(_xlfn.XLOOKUP(D500, tblCourses[CourseID], tblCourses[CourseName], ""), "")</f>
        <v>Electrical Wiring Interconnection System Target Groups 1 &amp; 2 (Refresher)</v>
      </c>
      <c r="F500" s="17">
        <v>45803</v>
      </c>
      <c r="G500" s="17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00" s="15">
        <f ca="1">IF(OR(tblTraining[[#This Row],[Status]]="Renewed",tblTraining[[#This Row],[NextDueDate]]=""),"",tblTraining[[#This Row],[NextDueDate]]-TODAY())</f>
        <v>247</v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1" spans="1:9" x14ac:dyDescent="0.25">
      <c r="A501" s="15">
        <f t="shared" si="7"/>
        <v>500</v>
      </c>
      <c r="B501" s="15" t="s">
        <v>121</v>
      </c>
      <c r="C501" s="15" t="str" cm="1">
        <f t="array" ref="C501">IFERROR(_xlfn.XLOOKUP(B501, tblPeople[PersonID], tblPeople[PersonName], ""), "")</f>
        <v>Chrispus King'ori</v>
      </c>
      <c r="D501" s="15" t="s">
        <v>24</v>
      </c>
      <c r="E501" s="16" t="str">
        <f>IFERROR(_xlfn.XLOOKUP(D501, tblCourses[CourseID], tblCourses[CourseName], ""), "")</f>
        <v>Human Factors in Aviation (Initial)</v>
      </c>
      <c r="F501" s="17">
        <v>45851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2" spans="1:9" x14ac:dyDescent="0.25">
      <c r="A502" s="15">
        <f t="shared" si="7"/>
        <v>501</v>
      </c>
      <c r="B502" s="15" t="s">
        <v>121</v>
      </c>
      <c r="C502" s="15" t="str" cm="1">
        <f t="array" ref="C502">IFERROR(_xlfn.XLOOKUP(B502, tblPeople[PersonID], tblPeople[PersonName], ""), "")</f>
        <v>Chrispus King'ori</v>
      </c>
      <c r="D502" s="15" t="s">
        <v>22</v>
      </c>
      <c r="E502" s="16" t="str">
        <f>IFERROR(_xlfn.XLOOKUP(D502, tblCourses[CourseID], tblCourses[CourseName], ""), "")</f>
        <v>Human Factors in Aviation (Refresher)</v>
      </c>
      <c r="F502" s="17">
        <v>45851</v>
      </c>
      <c r="G502" s="17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02" s="15">
        <f ca="1">IF(OR(tblTraining[[#This Row],[Status]]="Renewed",tblTraining[[#This Row],[NextDueDate]]=""),"",tblTraining[[#This Row],[NextDueDate]]-TODAY())</f>
        <v>295</v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7"/>
        <v>502</v>
      </c>
      <c r="B503" s="15" t="s">
        <v>97</v>
      </c>
      <c r="C503" s="15" t="str" cm="1">
        <f t="array" ref="C503">IFERROR(_xlfn.XLOOKUP(B503, tblPeople[PersonID], tblPeople[PersonName], ""), "")</f>
        <v>Thomas Wambunya</v>
      </c>
      <c r="D503" s="15" t="s">
        <v>22</v>
      </c>
      <c r="E503" s="16" t="str">
        <f>IFERROR(_xlfn.XLOOKUP(D503, tblCourses[CourseID], tblCourses[CourseName], ""), "")</f>
        <v>Human Factors in Aviation (Refresher)</v>
      </c>
      <c r="F503" s="17">
        <v>45348</v>
      </c>
      <c r="G503" s="17" t="str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3" s="15" t="str">
        <f ca="1">IF(OR(tblTraining[[#This Row],[Status]]="Renewed",tblTraining[[#This Row],[NextDueDate]]=""),"",tblTraining[[#This Row],[NextDueDate]]-TODAY())</f>
        <v/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4" spans="1:9" x14ac:dyDescent="0.25">
      <c r="A504" s="15">
        <f t="shared" si="7"/>
        <v>503</v>
      </c>
      <c r="B504" s="15" t="s">
        <v>97</v>
      </c>
      <c r="C504" s="15" t="str" cm="1">
        <f t="array" ref="C504">IFERROR(_xlfn.XLOOKUP(B504, tblPeople[PersonID], tblPeople[PersonName], ""), "")</f>
        <v>Thomas Wambunya</v>
      </c>
      <c r="D504" s="15" t="s">
        <v>78</v>
      </c>
      <c r="E504" s="16" t="str">
        <f>IFERROR(_xlfn.XLOOKUP(D504, tblCourses[CourseID], tblCourses[CourseName], ""), "")</f>
        <v>DHC8 -100/-200/-300 Collins Wheels &amp; Brakes Familiarization Training (Initial)</v>
      </c>
      <c r="F504" s="17">
        <v>44392</v>
      </c>
      <c r="G504" s="17" t="str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4" s="15" t="str">
        <f ca="1">IF(OR(tblTraining[[#This Row],[Status]]="Renewed",tblTraining[[#This Row],[NextDueDate]]=""),"",tblTraining[[#This Row],[NextDueDate]]-TODAY())</f>
        <v/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97</v>
      </c>
      <c r="C505" s="15" t="str" cm="1">
        <f t="array" ref="C505">IFERROR(_xlfn.XLOOKUP(B505, tblPeople[PersonID], tblPeople[PersonName], ""), "")</f>
        <v>Thomas Wambunya</v>
      </c>
      <c r="D505" s="15" t="s">
        <v>29</v>
      </c>
      <c r="E505" s="16" t="str">
        <f>IFERROR(_xlfn.XLOOKUP(D505, tblCourses[CourseID], tblCourses[CourseName], ""), "")</f>
        <v>DHC-8 100/200/300 with PWC 120/120A/121/123B/C/D/E Series Engines(Initial)</v>
      </c>
      <c r="F505" s="17">
        <v>43777</v>
      </c>
      <c r="G505" s="17" t="str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5" s="15" t="str">
        <f ca="1">IF(OR(tblTraining[[#This Row],[Status]]="Renewed",tblTraining[[#This Row],[NextDueDate]]=""),"",tblTraining[[#This Row],[NextDueDate]]-TODAY())</f>
        <v/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97</v>
      </c>
      <c r="C506" s="15" t="str" cm="1">
        <f t="array" ref="C506">IFERROR(_xlfn.XLOOKUP(B506, tblPeople[PersonID], tblPeople[PersonName], ""), "")</f>
        <v>Thomas Wambunya</v>
      </c>
      <c r="D506" s="15" t="s">
        <v>110</v>
      </c>
      <c r="E506" s="16" t="str">
        <f>IFERROR(_xlfn.XLOOKUP(D506, tblCourses[CourseID], tblCourses[CourseName], ""), "")</f>
        <v>Electrical Wiring Interconnection System Target Groups 1 &amp; 2 (Initial)</v>
      </c>
      <c r="F506" s="17">
        <v>45791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97</v>
      </c>
      <c r="C507" s="15" t="str" cm="1">
        <f t="array" ref="C507">IFERROR(_xlfn.XLOOKUP(B507, tblPeople[PersonID], tblPeople[PersonName], ""), "")</f>
        <v>Thomas Wambunya</v>
      </c>
      <c r="D507" s="15" t="s">
        <v>109</v>
      </c>
      <c r="E507" s="16" t="str">
        <f>IFERROR(_xlfn.XLOOKUP(D507, tblCourses[CourseID], tblCourses[CourseName], ""), "")</f>
        <v>Electrical Wiring Interconnection System Target Groups 1 &amp; 2 (Refresher)</v>
      </c>
      <c r="F507" s="17">
        <v>45791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07" s="15">
        <f ca="1">IF(OR(tblTraining[[#This Row],[Status]]="Renewed",tblTraining[[#This Row],[NextDueDate]]=""),"",tblTraining[[#This Row],[NextDueDate]]-TODAY())</f>
        <v>235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94</v>
      </c>
      <c r="C508" s="15" t="str" cm="1">
        <f t="array" ref="C508">IFERROR(_xlfn.XLOOKUP(B508, tblPeople[PersonID], tblPeople[PersonName], ""), "")</f>
        <v>Moses Musyoka</v>
      </c>
      <c r="D508" s="15" t="s">
        <v>110</v>
      </c>
      <c r="E508" s="16" t="str">
        <f>IFERROR(_xlfn.XLOOKUP(D508, tblCourses[CourseID], tblCourses[CourseName], ""), "")</f>
        <v>Electrical Wiring Interconnection System Target Groups 1 &amp; 2 (Initial)</v>
      </c>
      <c r="F508" s="17">
        <v>45788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94</v>
      </c>
      <c r="C509" s="15" t="str" cm="1">
        <f t="array" ref="C509">IFERROR(_xlfn.XLOOKUP(B509, tblPeople[PersonID], tblPeople[PersonName], ""), "")</f>
        <v>Moses Musyoka</v>
      </c>
      <c r="D509" s="15" t="s">
        <v>20</v>
      </c>
      <c r="E509" s="16" t="str">
        <f>IFERROR(_xlfn.XLOOKUP(D509, tblCourses[CourseID], tblCourses[CourseName], ""), "")</f>
        <v>Safety Management Systems (Initial)</v>
      </c>
      <c r="F509" s="17">
        <v>45379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94</v>
      </c>
      <c r="C510" s="15" t="str" cm="1">
        <f t="array" ref="C510">IFERROR(_xlfn.XLOOKUP(B510, tblPeople[PersonID], tblPeople[PersonName], ""), "")</f>
        <v>Moses Musyoka</v>
      </c>
      <c r="D510" s="15" t="s">
        <v>27</v>
      </c>
      <c r="E510" s="16" t="str">
        <f>IFERROR(_xlfn.XLOOKUP(D510, tblCourses[CourseID], tblCourses[CourseName], ""), "")</f>
        <v>Pratt &amp; Whitney Canada PT6A Engine With P&amp;WC PT6A
20/ 27/ 41/ 42/ 60A/ 67D/ 112/ 114A/ 140 (Initial)</v>
      </c>
      <c r="F510" s="17">
        <v>42496</v>
      </c>
      <c r="G510" s="17" t="str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0" s="15" t="str">
        <f ca="1">IF(OR(tblTraining[[#This Row],[Status]]="Renewed",tblTraining[[#This Row],[NextDueDate]]=""),"",tblTraining[[#This Row],[NextDueDate]]-TODAY())</f>
        <v/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94</v>
      </c>
      <c r="C511" s="15" t="str" cm="1">
        <f t="array" ref="C511">IFERROR(_xlfn.XLOOKUP(B511, tblPeople[PersonID], tblPeople[PersonName], ""), "")</f>
        <v>Moses Musyoka</v>
      </c>
      <c r="D511" s="15" t="s">
        <v>137</v>
      </c>
      <c r="E511" s="16" t="str">
        <f>IFERROR(_xlfn.XLOOKUP(D511, tblCourses[CourseID], tblCourses[CourseName], ""), "")</f>
        <v>GARMIN 1000 Avionics</v>
      </c>
      <c r="F511" s="17">
        <v>42583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120</v>
      </c>
      <c r="C512" s="15" t="str" cm="1">
        <f t="array" ref="C512">IFERROR(_xlfn.XLOOKUP(B512, tblPeople[PersonID], tblPeople[PersonName], ""), "")</f>
        <v>Churchill Bil</v>
      </c>
      <c r="D512" s="15" t="s">
        <v>124</v>
      </c>
      <c r="E512" s="16" t="str">
        <f>IFERROR(_xlfn.XLOOKUP(D512, tblCourses[CourseID], tblCourses[CourseName], ""), "")</f>
        <v>Aviation Security (Initial)</v>
      </c>
      <c r="F512" s="17">
        <v>45716</v>
      </c>
      <c r="G512" s="17" t="str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2" s="15" t="str">
        <f ca="1">IF(OR(tblTraining[[#This Row],[Status]]="Renewed",tblTraining[[#This Row],[NextDueDate]]=""),"",tblTraining[[#This Row],[NextDueDate]]-TODAY())</f>
        <v/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120</v>
      </c>
      <c r="C513" s="15" t="str" cm="1">
        <f t="array" ref="C513">IFERROR(_xlfn.XLOOKUP(B513, tblPeople[PersonID], tblPeople[PersonName], ""), "")</f>
        <v>Churchill Bil</v>
      </c>
      <c r="D513" s="15" t="s">
        <v>125</v>
      </c>
      <c r="E513" s="16" t="str">
        <f>IFERROR(_xlfn.XLOOKUP(D513, tblCourses[CourseID], tblCourses[CourseName], ""), "")</f>
        <v>Aviation Security (Refresher)</v>
      </c>
      <c r="F513" s="17">
        <v>45716</v>
      </c>
      <c r="G513" s="17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13" s="15">
        <f ca="1">IF(OR(tblTraining[[#This Row],[Status]]="Renewed",tblTraining[[#This Row],[NextDueDate]]=""),"",tblTraining[[#This Row],[NextDueDate]]-TODAY())</f>
        <v>160</v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4" spans="1:9" x14ac:dyDescent="0.25">
      <c r="A514" s="15">
        <f t="shared" si="7"/>
        <v>513</v>
      </c>
      <c r="B514" s="15" t="s">
        <v>120</v>
      </c>
      <c r="C514" s="15" t="str" cm="1">
        <f t="array" ref="C514">IFERROR(_xlfn.XLOOKUP(B514, tblPeople[PersonID], tblPeople[PersonName], ""), "")</f>
        <v>Churchill Bil</v>
      </c>
      <c r="D514" s="15" t="s">
        <v>110</v>
      </c>
      <c r="E514" s="16" t="str">
        <f>IFERROR(_xlfn.XLOOKUP(D514, tblCourses[CourseID], tblCourses[CourseName], ""), "")</f>
        <v>Electrical Wiring Interconnection System Target Groups 1 &amp; 2 (Initial)</v>
      </c>
      <c r="F514" s="17">
        <v>45800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7"/>
        <v>514</v>
      </c>
      <c r="B515" s="15" t="s">
        <v>120</v>
      </c>
      <c r="C515" s="15" t="str" cm="1">
        <f t="array" ref="C515">IFERROR(_xlfn.XLOOKUP(B515, tblPeople[PersonID], tblPeople[PersonName], ""), "")</f>
        <v>Churchill Bil</v>
      </c>
      <c r="D515" s="15" t="s">
        <v>109</v>
      </c>
      <c r="E515" s="16" t="str">
        <f>IFERROR(_xlfn.XLOOKUP(D515, tblCourses[CourseID], tblCourses[CourseName], ""), "")</f>
        <v>Electrical Wiring Interconnection System Target Groups 1 &amp; 2 (Refresher)</v>
      </c>
      <c r="F515" s="17">
        <v>45800</v>
      </c>
      <c r="G515" s="17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15" s="15">
        <f ca="1">IF(OR(tblTraining[[#This Row],[Status]]="Renewed",tblTraining[[#This Row],[NextDueDate]]=""),"",tblTraining[[#This Row],[NextDueDate]]-TODAY())</f>
        <v>244</v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107</v>
      </c>
      <c r="C516" s="15" t="str" cm="1">
        <f t="array" ref="C516">IFERROR(_xlfn.XLOOKUP(B516, tblPeople[PersonID], tblPeople[PersonName], ""), "")</f>
        <v>Julius Nyawira</v>
      </c>
      <c r="D516" s="15" t="s">
        <v>77</v>
      </c>
      <c r="E516" s="16" t="str">
        <f>IFERROR(_xlfn.XLOOKUP(D516, tblCourses[CourseID], tblCourses[CourseName], ""), "")</f>
        <v>DHC8 -100/-200/-300 Collins Wheels &amp; Brakes Familiarization Training (Refresher)</v>
      </c>
      <c r="F516" s="17">
        <v>45637</v>
      </c>
      <c r="G516" s="17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16" s="15">
        <f ca="1">IF(OR(tblTraining[[#This Row],[Status]]="Renewed",tblTraining[[#This Row],[NextDueDate]]=""),"",tblTraining[[#This Row],[NextDueDate]]-TODAY())</f>
        <v>81</v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107</v>
      </c>
      <c r="C517" s="15" t="str" cm="1">
        <f t="array" ref="C517">IFERROR(_xlfn.XLOOKUP(B517, tblPeople[PersonID], tblPeople[PersonName], ""), "")</f>
        <v>Julius Nyawira</v>
      </c>
      <c r="D517" s="15" t="s">
        <v>110</v>
      </c>
      <c r="E517" s="16" t="str">
        <f>IFERROR(_xlfn.XLOOKUP(D517, tblCourses[CourseID], tblCourses[CourseName], ""), "")</f>
        <v>Electrical Wiring Interconnection System Target Groups 1 &amp; 2 (Initial)</v>
      </c>
      <c r="F517" s="17">
        <v>45803</v>
      </c>
      <c r="G517" s="17" t="str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7" s="15" t="str">
        <f ca="1">IF(OR(tblTraining[[#This Row],[Status]]="Renewed",tblTraining[[#This Row],[NextDueDate]]=""),"",tblTraining[[#This Row],[NextDueDate]]-TODAY())</f>
        <v/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107</v>
      </c>
      <c r="C518" s="15" t="str" cm="1">
        <f t="array" ref="C518">IFERROR(_xlfn.XLOOKUP(B518, tblPeople[PersonID], tblPeople[PersonName], ""), "")</f>
        <v>Julius Nyawira</v>
      </c>
      <c r="D518" s="15" t="s">
        <v>75</v>
      </c>
      <c r="E518" s="16" t="str">
        <f>IFERROR(_xlfn.XLOOKUP(D518, tblCourses[CourseID], tblCourses[CourseName], ""), "")</f>
        <v>Fuel Tank Safety Phase 1 &amp; 2 Course (Refresher)</v>
      </c>
      <c r="F518" s="17">
        <v>45403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9" spans="1:9" x14ac:dyDescent="0.25">
      <c r="A519" s="15">
        <f t="shared" si="8"/>
        <v>518</v>
      </c>
      <c r="B519" s="15" t="s">
        <v>107</v>
      </c>
      <c r="C519" s="15" t="str" cm="1">
        <f t="array" ref="C519">IFERROR(_xlfn.XLOOKUP(B519, tblPeople[PersonID], tblPeople[PersonName], ""), "")</f>
        <v>Julius Nyawira</v>
      </c>
      <c r="D519" s="15" t="s">
        <v>27</v>
      </c>
      <c r="E519" s="16" t="str">
        <f>IFERROR(_xlfn.XLOOKUP(D519, tblCourses[CourseID], tblCourses[CourseName], ""), "")</f>
        <v>Pratt &amp; Whitney Canada PT6A Engine With P&amp;WC PT6A
20/ 27/ 41/ 42/ 60A/ 67D/ 112/ 114A/ 140 (Initial)</v>
      </c>
      <c r="F519" s="17">
        <v>43655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107</v>
      </c>
      <c r="C520" s="15" t="str" cm="1">
        <f t="array" ref="C520">IFERROR(_xlfn.XLOOKUP(B520, tblPeople[PersonID], tblPeople[PersonName], ""), "")</f>
        <v>Julius Nyawira</v>
      </c>
      <c r="D520" s="15" t="s">
        <v>232</v>
      </c>
      <c r="E520" s="16" t="str">
        <f>IFERROR(_xlfn.XLOOKUP(D520, tblCourses[CourseID], tblCourses[CourseName], ""), "")</f>
        <v>Crew Resource Management (Initial)</v>
      </c>
      <c r="F520" s="17">
        <v>44148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86</v>
      </c>
      <c r="C521" s="15" t="str" cm="1">
        <f t="array" ref="C521">IFERROR(_xlfn.XLOOKUP(B521, tblPeople[PersonID], tblPeople[PersonName], ""), "")</f>
        <v>Samuel Okoth</v>
      </c>
      <c r="D521" s="15" t="s">
        <v>78</v>
      </c>
      <c r="E521" s="16" t="str">
        <f>IFERROR(_xlfn.XLOOKUP(D521, tblCourses[CourseID], tblCourses[CourseName], ""), "")</f>
        <v>DHC8 -100/-200/-300 Collins Wheels &amp; Brakes Familiarization Training (Initial)</v>
      </c>
      <c r="F521" s="17">
        <v>45637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86</v>
      </c>
      <c r="C522" s="15" t="str" cm="1">
        <f t="array" ref="C522">IFERROR(_xlfn.XLOOKUP(B522, tblPeople[PersonID], tblPeople[PersonName], ""), "")</f>
        <v>Samuel Okoth</v>
      </c>
      <c r="D522" s="15" t="s">
        <v>77</v>
      </c>
      <c r="E522" s="16" t="str">
        <f>IFERROR(_xlfn.XLOOKUP(D522, tblCourses[CourseID], tblCourses[CourseName], ""), "")</f>
        <v>DHC8 -100/-200/-300 Collins Wheels &amp; Brakes Familiarization Training (Refresher)</v>
      </c>
      <c r="F522" s="17">
        <v>45637</v>
      </c>
      <c r="G522" s="17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2" s="15">
        <f ca="1">IF(OR(tblTraining[[#This Row],[Status]]="Renewed",tblTraining[[#This Row],[NextDueDate]]=""),"",tblTraining[[#This Row],[NextDueDate]]-TODAY())</f>
        <v>81</v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86</v>
      </c>
      <c r="C523" s="15" t="str" cm="1">
        <f t="array" ref="C523">IFERROR(_xlfn.XLOOKUP(B523, tblPeople[PersonID], tblPeople[PersonName], ""), "")</f>
        <v>Samuel Okoth</v>
      </c>
      <c r="D523" s="15" t="s">
        <v>75</v>
      </c>
      <c r="E523" s="16" t="str">
        <f>IFERROR(_xlfn.XLOOKUP(D523, tblCourses[CourseID], tblCourses[CourseName], ""), "")</f>
        <v>Fuel Tank Safety Phase 1 &amp; 2 Course (Refresher)</v>
      </c>
      <c r="F523" s="17">
        <v>45382</v>
      </c>
      <c r="G523" s="17" t="str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3" s="15" t="str">
        <f ca="1">IF(OR(tblTraining[[#This Row],[Status]]="Renewed",tblTraining[[#This Row],[NextDueDate]]=""),"",tblTraining[[#This Row],[NextDueDate]]-TODAY())</f>
        <v/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4" spans="1:9" x14ac:dyDescent="0.25">
      <c r="A524" s="15">
        <f t="shared" si="8"/>
        <v>523</v>
      </c>
      <c r="B524" s="15" t="s">
        <v>86</v>
      </c>
      <c r="C524" s="15" t="str" cm="1">
        <f t="array" ref="C524">IFERROR(_xlfn.XLOOKUP(B524, tblPeople[PersonID], tblPeople[PersonName], ""), "")</f>
        <v>Samuel Okoth</v>
      </c>
      <c r="D524" s="15" t="s">
        <v>24</v>
      </c>
      <c r="E524" s="16" t="str">
        <f>IFERROR(_xlfn.XLOOKUP(D524, tblCourses[CourseID], tblCourses[CourseName], ""), "")</f>
        <v>Human Factors in Aviation (Initial)</v>
      </c>
      <c r="F524" s="17">
        <v>44851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86</v>
      </c>
      <c r="C525" s="15" t="str" cm="1">
        <f t="array" ref="C525">IFERROR(_xlfn.XLOOKUP(B525, tblPeople[PersonID], tblPeople[PersonName], ""), "")</f>
        <v>Samuel Okoth</v>
      </c>
      <c r="D525" s="15" t="s">
        <v>20</v>
      </c>
      <c r="E525" s="16" t="str">
        <f>IFERROR(_xlfn.XLOOKUP(D525, tblCourses[CourseID], tblCourses[CourseName], ""), "")</f>
        <v>Safety Management Systems (Initial)</v>
      </c>
      <c r="F525" s="17">
        <v>44853</v>
      </c>
      <c r="G525" s="17" t="str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5" s="15" t="str">
        <f ca="1">IF(OR(tblTraining[[#This Row],[Status]]="Renewed",tblTraining[[#This Row],[NextDueDate]]=""),"",tblTraining[[#This Row],[NextDueDate]]-TODAY())</f>
        <v/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86</v>
      </c>
      <c r="C526" s="15" t="str" cm="1">
        <f t="array" ref="C526">IFERROR(_xlfn.XLOOKUP(B526, tblPeople[PersonID], tblPeople[PersonName], ""), "")</f>
        <v>Samuel Okoth</v>
      </c>
      <c r="D526" s="15" t="s">
        <v>110</v>
      </c>
      <c r="E526" s="16" t="str">
        <f>IFERROR(_xlfn.XLOOKUP(D526, tblCourses[CourseID], tblCourses[CourseName], ""), "")</f>
        <v>Electrical Wiring Interconnection System Target Groups 1 &amp; 2 (Initial)</v>
      </c>
      <c r="F526" s="17">
        <v>45805</v>
      </c>
      <c r="G526" s="17" t="str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6" s="15" t="str">
        <f ca="1">IF(OR(tblTraining[[#This Row],[Status]]="Renewed",tblTraining[[#This Row],[NextDueDate]]=""),"",tblTraining[[#This Row],[NextDueDate]]-TODAY())</f>
        <v/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86</v>
      </c>
      <c r="C527" s="15" t="str" cm="1">
        <f t="array" ref="C527">IFERROR(_xlfn.XLOOKUP(B527, tblPeople[PersonID], tblPeople[PersonName], ""), "")</f>
        <v>Samuel Okoth</v>
      </c>
      <c r="D527" s="15" t="s">
        <v>109</v>
      </c>
      <c r="E527" s="16" t="str">
        <f>IFERROR(_xlfn.XLOOKUP(D527, tblCourses[CourseID], tblCourses[CourseName], ""), "")</f>
        <v>Electrical Wiring Interconnection System Target Groups 1 &amp; 2 (Refresher)</v>
      </c>
      <c r="F527" s="17">
        <v>45805</v>
      </c>
      <c r="G527" s="17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27" s="15">
        <f ca="1">IF(OR(tblTraining[[#This Row],[Status]]="Renewed",tblTraining[[#This Row],[NextDueDate]]=""),"",tblTraining[[#This Row],[NextDueDate]]-TODAY())</f>
        <v>249</v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118</v>
      </c>
      <c r="C528" s="15" t="str" cm="1">
        <f t="array" ref="C528">IFERROR(_xlfn.XLOOKUP(B528, tblPeople[PersonID], tblPeople[PersonName], ""), "")</f>
        <v>Michael Olunga</v>
      </c>
      <c r="D528" s="15" t="s">
        <v>126</v>
      </c>
      <c r="E528" s="16" t="str">
        <f>IFERROR(_xlfn.XLOOKUP(D528, tblCourses[CourseID], tblCourses[CourseName], ""), "")</f>
        <v>Maintenance Indoctrination</v>
      </c>
      <c r="F528" s="17">
        <v>43600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9" spans="1:9" x14ac:dyDescent="0.25">
      <c r="A529" s="15">
        <f t="shared" si="8"/>
        <v>528</v>
      </c>
      <c r="B529" s="15" t="s">
        <v>118</v>
      </c>
      <c r="C529" s="15" t="str" cm="1">
        <f t="array" ref="C529">IFERROR(_xlfn.XLOOKUP(B529, tblPeople[PersonID], tblPeople[PersonName], ""), "")</f>
        <v>Michael Olunga</v>
      </c>
      <c r="D529" s="15" t="s">
        <v>22</v>
      </c>
      <c r="E529" s="16" t="str">
        <f>IFERROR(_xlfn.XLOOKUP(D529, tblCourses[CourseID], tblCourses[CourseName], ""), "")</f>
        <v>Human Factors in Aviation (Refresher)</v>
      </c>
      <c r="F529" s="17">
        <v>45870</v>
      </c>
      <c r="G529" s="17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29" s="15">
        <f ca="1">IF(OR(tblTraining[[#This Row],[Status]]="Renewed",tblTraining[[#This Row],[NextDueDate]]=""),"",tblTraining[[#This Row],[NextDueDate]]-TODAY())</f>
        <v>314</v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118</v>
      </c>
      <c r="C530" s="15" t="str" cm="1">
        <f t="array" ref="C530">IFERROR(_xlfn.XLOOKUP(B530, tblPeople[PersonID], tblPeople[PersonName], ""), "")</f>
        <v>Michael Olunga</v>
      </c>
      <c r="D530" s="15" t="s">
        <v>17</v>
      </c>
      <c r="E530" s="16" t="str">
        <f>IFERROR(_xlfn.XLOOKUP(D530, tblCourses[CourseID], tblCourses[CourseName], ""), "")</f>
        <v>Safety Management Systems (Refresher)</v>
      </c>
      <c r="F530" s="17">
        <v>45879</v>
      </c>
      <c r="G530" s="17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30" s="15">
        <f ca="1">IF(OR(tblTraining[[#This Row],[Status]]="Renewed",tblTraining[[#This Row],[NextDueDate]]=""),"",tblTraining[[#This Row],[NextDueDate]]-TODAY())</f>
        <v>323</v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112</v>
      </c>
      <c r="C531" s="15" t="str" cm="1">
        <f t="array" ref="C531">IFERROR(_xlfn.XLOOKUP(B531, tblPeople[PersonID], tblPeople[PersonName], ""), "")</f>
        <v>Patrick Mwangi</v>
      </c>
      <c r="D531" s="15" t="s">
        <v>126</v>
      </c>
      <c r="E531" s="16" t="str">
        <f>IFERROR(_xlfn.XLOOKUP(D531, tblCourses[CourseID], tblCourses[CourseName], ""), "")</f>
        <v>Maintenance Indoctrination</v>
      </c>
      <c r="F531" s="17">
        <v>45211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112</v>
      </c>
      <c r="C532" s="15" t="str" cm="1">
        <f t="array" ref="C532">IFERROR(_xlfn.XLOOKUP(B532, tblPeople[PersonID], tblPeople[PersonName], ""), "")</f>
        <v>Patrick Mwangi</v>
      </c>
      <c r="D532" s="15" t="s">
        <v>78</v>
      </c>
      <c r="E532" s="16" t="str">
        <f>IFERROR(_xlfn.XLOOKUP(D532, tblCourses[CourseID], tblCourses[CourseName], ""), "")</f>
        <v>DHC8 -100/-200/-300 Collins Wheels &amp; Brakes Familiarization Training (Initial)</v>
      </c>
      <c r="F532" s="17">
        <v>45637</v>
      </c>
      <c r="G532" s="17" t="str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2" s="15" t="str">
        <f ca="1">IF(OR(tblTraining[[#This Row],[Status]]="Renewed",tblTraining[[#This Row],[NextDueDate]]=""),"",tblTraining[[#This Row],[NextDueDate]]-TODAY())</f>
        <v/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112</v>
      </c>
      <c r="C533" s="15" t="str" cm="1">
        <f t="array" ref="C533">IFERROR(_xlfn.XLOOKUP(B533, tblPeople[PersonID], tblPeople[PersonName], ""), "")</f>
        <v>Patrick Mwangi</v>
      </c>
      <c r="D533" s="15" t="s">
        <v>20</v>
      </c>
      <c r="E533" s="16" t="str">
        <f>IFERROR(_xlfn.XLOOKUP(D533, tblCourses[CourseID], tblCourses[CourseName], ""), "")</f>
        <v>Safety Management Systems (Initial)</v>
      </c>
      <c r="F533" s="17">
        <v>45379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4" spans="1:9" x14ac:dyDescent="0.25">
      <c r="A534" s="15">
        <f t="shared" si="8"/>
        <v>533</v>
      </c>
      <c r="B534" s="15" t="s">
        <v>112</v>
      </c>
      <c r="C534" s="15" t="str" cm="1">
        <f t="array" ref="C534">IFERROR(_xlfn.XLOOKUP(B534, tblPeople[PersonID], tblPeople[PersonName], ""), "")</f>
        <v>Patrick Mwangi</v>
      </c>
      <c r="D534" s="15" t="s">
        <v>17</v>
      </c>
      <c r="E534" s="16" t="str">
        <f>IFERROR(_xlfn.XLOOKUP(D534, tblCourses[CourseID], tblCourses[CourseName], ""), "")</f>
        <v>Safety Management Systems (Refresher)</v>
      </c>
      <c r="F534" s="17">
        <v>45379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5" spans="1:9" x14ac:dyDescent="0.25">
      <c r="A535" s="15">
        <f t="shared" si="8"/>
        <v>534</v>
      </c>
      <c r="B535" s="15" t="s">
        <v>112</v>
      </c>
      <c r="C535" s="15" t="str" cm="1">
        <f t="array" ref="C535">IFERROR(_xlfn.XLOOKUP(B535, tblPeople[PersonID], tblPeople[PersonName], ""), "")</f>
        <v>Patrick Mwangi</v>
      </c>
      <c r="D535" s="15" t="s">
        <v>27</v>
      </c>
      <c r="E535" s="16" t="str">
        <f>IFERROR(_xlfn.XLOOKUP(D535, tblCourses[CourseID], tblCourses[CourseName], ""), "")</f>
        <v>Pratt &amp; Whitney Canada PT6A Engine With P&amp;WC PT6A
20/ 27/ 41/ 42/ 60A/ 67D/ 112/ 114A/ 140 (Initial)</v>
      </c>
      <c r="F535" s="17">
        <v>42323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112</v>
      </c>
      <c r="C536" s="15" t="str" cm="1">
        <f t="array" ref="C536">IFERROR(_xlfn.XLOOKUP(B536, tblPeople[PersonID], tblPeople[PersonName], ""), "")</f>
        <v>Patrick Mwangi</v>
      </c>
      <c r="D536" s="15" t="s">
        <v>137</v>
      </c>
      <c r="E536" s="16" t="str">
        <f>IFERROR(_xlfn.XLOOKUP(D536, tblCourses[CourseID], tblCourses[CourseName], ""), "")</f>
        <v>GARMIN 1000 Avionics</v>
      </c>
      <c r="F536" s="17">
        <v>42583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112</v>
      </c>
      <c r="C537" s="15" t="str" cm="1">
        <f t="array" ref="C537">IFERROR(_xlfn.XLOOKUP(B537, tblPeople[PersonID], tblPeople[PersonName], ""), "")</f>
        <v>Patrick Mwangi</v>
      </c>
      <c r="D537" s="15" t="s">
        <v>177</v>
      </c>
      <c r="E537" s="16" t="str">
        <f>IFERROR(_xlfn.XLOOKUP(D537, tblCourses[CourseID], tblCourses[CourseName], ""), "")</f>
        <v>Cessna 208 Series (Caravan) With P&amp;WC PT6A-114/ -114A/ -140 Engines (Initial)</v>
      </c>
      <c r="F537" s="17">
        <v>42342</v>
      </c>
      <c r="G537" s="17" t="str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7" s="15" t="str">
        <f ca="1">IF(OR(tblTraining[[#This Row],[Status]]="Renewed",tblTraining[[#This Row],[NextDueDate]]=""),"",tblTraining[[#This Row],[NextDueDate]]-TODAY())</f>
        <v/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112</v>
      </c>
      <c r="C538" s="15" t="str" cm="1">
        <f t="array" ref="C538">IFERROR(_xlfn.XLOOKUP(B538, tblPeople[PersonID], tblPeople[PersonName], ""), "")</f>
        <v>Patrick Mwangi</v>
      </c>
      <c r="D538" s="15" t="s">
        <v>234</v>
      </c>
      <c r="E538" s="16" t="str">
        <f>IFERROR(_xlfn.XLOOKUP(D538, tblCourses[CourseID], tblCourses[CourseName], ""), "")</f>
        <v>Beechcraft 1900C&amp;D Type Course with PT6-65B/67D Engines</v>
      </c>
      <c r="F538" s="17">
        <v>42454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112</v>
      </c>
      <c r="C539" s="15" t="str" cm="1">
        <f t="array" ref="C539">IFERROR(_xlfn.XLOOKUP(B539, tblPeople[PersonID], tblPeople[PersonName], ""), "")</f>
        <v>Patrick Mwangi</v>
      </c>
      <c r="D539" s="15" t="s">
        <v>110</v>
      </c>
      <c r="E539" s="16" t="str">
        <f>IFERROR(_xlfn.XLOOKUP(D539, tblCourses[CourseID], tblCourses[CourseName], ""), "")</f>
        <v>Electrical Wiring Interconnection System Target Groups 1 &amp; 2 (Initial)</v>
      </c>
      <c r="F539" s="17">
        <v>45797</v>
      </c>
      <c r="G539" s="17" t="str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9" s="15" t="str">
        <f ca="1">IF(OR(tblTraining[[#This Row],[Status]]="Renewed",tblTraining[[#This Row],[NextDueDate]]=""),"",tblTraining[[#This Row],[NextDueDate]]-TODAY())</f>
        <v/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0" spans="1:9" x14ac:dyDescent="0.25">
      <c r="A540" s="15">
        <f t="shared" si="8"/>
        <v>539</v>
      </c>
      <c r="B540" s="15" t="s">
        <v>112</v>
      </c>
      <c r="C540" s="15" t="str" cm="1">
        <f t="array" ref="C540">IFERROR(_xlfn.XLOOKUP(B540, tblPeople[PersonID], tblPeople[PersonName], ""), "")</f>
        <v>Patrick Mwangi</v>
      </c>
      <c r="D540" s="15" t="s">
        <v>109</v>
      </c>
      <c r="E540" s="16" t="str">
        <f>IFERROR(_xlfn.XLOOKUP(D540, tblCourses[CourseID], tblCourses[CourseName], ""), "")</f>
        <v>Electrical Wiring Interconnection System Target Groups 1 &amp; 2 (Refresher)</v>
      </c>
      <c r="F540" s="17">
        <v>45797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40" s="15">
        <f ca="1">IF(OR(tblTraining[[#This Row],[Status]]="Renewed",tblTraining[[#This Row],[NextDueDate]]=""),"",tblTraining[[#This Row],[NextDueDate]]-TODAY())</f>
        <v>241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76</v>
      </c>
      <c r="E541" s="16" t="str">
        <f>IFERROR(_xlfn.XLOOKUP(D541, tblCourses[CourseID], tblCourses[CourseName], ""), "")</f>
        <v>Fuel Tank Safety Phase 1 &amp; 2 Course (Initial)</v>
      </c>
      <c r="F541" s="17">
        <v>45388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75</v>
      </c>
      <c r="E542" s="16" t="str">
        <f>IFERROR(_xlfn.XLOOKUP(D542, tblCourses[CourseID], tblCourses[CourseName], ""), "")</f>
        <v>Fuel Tank Safety Phase 1 &amp; 2 Course (Refresher)</v>
      </c>
      <c r="F542" s="17">
        <v>45388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24</v>
      </c>
      <c r="E543" s="16" t="str">
        <f>IFERROR(_xlfn.XLOOKUP(D543, tblCourses[CourseID], tblCourses[CourseName], ""), "")</f>
        <v>Human Factors in Aviation (Initial)</v>
      </c>
      <c r="F543" s="17">
        <v>45212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22</v>
      </c>
      <c r="E544" s="16" t="str">
        <f>IFERROR(_xlfn.XLOOKUP(D544, tblCourses[CourseID], tblCourses[CourseName], ""), "")</f>
        <v>Human Factors in Aviation (Refresher)</v>
      </c>
      <c r="F544" s="17">
        <v>45212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110</v>
      </c>
      <c r="E545" s="16" t="str">
        <f>IFERROR(_xlfn.XLOOKUP(D545, tblCourses[CourseID], tblCourses[CourseName], ""), "")</f>
        <v>Electrical Wiring Interconnection System Target Groups 1 &amp; 2 (Initial)</v>
      </c>
      <c r="F545" s="17">
        <v>45802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8"/>
        <v>545</v>
      </c>
      <c r="B546" s="15" t="s">
        <v>87</v>
      </c>
      <c r="C546" s="15" t="str" cm="1">
        <f t="array" ref="C546">IFERROR(_xlfn.XLOOKUP(B546, tblPeople[PersonID], tblPeople[PersonName], ""), "")</f>
        <v>Sydney Sawe</v>
      </c>
      <c r="D546" s="15" t="s">
        <v>110</v>
      </c>
      <c r="E546" s="16" t="str">
        <f>IFERROR(_xlfn.XLOOKUP(D546, tblCourses[CourseID], tblCourses[CourseName], ""), "")</f>
        <v>Electrical Wiring Interconnection System Target Groups 1 &amp; 2 (Initial)</v>
      </c>
      <c r="F546" s="17">
        <v>45802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87</v>
      </c>
      <c r="C547" s="15" t="str" cm="1">
        <f t="array" ref="C547">IFERROR(_xlfn.XLOOKUP(B547, tblPeople[PersonID], tblPeople[PersonName], ""), "")</f>
        <v>Sydney Sawe</v>
      </c>
      <c r="D547" s="15" t="s">
        <v>109</v>
      </c>
      <c r="E547" s="16" t="str">
        <f>IFERROR(_xlfn.XLOOKUP(D547, tblCourses[CourseID], tblCourses[CourseName], ""), "")</f>
        <v>Electrical Wiring Interconnection System Target Groups 1 &amp; 2 (Refresher)</v>
      </c>
      <c r="F547" s="17">
        <v>45802</v>
      </c>
      <c r="G547" s="17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47" s="15">
        <f ca="1">IF(OR(tblTraining[[#This Row],[Status]]="Renewed",tblTraining[[#This Row],[NextDueDate]]=""),"",tblTraining[[#This Row],[NextDueDate]]-TODAY())</f>
        <v>246</v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87</v>
      </c>
      <c r="C548" s="15" t="str" cm="1">
        <f t="array" ref="C548">IFERROR(_xlfn.XLOOKUP(B548, tblPeople[PersonID], tblPeople[PersonName], ""), "")</f>
        <v>Sydney Sawe</v>
      </c>
      <c r="D548" s="15" t="s">
        <v>17</v>
      </c>
      <c r="E548" s="16" t="str">
        <f>IFERROR(_xlfn.XLOOKUP(D548, tblCourses[CourseID], tblCourses[CourseName], ""), "")</f>
        <v>Safety Management Systems (Refresher)</v>
      </c>
      <c r="F548" s="17">
        <v>45695</v>
      </c>
      <c r="G548" s="17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48" s="15">
        <f ca="1">IF(OR(tblTraining[[#This Row],[Status]]="Renewed",tblTraining[[#This Row],[NextDueDate]]=""),"",tblTraining[[#This Row],[NextDueDate]]-TODAY())</f>
        <v>139</v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87</v>
      </c>
      <c r="C549" s="15" t="str" cm="1">
        <f t="array" ref="C549">IFERROR(_xlfn.XLOOKUP(B549, tblPeople[PersonID], tblPeople[PersonName], ""), "")</f>
        <v>Sydney Sawe</v>
      </c>
      <c r="D549" s="15" t="s">
        <v>22</v>
      </c>
      <c r="E549" s="16" t="str">
        <f>IFERROR(_xlfn.XLOOKUP(D549, tblCourses[CourseID], tblCourses[CourseName], ""), "")</f>
        <v>Human Factors in Aviation (Refresher)</v>
      </c>
      <c r="F549" s="17">
        <v>45628</v>
      </c>
      <c r="G549" s="17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49" s="15">
        <f ca="1">IF(OR(tblTraining[[#This Row],[Status]]="Renewed",tblTraining[[#This Row],[NextDueDate]]=""),"",tblTraining[[#This Row],[NextDueDate]]-TODAY())</f>
        <v>72</v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0" spans="1:9" x14ac:dyDescent="0.25">
      <c r="A550" s="15">
        <f t="shared" si="8"/>
        <v>549</v>
      </c>
      <c r="B550" s="15" t="s">
        <v>87</v>
      </c>
      <c r="C550" s="15" t="str" cm="1">
        <f t="array" ref="C550">IFERROR(_xlfn.XLOOKUP(B550, tblPeople[PersonID], tblPeople[PersonName], ""), "")</f>
        <v>Sydney Sawe</v>
      </c>
      <c r="D550" s="15" t="s">
        <v>75</v>
      </c>
      <c r="E550" s="16" t="str">
        <f>IFERROR(_xlfn.XLOOKUP(D550, tblCourses[CourseID], tblCourses[CourseName], ""), "")</f>
        <v>Fuel Tank Safety Phase 1 &amp; 2 Course (Refresher)</v>
      </c>
      <c r="F550" s="17">
        <v>45415</v>
      </c>
      <c r="G550" s="17" t="str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0" s="15" t="str">
        <f ca="1">IF(OR(tblTraining[[#This Row],[Status]]="Renewed",tblTraining[[#This Row],[NextDueDate]]=""),"",tblTraining[[#This Row],[NextDueDate]]-TODAY())</f>
        <v/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1" spans="1:9" x14ac:dyDescent="0.25">
      <c r="A551" s="15">
        <f t="shared" si="8"/>
        <v>550</v>
      </c>
      <c r="B551" s="15" t="s">
        <v>87</v>
      </c>
      <c r="C551" s="15" t="str" cm="1">
        <f t="array" ref="C551">IFERROR(_xlfn.XLOOKUP(B551, tblPeople[PersonID], tblPeople[PersonName], ""), "")</f>
        <v>Sydney Sawe</v>
      </c>
      <c r="D551" s="15" t="s">
        <v>20</v>
      </c>
      <c r="E551" s="16" t="str">
        <f>IFERROR(_xlfn.XLOOKUP(D551, tblCourses[CourseID], tblCourses[CourseName], ""), "")</f>
        <v>Safety Management Systems (Initial)</v>
      </c>
      <c r="F551" s="17">
        <v>44853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98</v>
      </c>
      <c r="C552" s="15" t="str" cm="1">
        <f t="array" ref="C552">IFERROR(_xlfn.XLOOKUP(B552, tblPeople[PersonID], tblPeople[PersonName], ""), "")</f>
        <v>Thadeus Mong’are</v>
      </c>
      <c r="D552" s="15" t="s">
        <v>110</v>
      </c>
      <c r="E552" s="16" t="str">
        <f>IFERROR(_xlfn.XLOOKUP(D552, tblCourses[CourseID], tblCourses[CourseName], ""), "")</f>
        <v>Electrical Wiring Interconnection System Target Groups 1 &amp; 2 (Initial)</v>
      </c>
      <c r="F552" s="17">
        <v>45796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3" spans="1:9" x14ac:dyDescent="0.25">
      <c r="A553" s="15">
        <f t="shared" si="8"/>
        <v>552</v>
      </c>
      <c r="B553" s="15" t="s">
        <v>98</v>
      </c>
      <c r="C553" s="15" t="str" cm="1">
        <f t="array" ref="C553">IFERROR(_xlfn.XLOOKUP(B553, tblPeople[PersonID], tblPeople[PersonName], ""), "")</f>
        <v>Thadeus Mong’are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44610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8"/>
        <v>553</v>
      </c>
      <c r="B554" s="15" t="s">
        <v>98</v>
      </c>
      <c r="C554" s="15" t="str" cm="1">
        <f t="array" ref="C554">IFERROR(_xlfn.XLOOKUP(B554, tblPeople[PersonID], tblPeople[PersonName], ""), "")</f>
        <v>Thadeus Mong’are</v>
      </c>
      <c r="D554" s="15" t="s">
        <v>32</v>
      </c>
      <c r="E554" s="16" t="str">
        <f>IFERROR(_xlfn.XLOOKUP(D554, tblCourses[CourseID], tblCourses[CourseName], ""), "")</f>
        <v>Dangerous Goods Regulations (CBTA 7.3) (Initial)</v>
      </c>
      <c r="F554" s="17">
        <v>44518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5" spans="1:9" x14ac:dyDescent="0.25">
      <c r="A555" s="15">
        <f t="shared" si="8"/>
        <v>554</v>
      </c>
      <c r="B555" s="15" t="s">
        <v>81</v>
      </c>
      <c r="C555" s="15" t="str" cm="1">
        <f t="array" ref="C555">IFERROR(_xlfn.XLOOKUP(B555, tblPeople[PersonID], tblPeople[PersonName], ""), "")</f>
        <v>Gideon Mwasio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45804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8"/>
        <v>555</v>
      </c>
      <c r="B556" s="15" t="s">
        <v>81</v>
      </c>
      <c r="C556" s="15" t="str" cm="1">
        <f t="array" ref="C556">IFERROR(_xlfn.XLOOKUP(B556, tblPeople[PersonID], tblPeople[PersonName], ""), "")</f>
        <v>Gideon Mwasio</v>
      </c>
      <c r="D556" s="15" t="s">
        <v>109</v>
      </c>
      <c r="E556" s="16" t="str">
        <f>IFERROR(_xlfn.XLOOKUP(D556, tblCourses[CourseID], tblCourses[CourseName], ""), "")</f>
        <v>Electrical Wiring Interconnection System Target Groups 1 &amp; 2 (Refresher)</v>
      </c>
      <c r="F556" s="17">
        <v>45804</v>
      </c>
      <c r="G556" s="17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56" s="15">
        <f ca="1">IF(OR(tblTraining[[#This Row],[Status]]="Renewed",tblTraining[[#This Row],[NextDueDate]]=""),"",tblTraining[[#This Row],[NextDueDate]]-TODAY())</f>
        <v>248</v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91</v>
      </c>
      <c r="C557" s="15" t="str" cm="1">
        <f t="array" ref="C557">IFERROR(_xlfn.XLOOKUP(B557, tblPeople[PersonID], tblPeople[PersonName], ""), "")</f>
        <v>Dunstan Kwalanda</v>
      </c>
      <c r="D557" s="15" t="s">
        <v>110</v>
      </c>
      <c r="E557" s="16" t="str">
        <f>IFERROR(_xlfn.XLOOKUP(D557, tblCourses[CourseID], tblCourses[CourseName], ""), "")</f>
        <v>Electrical Wiring Interconnection System Target Groups 1 &amp; 2 (Initial)</v>
      </c>
      <c r="F557" s="17">
        <v>45789</v>
      </c>
      <c r="G557" s="17" t="str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7" s="15" t="str">
        <f ca="1">IF(OR(tblTraining[[#This Row],[Status]]="Renewed",tblTraining[[#This Row],[NextDueDate]]=""),"",tblTraining[[#This Row],[NextDueDate]]-TODAY())</f>
        <v/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91</v>
      </c>
      <c r="C558" s="15" t="str" cm="1">
        <f t="array" ref="C558">IFERROR(_xlfn.XLOOKUP(B558, tblPeople[PersonID], tblPeople[PersonName], ""), "")</f>
        <v>Dunstan Kwalanda</v>
      </c>
      <c r="D558" s="15" t="s">
        <v>109</v>
      </c>
      <c r="E558" s="16" t="str">
        <f>IFERROR(_xlfn.XLOOKUP(D558, tblCourses[CourseID], tblCourses[CourseName], ""), "")</f>
        <v>Electrical Wiring Interconnection System Target Groups 1 &amp; 2 (Refresher)</v>
      </c>
      <c r="F558" s="17">
        <v>45789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58" s="15">
        <f ca="1">IF(OR(tblTraining[[#This Row],[Status]]="Renewed",tblTraining[[#This Row],[NextDueDate]]=""),"",tblTraining[[#This Row],[NextDueDate]]-TODAY())</f>
        <v>233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91</v>
      </c>
      <c r="C559" s="15" t="str" cm="1">
        <f t="array" ref="C559">IFERROR(_xlfn.XLOOKUP(B559, tblPeople[PersonID], tblPeople[PersonName], ""), "")</f>
        <v>Dunstan Kwalanda</v>
      </c>
      <c r="D559" s="15" t="s">
        <v>75</v>
      </c>
      <c r="E559" s="16" t="str">
        <f>IFERROR(_xlfn.XLOOKUP(D559, tblCourses[CourseID], tblCourses[CourseName], ""), "")</f>
        <v>Fuel Tank Safety Phase 1 &amp; 2 Course (Refresher)</v>
      </c>
      <c r="F559" s="17">
        <v>45409</v>
      </c>
      <c r="G559" s="17" t="str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9" s="15" t="str">
        <f ca="1">IF(OR(tblTraining[[#This Row],[Status]]="Renewed",tblTraining[[#This Row],[NextDueDate]]=""),"",tblTraining[[#This Row],[NextDueDate]]-TODAY())</f>
        <v/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0" spans="1:9" x14ac:dyDescent="0.25">
      <c r="A560" s="15">
        <f t="shared" si="8"/>
        <v>559</v>
      </c>
      <c r="B560" s="15" t="s">
        <v>92</v>
      </c>
      <c r="C560" s="15" t="str" cm="1">
        <f t="array" ref="C560">IFERROR(_xlfn.XLOOKUP(B560, tblPeople[PersonID], tblPeople[PersonName], ""), "")</f>
        <v>Reuben Otieno</v>
      </c>
      <c r="D560" s="15" t="s">
        <v>110</v>
      </c>
      <c r="E560" s="16" t="str">
        <f>IFERROR(_xlfn.XLOOKUP(D560, tblCourses[CourseID], tblCourses[CourseName], ""), "")</f>
        <v>Electrical Wiring Interconnection System Target Groups 1 &amp; 2 (Initial)</v>
      </c>
      <c r="F560" s="17">
        <v>45777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1" spans="1:9" x14ac:dyDescent="0.25">
      <c r="A561" s="15">
        <f t="shared" si="8"/>
        <v>560</v>
      </c>
      <c r="B561" s="15" t="s">
        <v>92</v>
      </c>
      <c r="C561" s="15" t="str" cm="1">
        <f t="array" ref="C561">IFERROR(_xlfn.XLOOKUP(B561, tblPeople[PersonID], tblPeople[PersonName], ""), "")</f>
        <v>Reuben Otieno</v>
      </c>
      <c r="D561" s="15" t="s">
        <v>24</v>
      </c>
      <c r="E561" s="16" t="str">
        <f>IFERROR(_xlfn.XLOOKUP(D561, tblCourses[CourseID], tblCourses[CourseName], ""), "")</f>
        <v>Human Factors in Aviation (Initial)</v>
      </c>
      <c r="F561" s="17">
        <v>45212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8"/>
        <v>561</v>
      </c>
      <c r="B562" s="15" t="s">
        <v>156</v>
      </c>
      <c r="C562" s="15" t="str" cm="1">
        <f t="array" ref="C562">IFERROR(_xlfn.XLOOKUP(B562, tblPeople[PersonID], tblPeople[PersonName], ""), "")</f>
        <v>Stephen Mutambu</v>
      </c>
      <c r="D562" s="15" t="s">
        <v>236</v>
      </c>
      <c r="E562" s="16" t="str">
        <f>IFERROR(_xlfn.XLOOKUP(D562, tblCourses[CourseID], tblCourses[CourseName], ""), "")</f>
        <v>Flight Data Monitoring</v>
      </c>
      <c r="F562" s="17">
        <v>45722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156</v>
      </c>
      <c r="C563" s="15" t="str" cm="1">
        <f t="array" ref="C563">IFERROR(_xlfn.XLOOKUP(B563, tblPeople[PersonID], tblPeople[PersonName], ""), "")</f>
        <v>Stephen Mutambu</v>
      </c>
      <c r="D563" s="15" t="s">
        <v>78</v>
      </c>
      <c r="E563" s="16" t="str">
        <f>IFERROR(_xlfn.XLOOKUP(D563, tblCourses[CourseID], tblCourses[CourseName], ""), "")</f>
        <v>DHC8 -100/-200/-300 Collins Wheels &amp; Brakes Familiarization Training (Initial)</v>
      </c>
      <c r="F563" s="17">
        <v>45637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156</v>
      </c>
      <c r="C564" s="15" t="str" cm="1">
        <f t="array" ref="C564">IFERROR(_xlfn.XLOOKUP(B564, tblPeople[PersonID], tblPeople[PersonName], ""), "")</f>
        <v>Stephen Mutambu</v>
      </c>
      <c r="D564" s="15" t="s">
        <v>221</v>
      </c>
      <c r="E564" s="16" t="str">
        <f>IFERROR(_xlfn.XLOOKUP(D564, tblCourses[CourseID], tblCourses[CourseName], ""), "")</f>
        <v>Core Instructional Technique (Initial)</v>
      </c>
      <c r="F564" s="17">
        <v>45597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156</v>
      </c>
      <c r="C565" s="15" t="str" cm="1">
        <f t="array" ref="C565">IFERROR(_xlfn.XLOOKUP(B565, tblPeople[PersonID], tblPeople[PersonName], ""), "")</f>
        <v>Stephen Mutambu</v>
      </c>
      <c r="D565" s="15" t="s">
        <v>223</v>
      </c>
      <c r="E565" s="16" t="str">
        <f>IFERROR(_xlfn.XLOOKUP(D565, tblCourses[CourseID], tblCourses[CourseName], ""), "")</f>
        <v>Core Instructional Technique (Refresher)</v>
      </c>
      <c r="F565" s="17">
        <v>45597</v>
      </c>
      <c r="G565" s="17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65" s="15">
        <f ca="1">IF(OR(tblTraining[[#This Row],[Status]]="Renewed",tblTraining[[#This Row],[NextDueDate]]=""),"",tblTraining[[#This Row],[NextDueDate]]-TODAY())</f>
        <v>41</v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66" spans="1:9" x14ac:dyDescent="0.25">
      <c r="A566" s="15">
        <f t="shared" si="8"/>
        <v>565</v>
      </c>
      <c r="B566" s="15" t="s">
        <v>156</v>
      </c>
      <c r="C566" s="15" t="str" cm="1">
        <f t="array" ref="C566">IFERROR(_xlfn.XLOOKUP(B566, tblPeople[PersonID], tblPeople[PersonName], ""), "")</f>
        <v>Stephen Mutambu</v>
      </c>
      <c r="D566" s="15" t="s">
        <v>76</v>
      </c>
      <c r="E566" s="16" t="str">
        <f>IFERROR(_xlfn.XLOOKUP(D566, tblCourses[CourseID], tblCourses[CourseName], ""), "")</f>
        <v>Fuel Tank Safety Phase 1 &amp; 2 Course (Initial)</v>
      </c>
      <c r="F566" s="17">
        <v>45395</v>
      </c>
      <c r="G566" s="17" t="str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6" s="15" t="str">
        <f ca="1">IF(OR(tblTraining[[#This Row],[Status]]="Renewed",tblTraining[[#This Row],[NextDueDate]]=""),"",tblTraining[[#This Row],[NextDueDate]]-TODAY())</f>
        <v/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156</v>
      </c>
      <c r="C567" s="15" t="str" cm="1">
        <f t="array" ref="C567">IFERROR(_xlfn.XLOOKUP(B567, tblPeople[PersonID], tblPeople[PersonName], ""), "")</f>
        <v>Stephen Mutambu</v>
      </c>
      <c r="D567" s="15" t="s">
        <v>172</v>
      </c>
      <c r="E567" s="16" t="str">
        <f>IFERROR(_xlfn.XLOOKUP(D567, tblCourses[CourseID], tblCourses[CourseName], ""), "")</f>
        <v>Aviation Technical Records &amp; Stores Management (TRS)</v>
      </c>
      <c r="F567" s="17">
        <v>45002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156</v>
      </c>
      <c r="C568" s="15" t="str" cm="1">
        <f t="array" ref="C568">IFERROR(_xlfn.XLOOKUP(B568, tblPeople[PersonID], tblPeople[PersonName], ""), "")</f>
        <v>Stephen Mutambu</v>
      </c>
      <c r="D568" s="15" t="s">
        <v>239</v>
      </c>
      <c r="E568" s="16" t="str">
        <f>IFERROR(_xlfn.XLOOKUP(D568, tblCourses[CourseID], tblCourses[CourseName], ""), "")</f>
        <v>PT6A Small &amp; Medium Series - General Familiarization ATA104 Level 1</v>
      </c>
      <c r="F568" s="17">
        <v>44634</v>
      </c>
      <c r="G568" s="17" t="str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8" s="15" t="str">
        <f ca="1">IF(OR(tblTraining[[#This Row],[Status]]="Renewed",tblTraining[[#This Row],[NextDueDate]]=""),"",tblTraining[[#This Row],[NextDueDate]]-TODAY())</f>
        <v/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156</v>
      </c>
      <c r="C569" s="15" t="str" cm="1">
        <f t="array" ref="C569">IFERROR(_xlfn.XLOOKUP(B569, tblPeople[PersonID], tblPeople[PersonName], ""), "")</f>
        <v>Stephen Mutambu</v>
      </c>
      <c r="D569" s="15" t="s">
        <v>240</v>
      </c>
      <c r="E569" s="16" t="str">
        <f>IFERROR(_xlfn.XLOOKUP(D569, tblCourses[CourseID], tblCourses[CourseName], ""), "")</f>
        <v>PW100 Series - General Familiarization ATA104 Level 1</v>
      </c>
      <c r="F569" s="17">
        <v>44672</v>
      </c>
      <c r="G569" s="17" t="str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9" s="15" t="str">
        <f ca="1">IF(OR(tblTraining[[#This Row],[Status]]="Renewed",tblTraining[[#This Row],[NextDueDate]]=""),"",tblTraining[[#This Row],[NextDueDate]]-TODAY())</f>
        <v/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0" spans="1:9" x14ac:dyDescent="0.25">
      <c r="A570" s="15">
        <f t="shared" si="8"/>
        <v>569</v>
      </c>
      <c r="B570" s="15" t="s">
        <v>113</v>
      </c>
      <c r="C570" s="15" t="str" cm="1">
        <f t="array" ref="C570">IFERROR(_xlfn.XLOOKUP(B570, tblPeople[PersonID], tblPeople[PersonName], ""), "")</f>
        <v>Ann Mwangi</v>
      </c>
      <c r="D570" s="15" t="s">
        <v>223</v>
      </c>
      <c r="E570" s="16" t="str">
        <f>IFERROR(_xlfn.XLOOKUP(D570, tblCourses[CourseID], tblCourses[CourseName], ""), "")</f>
        <v>Core Instructional Technique (Refresher)</v>
      </c>
      <c r="F570" s="17">
        <v>45637</v>
      </c>
      <c r="G570" s="17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70" s="15">
        <f ca="1">IF(OR(tblTraining[[#This Row],[Status]]="Renewed",tblTraining[[#This Row],[NextDueDate]]=""),"",tblTraining[[#This Row],[NextDueDate]]-TODAY())</f>
        <v>81</v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8"/>
        <v>570</v>
      </c>
      <c r="B571" s="15" t="s">
        <v>113</v>
      </c>
      <c r="C571" s="15" t="str" cm="1">
        <f t="array" ref="C571">IFERROR(_xlfn.XLOOKUP(B571, tblPeople[PersonID], tblPeople[PersonName], ""), "")</f>
        <v>Ann Mwangi</v>
      </c>
      <c r="D571" s="15" t="s">
        <v>239</v>
      </c>
      <c r="E571" s="16" t="str">
        <f>IFERROR(_xlfn.XLOOKUP(D571, tblCourses[CourseID], tblCourses[CourseName], ""), "")</f>
        <v>PT6A Small &amp; Medium Series - General Familiarization ATA104 Level 1</v>
      </c>
      <c r="F571" s="17">
        <v>44643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113</v>
      </c>
      <c r="C572" s="15" t="str" cm="1">
        <f t="array" ref="C572">IFERROR(_xlfn.XLOOKUP(B572, tblPeople[PersonID], tblPeople[PersonName], ""), "")</f>
        <v>Ann Mwangi</v>
      </c>
      <c r="D572" s="15" t="s">
        <v>240</v>
      </c>
      <c r="E572" s="16" t="str">
        <f>IFERROR(_xlfn.XLOOKUP(D572, tblCourses[CourseID], tblCourses[CourseName], ""), "")</f>
        <v>PW100 Series - General Familiarization ATA104 Level 1</v>
      </c>
      <c r="F572" s="17">
        <v>44686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113</v>
      </c>
      <c r="C573" s="15" t="str" cm="1">
        <f t="array" ref="C573">IFERROR(_xlfn.XLOOKUP(B573, tblPeople[PersonID], tblPeople[PersonName], ""), "")</f>
        <v>Ann Mwangi</v>
      </c>
      <c r="D573" s="15" t="s">
        <v>219</v>
      </c>
      <c r="E573" s="16" t="str">
        <f>IFERROR(_xlfn.XLOOKUP(D573, tblCourses[CourseID], tblCourses[CourseName], ""), "")</f>
        <v>Quality Management Systems (Initial)</v>
      </c>
      <c r="F573" s="17">
        <v>44498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113</v>
      </c>
      <c r="C574" s="15" t="str" cm="1">
        <f t="array" ref="C574">IFERROR(_xlfn.XLOOKUP(B574, tblPeople[PersonID], tblPeople[PersonName], ""), "")</f>
        <v>Ann Mwangi</v>
      </c>
      <c r="D574" s="15" t="s">
        <v>242</v>
      </c>
      <c r="E574" s="16" t="str">
        <f>IFERROR(_xlfn.XLOOKUP(D574, tblCourses[CourseID], tblCourses[CourseName], ""), "")</f>
        <v xml:space="preserve">Aircraft Accident Investigation </v>
      </c>
      <c r="F574" s="17">
        <v>42533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113</v>
      </c>
      <c r="C575" s="15" t="str" cm="1">
        <f t="array" ref="C575">IFERROR(_xlfn.XLOOKUP(B575, tblPeople[PersonID], tblPeople[PersonName], ""), "")</f>
        <v>Ann Mwangi</v>
      </c>
      <c r="D575" s="15" t="s">
        <v>243</v>
      </c>
      <c r="E575" s="16" t="str">
        <f>IFERROR(_xlfn.XLOOKUP(D575, tblCourses[CourseID], tblCourses[CourseName], ""), "")</f>
        <v xml:space="preserve">AHM Real Time and Custom Alerting Analysis </v>
      </c>
      <c r="F575" s="17">
        <v>42303</v>
      </c>
      <c r="G575" s="17" t="str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5" s="15" t="str">
        <f ca="1">IF(OR(tblTraining[[#This Row],[Status]]="Renewed",tblTraining[[#This Row],[NextDueDate]]=""),"",tblTraining[[#This Row],[NextDueDate]]-TODAY())</f>
        <v/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6" spans="1:9" x14ac:dyDescent="0.25">
      <c r="A576" s="15">
        <f t="shared" si="8"/>
        <v>575</v>
      </c>
      <c r="B576" s="15" t="s">
        <v>89</v>
      </c>
      <c r="C576" s="15" t="str" cm="1">
        <f t="array" ref="C576">IFERROR(_xlfn.XLOOKUP(B576, tblPeople[PersonID], tblPeople[PersonName], ""), "")</f>
        <v>Elina Guda</v>
      </c>
      <c r="D576" s="15" t="s">
        <v>219</v>
      </c>
      <c r="E576" s="16" t="str">
        <f>IFERROR(_xlfn.XLOOKUP(D576, tblCourses[CourseID], tblCourses[CourseName], ""), "")</f>
        <v>Quality Management Systems (Initial)</v>
      </c>
      <c r="F576" s="17">
        <v>45541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89</v>
      </c>
      <c r="C577" s="15" t="str" cm="1">
        <f t="array" ref="C577">IFERROR(_xlfn.XLOOKUP(B577, tblPeople[PersonID], tblPeople[PersonName], ""), "")</f>
        <v>Elina Guda</v>
      </c>
      <c r="D577" s="15" t="s">
        <v>246</v>
      </c>
      <c r="E577" s="16" t="str">
        <f>IFERROR(_xlfn.XLOOKUP(D577, tblCourses[CourseID], tblCourses[CourseName], ""), "")</f>
        <v>Occupational Safety and Health Training</v>
      </c>
      <c r="F577" s="17">
        <v>45190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152</v>
      </c>
      <c r="C578" s="15" t="str" cm="1">
        <f t="array" ref="C578">IFERROR(_xlfn.XLOOKUP(B578, tblPeople[PersonID], tblPeople[PersonName], ""), "")</f>
        <v>Majid Mohamed</v>
      </c>
      <c r="D578" s="15" t="s">
        <v>76</v>
      </c>
      <c r="E578" s="16" t="str">
        <f>IFERROR(_xlfn.XLOOKUP(D578, tblCourses[CourseID], tblCourses[CourseName], ""), "")</f>
        <v>Fuel Tank Safety Phase 1 &amp; 2 Course (Initial)</v>
      </c>
      <c r="F578" s="17">
        <v>45410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152</v>
      </c>
      <c r="C579" s="15" t="str" cm="1">
        <f t="array" ref="C579">IFERROR(_xlfn.XLOOKUP(B579, tblPeople[PersonID], tblPeople[PersonName], ""), "")</f>
        <v>Majid Mohamed</v>
      </c>
      <c r="D579" s="15" t="s">
        <v>198</v>
      </c>
      <c r="E579" s="16" t="str">
        <f>IFERROR(_xlfn.XLOOKUP(D579, tblCourses[CourseID], tblCourses[CourseName], ""), "")</f>
        <v>Maintenance Procedures &amp; Standard Maintenance Practices (Refresher)</v>
      </c>
      <c r="F579" s="17">
        <v>45645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80" spans="1:9" x14ac:dyDescent="0.25">
      <c r="A580" s="15">
        <f t="shared" ref="A580:A643" si="9">A579+1</f>
        <v>579</v>
      </c>
      <c r="B580" s="15" t="s">
        <v>152</v>
      </c>
      <c r="C580" s="15" t="str" cm="1">
        <f t="array" ref="C580">IFERROR(_xlfn.XLOOKUP(B580, tblPeople[PersonID], tblPeople[PersonName], ""), "")</f>
        <v>Majid Mohamed</v>
      </c>
      <c r="D580" s="15" t="s">
        <v>29</v>
      </c>
      <c r="E580" s="16" t="str">
        <f>IFERROR(_xlfn.XLOOKUP(D580, tblCourses[CourseID], tblCourses[CourseName], ""), "")</f>
        <v>DHC-8 100/200/300 with PWC 120/120A/121/123B/C/D/E Series Engines(Initial)</v>
      </c>
      <c r="F580" s="17">
        <v>42867</v>
      </c>
      <c r="G580" s="17" t="str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0" s="15" t="str">
        <f ca="1">IF(OR(tblTraining[[#This Row],[Status]]="Renewed",tblTraining[[#This Row],[NextDueDate]]=""),"",tblTraining[[#This Row],[NextDueDate]]-TODAY())</f>
        <v/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82</v>
      </c>
      <c r="C581" s="15" t="str" cm="1">
        <f t="array" ref="C581">IFERROR(_xlfn.XLOOKUP(B581, tblPeople[PersonID], tblPeople[PersonName], ""), "")</f>
        <v>Philip Mwania</v>
      </c>
      <c r="D581" s="15" t="s">
        <v>223</v>
      </c>
      <c r="E581" s="16" t="str">
        <f>IFERROR(_xlfn.XLOOKUP(D581, tblCourses[CourseID], tblCourses[CourseName], ""), "")</f>
        <v>Core Instructional Technique (Refresher)</v>
      </c>
      <c r="F581" s="17">
        <v>45816</v>
      </c>
      <c r="G581" s="17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81" s="15">
        <f ca="1">IF(OR(tblTraining[[#This Row],[Status]]="Renewed",tblTraining[[#This Row],[NextDueDate]]=""),"",tblTraining[[#This Row],[NextDueDate]]-TODAY())</f>
        <v>260</v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82</v>
      </c>
      <c r="C582" s="15" t="str" cm="1">
        <f t="array" ref="C582">IFERROR(_xlfn.XLOOKUP(B582, tblPeople[PersonID], tblPeople[PersonName], ""), "")</f>
        <v>Philip Mwania</v>
      </c>
      <c r="D582" s="15" t="s">
        <v>218</v>
      </c>
      <c r="E582" s="16" t="str">
        <f>IFERROR(_xlfn.XLOOKUP(D582, tblCourses[CourseID], tblCourses[CourseName], ""), "")</f>
        <v>SOCATA TBM 700 Series (Initial)</v>
      </c>
      <c r="F582" s="17">
        <v>45733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82</v>
      </c>
      <c r="C583" s="15" t="str" cm="1">
        <f t="array" ref="C583">IFERROR(_xlfn.XLOOKUP(B583, tblPeople[PersonID], tblPeople[PersonName], ""), "")</f>
        <v>Philip Mwania</v>
      </c>
      <c r="D583" s="15" t="s">
        <v>217</v>
      </c>
      <c r="E583" s="16" t="str">
        <f>IFERROR(_xlfn.XLOOKUP(D583, tblCourses[CourseID], tblCourses[CourseName], ""), "")</f>
        <v>SOCATA TBM 700 Series (Refresher)</v>
      </c>
      <c r="F583" s="17">
        <v>45733</v>
      </c>
      <c r="G583" s="17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83" s="15">
        <f ca="1">IF(OR(tblTraining[[#This Row],[Status]]="Renewed",tblTraining[[#This Row],[NextDueDate]]=""),"",tblTraining[[#This Row],[NextDueDate]]-TODAY())</f>
        <v>177</v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82</v>
      </c>
      <c r="C584" s="15" t="str" cm="1">
        <f t="array" ref="C584">IFERROR(_xlfn.XLOOKUP(B584, tblPeople[PersonID], tblPeople[PersonName], ""), "")</f>
        <v>Philip Mwania</v>
      </c>
      <c r="D584" s="15" t="s">
        <v>78</v>
      </c>
      <c r="E584" s="16" t="str">
        <f>IFERROR(_xlfn.XLOOKUP(D584, tblCourses[CourseID], tblCourses[CourseName], ""), "")</f>
        <v>DHC8 -100/-200/-300 Collins Wheels &amp; Brakes Familiarization Training (Initial)</v>
      </c>
      <c r="F584" s="17">
        <v>45637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82</v>
      </c>
      <c r="C585" s="15" t="str" cm="1">
        <f t="array" ref="C585">IFERROR(_xlfn.XLOOKUP(B585, tblPeople[PersonID], tblPeople[PersonName], ""), "")</f>
        <v>Philip Mwania</v>
      </c>
      <c r="D585" s="15" t="s">
        <v>27</v>
      </c>
      <c r="E585" s="16" t="str">
        <f>IFERROR(_xlfn.XLOOKUP(D585, tblCourses[CourseID], tblCourses[CourseName], ""), "")</f>
        <v>Pratt &amp; Whitney Canada PT6A Engine With P&amp;WC PT6A
20/ 27/ 41/ 42/ 60A/ 67D/ 112/ 114A/ 140 (Initial)</v>
      </c>
      <c r="F585" s="17">
        <v>40596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82</v>
      </c>
      <c r="C586" s="15" t="str" cm="1">
        <f t="array" ref="C586">IFERROR(_xlfn.XLOOKUP(B586, tblPeople[PersonID], tblPeople[PersonName], ""), "")</f>
        <v>Philip Mwania</v>
      </c>
      <c r="D586" s="15" t="s">
        <v>248</v>
      </c>
      <c r="E586" s="16" t="str">
        <f>IFERROR(_xlfn.XLOOKUP(D586, tblCourses[CourseID], tblCourses[CourseName], ""), "")</f>
        <v>Bell 412 (PWC PT6T) B1.3</v>
      </c>
      <c r="F586" s="17">
        <v>42174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82</v>
      </c>
      <c r="C587" s="15" t="str" cm="1">
        <f t="array" ref="C587">IFERROR(_xlfn.XLOOKUP(B587, tblPeople[PersonID], tblPeople[PersonName], ""), "")</f>
        <v>Philip Mwania</v>
      </c>
      <c r="D587" s="15" t="s">
        <v>250</v>
      </c>
      <c r="E587" s="16" t="str">
        <f>IFERROR(_xlfn.XLOOKUP(D587, tblCourses[CourseID], tblCourses[CourseName], ""), "")</f>
        <v>King Air 200 Series 
King Air 350 Differences</v>
      </c>
      <c r="F587" s="17">
        <v>41929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82</v>
      </c>
      <c r="C588" s="15" t="str" cm="1">
        <f t="array" ref="C588">IFERROR(_xlfn.XLOOKUP(B588, tblPeople[PersonID], tblPeople[PersonName], ""), "")</f>
        <v>Philip Mwania</v>
      </c>
      <c r="D588" s="15" t="s">
        <v>252</v>
      </c>
      <c r="E588" s="16" t="str">
        <f>IFERROR(_xlfn.XLOOKUP(D588, tblCourses[CourseID], tblCourses[CourseName], ""), "")</f>
        <v xml:space="preserve">DC9-80 (MD80) Airframe Systems (Upto &amp; including -87 Series) &amp; JT8D-200 Series Engine (including -217 &amp; -219) </v>
      </c>
      <c r="F588" s="17">
        <v>40992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82</v>
      </c>
      <c r="C589" s="15" t="str" cm="1">
        <f t="array" ref="C589">IFERROR(_xlfn.XLOOKUP(B589, tblPeople[PersonID], tblPeople[PersonName], ""), "")</f>
        <v>Philip Mwania</v>
      </c>
      <c r="D589" s="15" t="s">
        <v>198</v>
      </c>
      <c r="E589" s="16" t="str">
        <f>IFERROR(_xlfn.XLOOKUP(D589, tblCourses[CourseID], tblCourses[CourseName], ""), "")</f>
        <v>Maintenance Procedures &amp; Standard Maintenance Practices (Refresher)</v>
      </c>
      <c r="F589" s="17">
        <v>45322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0" spans="1:9" x14ac:dyDescent="0.25">
      <c r="A590" s="15">
        <f t="shared" si="9"/>
        <v>589</v>
      </c>
      <c r="B590" s="15" t="s">
        <v>82</v>
      </c>
      <c r="C590" s="15" t="str" cm="1">
        <f t="array" ref="C590">IFERROR(_xlfn.XLOOKUP(B590, tblPeople[PersonID], tblPeople[PersonName], ""), "")</f>
        <v>Philip Mwania</v>
      </c>
      <c r="D590" s="15" t="s">
        <v>254</v>
      </c>
      <c r="E590" s="16" t="str">
        <f>IFERROR(_xlfn.XLOOKUP(D590, tblCourses[CourseID], tblCourses[CourseName], ""), "")</f>
        <v>RVSM Pitot Static Tester</v>
      </c>
      <c r="F590" s="17">
        <v>40962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82</v>
      </c>
      <c r="C591" s="15" t="str" cm="1">
        <f t="array" ref="C591">IFERROR(_xlfn.XLOOKUP(B591, tblPeople[PersonID], tblPeople[PersonName], ""), "")</f>
        <v>Philip Mwania</v>
      </c>
      <c r="D591" s="15" t="s">
        <v>255</v>
      </c>
      <c r="E591" s="16" t="str">
        <f>IFERROR(_xlfn.XLOOKUP(D591, tblCourses[CourseID], tblCourses[CourseName], ""), "")</f>
        <v>G3ABR32430 002 Precision Measurement Equipment Specialist</v>
      </c>
      <c r="F591" s="17">
        <v>30855</v>
      </c>
      <c r="G591" s="17" t="str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1" s="15" t="str">
        <f ca="1">IF(OR(tblTraining[[#This Row],[Status]]="Renewed",tblTraining[[#This Row],[NextDueDate]]=""),"",tblTraining[[#This Row],[NextDueDate]]-TODAY())</f>
        <v/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83</v>
      </c>
      <c r="C592" s="15" t="str" cm="1">
        <f t="array" ref="C592">IFERROR(_xlfn.XLOOKUP(B592, tblPeople[PersonID], tblPeople[PersonName], ""), "")</f>
        <v>Wycliffe Kanana</v>
      </c>
      <c r="D592" s="15" t="s">
        <v>138</v>
      </c>
      <c r="E592" s="16" t="str">
        <f>IFERROR(_xlfn.XLOOKUP(D592, tblCourses[CourseID], tblCourses[CourseName], ""), "")</f>
        <v>Fire Marshal Training (OSHA, 2007)</v>
      </c>
      <c r="F592" s="17">
        <v>45933</v>
      </c>
      <c r="G592" s="17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2" s="15">
        <f ca="1">IF(OR(tblTraining[[#This Row],[Status]]="Renewed",tblTraining[[#This Row],[NextDueDate]]=""),"",tblTraining[[#This Row],[NextDueDate]]-TODAY())</f>
        <v>377</v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81</v>
      </c>
      <c r="C593" s="15" t="str" cm="1">
        <f t="array" ref="C593">IFERROR(_xlfn.XLOOKUP(B593, tblPeople[PersonID], tblPeople[PersonName], ""), "")</f>
        <v>Gideon Mwasio</v>
      </c>
      <c r="D593" s="15" t="s">
        <v>138</v>
      </c>
      <c r="E593" s="16" t="str">
        <f>IFERROR(_xlfn.XLOOKUP(D593, tblCourses[CourseID], tblCourses[CourseName], ""), "")</f>
        <v>Fire Marshal Training (OSHA, 2007)</v>
      </c>
      <c r="F593" s="17">
        <v>45933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3" s="15">
        <f ca="1">IF(OR(tblTraining[[#This Row],[Status]]="Renewed",tblTraining[[#This Row],[NextDueDate]]=""),"",tblTraining[[#This Row],[NextDueDate]]-TODAY())</f>
        <v>377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93</v>
      </c>
      <c r="C594" s="15" t="str" cm="1">
        <f t="array" ref="C594">IFERROR(_xlfn.XLOOKUP(B594, tblPeople[PersonID], tblPeople[PersonName], ""), "")</f>
        <v>Stephen Tunje</v>
      </c>
      <c r="D594" s="15" t="s">
        <v>138</v>
      </c>
      <c r="E594" s="16" t="str">
        <f>IFERROR(_xlfn.XLOOKUP(D594, tblCourses[CourseID], tblCourses[CourseName], ""), "")</f>
        <v>Fire Marshal Training (OSHA, 2007)</v>
      </c>
      <c r="F594" s="17">
        <v>45933</v>
      </c>
      <c r="G594" s="17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594" s="15">
        <f ca="1">IF(OR(tblTraining[[#This Row],[Status]]="Renewed",tblTraining[[#This Row],[NextDueDate]]=""),"",tblTraining[[#This Row],[NextDueDate]]-TODAY())</f>
        <v>377</v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107</v>
      </c>
      <c r="C595" s="15" t="str" cm="1">
        <f t="array" ref="C595">IFERROR(_xlfn.XLOOKUP(B595, tblPeople[PersonID], tblPeople[PersonName], ""), "")</f>
        <v>Julius Nyawira</v>
      </c>
      <c r="D595" s="15" t="s">
        <v>28</v>
      </c>
      <c r="E595" s="16" t="str">
        <f>IFERROR(_xlfn.XLOOKUP(D595, tblCourses[CourseID], tblCourses[CourseName], ""), "")</f>
        <v>DHC-8 100/200/300 with PWC 120/120A/121/123B/C/D/E Series Engines(Refresher)</v>
      </c>
      <c r="F595" s="17">
        <v>43655</v>
      </c>
      <c r="G595" s="17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5" s="15">
        <f ca="1">IF(OR(tblTraining[[#This Row],[Status]]="Renewed",tblTraining[[#This Row],[NextDueDate]]=""),"",tblTraining[[#This Row],[NextDueDate]]-TODAY())</f>
        <v>-1900</v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6" spans="1:9" x14ac:dyDescent="0.25">
      <c r="A596" s="15">
        <f t="shared" si="9"/>
        <v>595</v>
      </c>
      <c r="B596" s="15" t="s">
        <v>107</v>
      </c>
      <c r="C596" s="15" t="str" cm="1">
        <f t="array" ref="C596">IFERROR(_xlfn.XLOOKUP(B596, tblPeople[PersonID], tblPeople[PersonName], ""), "")</f>
        <v>Julius Nyawira</v>
      </c>
      <c r="D596" s="15" t="s">
        <v>25</v>
      </c>
      <c r="E596" s="16" t="str">
        <f>IFERROR(_xlfn.XLOOKUP(D596, tblCourses[CourseID], tblCourses[CourseName], ""), "")</f>
        <v>Pratt &amp; Whitney Canada PT6A Engine With P&amp;WC PT6A
20/ 27/ 41/ 42/ 60A/ 67D/ 112/ 114A/ 140 (Refresher)</v>
      </c>
      <c r="F596" s="17">
        <v>43655</v>
      </c>
      <c r="G596" s="17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596" s="15">
        <f ca="1">IF(OR(tblTraining[[#This Row],[Status]]="Renewed",tblTraining[[#This Row],[NextDueDate]]=""),"",tblTraining[[#This Row],[NextDueDate]]-TODAY())</f>
        <v>-1900</v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597" spans="1:9" x14ac:dyDescent="0.25">
      <c r="A597" s="15">
        <f t="shared" si="9"/>
        <v>596</v>
      </c>
      <c r="B597" s="15" t="s">
        <v>105</v>
      </c>
      <c r="C597" s="15" t="str" cm="1">
        <f t="array" ref="C597">IFERROR(_xlfn.XLOOKUP(B597, tblPeople[PersonID], tblPeople[PersonName], ""), "")</f>
        <v>Fred Magotsi</v>
      </c>
      <c r="D597" s="15" t="s">
        <v>24</v>
      </c>
      <c r="E597" s="16" t="str">
        <f>IFERROR(_xlfn.XLOOKUP(D597, tblCourses[CourseID], tblCourses[CourseName], ""), "")</f>
        <v>Human Factors in Aviation (Initial)</v>
      </c>
      <c r="F597" s="17">
        <v>45118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x14ac:dyDescent="0.25">
      <c r="A598" s="15">
        <f t="shared" si="9"/>
        <v>597</v>
      </c>
      <c r="B598" s="15" t="s">
        <v>105</v>
      </c>
      <c r="C598" s="15" t="str" cm="1">
        <f t="array" ref="C598">IFERROR(_xlfn.XLOOKUP(B598, tblPeople[PersonID], tblPeople[PersonName], ""), "")</f>
        <v>Fred Magotsi</v>
      </c>
      <c r="D598" s="15" t="s">
        <v>17</v>
      </c>
      <c r="E598" s="16" t="str">
        <f>IFERROR(_xlfn.XLOOKUP(D598, tblCourses[CourseID], tblCourses[CourseName], ""), "")</f>
        <v>Safety Management Systems (Refresher)</v>
      </c>
      <c r="F598" s="17">
        <v>45113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9" spans="1:9" x14ac:dyDescent="0.25">
      <c r="A599" s="15">
        <f t="shared" si="9"/>
        <v>598</v>
      </c>
      <c r="B599" s="15" t="s">
        <v>85</v>
      </c>
      <c r="C599" s="15" t="str" cm="1">
        <f t="array" ref="C599">IFERROR(_xlfn.XLOOKUP(B599, tblPeople[PersonID], tblPeople[PersonName], ""), "")</f>
        <v>Titus Shunza</v>
      </c>
      <c r="D599" s="15" t="s">
        <v>221</v>
      </c>
      <c r="E599" s="16" t="str">
        <f>IFERROR(_xlfn.XLOOKUP(D599, tblCourses[CourseID], tblCourses[CourseName], ""), "")</f>
        <v>Core Instructional Technique (Initial)</v>
      </c>
      <c r="F599" s="17">
        <v>45800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0" spans="1:9" x14ac:dyDescent="0.25">
      <c r="A600" s="15">
        <f t="shared" si="9"/>
        <v>599</v>
      </c>
      <c r="B600" s="15" t="s">
        <v>85</v>
      </c>
      <c r="C600" s="15" t="str" cm="1">
        <f t="array" ref="C600">IFERROR(_xlfn.XLOOKUP(B600, tblPeople[PersonID], tblPeople[PersonName], ""), "")</f>
        <v>Titus Shunza</v>
      </c>
      <c r="D600" s="15" t="s">
        <v>223</v>
      </c>
      <c r="E600" s="16" t="str">
        <f>IFERROR(_xlfn.XLOOKUP(D600, tblCourses[CourseID], tblCourses[CourseName], ""), "")</f>
        <v>Core Instructional Technique (Refresher)</v>
      </c>
      <c r="F600" s="17">
        <v>45800</v>
      </c>
      <c r="G600" s="17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00" s="15">
        <f ca="1">IF(OR(tblTraining[[#This Row],[Status]]="Renewed",tblTraining[[#This Row],[NextDueDate]]=""),"",tblTraining[[#This Row],[NextDueDate]]-TODAY())</f>
        <v>244</v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1" spans="1:9" x14ac:dyDescent="0.25">
      <c r="A601" s="15">
        <f t="shared" si="9"/>
        <v>600</v>
      </c>
      <c r="B601" s="15" t="s">
        <v>105</v>
      </c>
      <c r="C601" s="15" t="str" cm="1">
        <f t="array" ref="C601">IFERROR(_xlfn.XLOOKUP(B601, tblPeople[PersonID], tblPeople[PersonName], ""), "")</f>
        <v>Fred Magotsi</v>
      </c>
      <c r="D601" s="15" t="s">
        <v>77</v>
      </c>
      <c r="E601" s="16" t="str">
        <f>IFERROR(_xlfn.XLOOKUP(D601, tblCourses[CourseID], tblCourses[CourseName], ""), "")</f>
        <v>DHC8 -100/-200/-300 Collins Wheels &amp; Brakes Familiarization Training (Refresher)</v>
      </c>
      <c r="F601" s="17">
        <v>44383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2" spans="1:9" x14ac:dyDescent="0.25">
      <c r="A602" s="15">
        <f t="shared" si="9"/>
        <v>601</v>
      </c>
      <c r="B602" s="15" t="s">
        <v>105</v>
      </c>
      <c r="C602" s="15" t="str" cm="1">
        <f t="array" ref="C602">IFERROR(_xlfn.XLOOKUP(B602, tblPeople[PersonID], tblPeople[PersonName], ""), "")</f>
        <v>Fred Magotsi</v>
      </c>
      <c r="D602" s="15" t="s">
        <v>29</v>
      </c>
      <c r="E602" s="16" t="str">
        <f>IFERROR(_xlfn.XLOOKUP(D602, tblCourses[CourseID], tblCourses[CourseName], ""), "")</f>
        <v>DHC-8 100/200/300 with PWC 120/120A/121/123B/C/D/E Series Engines(Initial)</v>
      </c>
      <c r="F602" s="17">
        <v>41698</v>
      </c>
      <c r="G602" s="17" t="str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2" s="15" t="str">
        <f ca="1">IF(OR(tblTraining[[#This Row],[Status]]="Renewed",tblTraining[[#This Row],[NextDueDate]]=""),"",tblTraining[[#This Row],[NextDueDate]]-TODAY())</f>
        <v/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92</v>
      </c>
      <c r="C603" s="15" t="str" cm="1">
        <f t="array" ref="C603">IFERROR(_xlfn.XLOOKUP(B603, tblPeople[PersonID], tblPeople[PersonName], ""), "")</f>
        <v>Reuben Otieno</v>
      </c>
      <c r="D603" s="15" t="s">
        <v>22</v>
      </c>
      <c r="E603" s="16" t="str">
        <f>IFERROR(_xlfn.XLOOKUP(D603, tblCourses[CourseID], tblCourses[CourseName], ""), "")</f>
        <v>Human Factors in Aviation (Refresher)</v>
      </c>
      <c r="F603" s="17">
        <v>45917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03" s="15">
        <f ca="1">IF(OR(tblTraining[[#This Row],[Status]]="Renewed",tblTraining[[#This Row],[NextDueDate]]=""),"",tblTraining[[#This Row],[NextDueDate]]-TODAY())</f>
        <v>361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84</v>
      </c>
      <c r="C604" s="15" t="str" cm="1">
        <f t="array" ref="C604">IFERROR(_xlfn.XLOOKUP(B604, tblPeople[PersonID], tblPeople[PersonName], ""), "")</f>
        <v>Patrick Musau</v>
      </c>
      <c r="D604" s="15" t="s">
        <v>232</v>
      </c>
      <c r="E604" s="16" t="str">
        <f>IFERROR(_xlfn.XLOOKUP(D604, tblCourses[CourseID], tblCourses[CourseName], ""), "")</f>
        <v>Crew Resource Management (Initial)</v>
      </c>
      <c r="F604" s="17">
        <v>44517</v>
      </c>
      <c r="G604" s="17" t="str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4" s="15" t="str">
        <f ca="1">IF(OR(tblTraining[[#This Row],[Status]]="Renewed",tblTraining[[#This Row],[NextDueDate]]=""),"",tblTraining[[#This Row],[NextDueDate]]-TODAY())</f>
        <v/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84</v>
      </c>
      <c r="C605" s="15" t="str" cm="1">
        <f t="array" ref="C605">IFERROR(_xlfn.XLOOKUP(B605, tblPeople[PersonID], tblPeople[PersonName], ""), "")</f>
        <v>Patrick Musau</v>
      </c>
      <c r="D605" s="15" t="s">
        <v>32</v>
      </c>
      <c r="E605" s="16" t="str">
        <f>IFERROR(_xlfn.XLOOKUP(D605, tblCourses[CourseID], tblCourses[CourseName], ""), "")</f>
        <v>Dangerous Goods Regulations (CBTA 7.3) (Initial)</v>
      </c>
      <c r="F605" s="17">
        <v>44518</v>
      </c>
      <c r="G605" s="17" t="str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5" s="15" t="str">
        <f ca="1">IF(OR(tblTraining[[#This Row],[Status]]="Renewed",tblTraining[[#This Row],[NextDueDate]]=""),"",tblTraining[[#This Row],[NextDueDate]]-TODAY())</f>
        <v/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6" spans="1:9" x14ac:dyDescent="0.25">
      <c r="A606" s="15">
        <f t="shared" si="9"/>
        <v>605</v>
      </c>
      <c r="B606" s="15" t="s">
        <v>90</v>
      </c>
      <c r="C606" s="15" t="str" cm="1">
        <f t="array" ref="C606">IFERROR(_xlfn.XLOOKUP(B606, tblPeople[PersonID], tblPeople[PersonName], ""), "")</f>
        <v>Kendra Nambisia</v>
      </c>
      <c r="D606" s="15" t="s">
        <v>198</v>
      </c>
      <c r="E606" s="16" t="str">
        <f>IFERROR(_xlfn.XLOOKUP(D606, tblCourses[CourseID], tblCourses[CourseName], ""), "")</f>
        <v>Maintenance Procedures &amp; Standard Maintenance Practices (Refresher)</v>
      </c>
      <c r="F606" s="17">
        <v>45786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06" s="15">
        <f ca="1">IF(OR(tblTraining[[#This Row],[Status]]="Renewed",tblTraining[[#This Row],[NextDueDate]]=""),"",tblTraining[[#This Row],[NextDueDate]]-TODAY())</f>
        <v>230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7" spans="1:9" x14ac:dyDescent="0.25">
      <c r="A607" s="15">
        <f t="shared" si="9"/>
        <v>606</v>
      </c>
      <c r="B607" s="15" t="s">
        <v>90</v>
      </c>
      <c r="C607" s="15" t="str" cm="1">
        <f t="array" ref="C607">IFERROR(_xlfn.XLOOKUP(B607, tblPeople[PersonID], tblPeople[PersonName], ""), "")</f>
        <v>Kendra Nambisia</v>
      </c>
      <c r="D607" s="15" t="s">
        <v>126</v>
      </c>
      <c r="E607" s="16" t="str">
        <f>IFERROR(_xlfn.XLOOKUP(D607, tblCourses[CourseID], tblCourses[CourseName], ""), "")</f>
        <v>Maintenance Indoctrination</v>
      </c>
      <c r="F607" s="17">
        <v>45146</v>
      </c>
      <c r="G607" s="17" t="str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7" s="15" t="str">
        <f ca="1">IF(OR(tblTraining[[#This Row],[Status]]="Renewed",tblTraining[[#This Row],[NextDueDate]]=""),"",tblTraining[[#This Row],[NextDueDate]]-TODAY())</f>
        <v/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90</v>
      </c>
      <c r="C608" s="15" t="str" cm="1">
        <f t="array" ref="C608">IFERROR(_xlfn.XLOOKUP(B608, tblPeople[PersonID], tblPeople[PersonName], ""), "")</f>
        <v>Kendra Nambisia</v>
      </c>
      <c r="D608" s="15" t="s">
        <v>223</v>
      </c>
      <c r="E608" s="16" t="str">
        <f>IFERROR(_xlfn.XLOOKUP(D608, tblCourses[CourseID], tblCourses[CourseName], ""), "")</f>
        <v>Core Instructional Technique (Refresher)</v>
      </c>
      <c r="F608" s="17">
        <v>45816</v>
      </c>
      <c r="G608" s="17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08" s="15">
        <f ca="1">IF(OR(tblTraining[[#This Row],[Status]]="Renewed",tblTraining[[#This Row],[NextDueDate]]=""),"",tblTraining[[#This Row],[NextDueDate]]-TODAY())</f>
        <v>260</v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9" spans="1:9" x14ac:dyDescent="0.25">
      <c r="A609" s="15">
        <f t="shared" si="9"/>
        <v>608</v>
      </c>
      <c r="B609" s="15" t="s">
        <v>90</v>
      </c>
      <c r="C609" s="15" t="str" cm="1">
        <f t="array" ref="C609">IFERROR(_xlfn.XLOOKUP(B609, tblPeople[PersonID], tblPeople[PersonName], ""), "")</f>
        <v>Kendra Nambisia</v>
      </c>
      <c r="D609" s="15" t="s">
        <v>110</v>
      </c>
      <c r="E609" s="16" t="str">
        <f>IFERROR(_xlfn.XLOOKUP(D609, tblCourses[CourseID], tblCourses[CourseName], ""), "")</f>
        <v>Electrical Wiring Interconnection System Target Groups 1 &amp; 2 (Initial)</v>
      </c>
      <c r="F609" s="17">
        <v>45803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9"/>
        <v>609</v>
      </c>
      <c r="B610" s="15" t="s">
        <v>90</v>
      </c>
      <c r="C610" s="15" t="str" cm="1">
        <f t="array" ref="C610">IFERROR(_xlfn.XLOOKUP(B610, tblPeople[PersonID], tblPeople[PersonName], ""), "")</f>
        <v>Kendra Nambisia</v>
      </c>
      <c r="D610" s="15" t="s">
        <v>109</v>
      </c>
      <c r="E610" s="16" t="str">
        <f>IFERROR(_xlfn.XLOOKUP(D610, tblCourses[CourseID], tblCourses[CourseName], ""), "")</f>
        <v>Electrical Wiring Interconnection System Target Groups 1 &amp; 2 (Refresher)</v>
      </c>
      <c r="F610" s="17">
        <v>45803</v>
      </c>
      <c r="G610" s="17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10" s="15">
        <f ca="1">IF(OR(tblTraining[[#This Row],[Status]]="Renewed",tblTraining[[#This Row],[NextDueDate]]=""),"",tblTraining[[#This Row],[NextDueDate]]-TODAY())</f>
        <v>247</v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156</v>
      </c>
      <c r="C611" s="15" t="str" cm="1">
        <f t="array" ref="C611">IFERROR(_xlfn.XLOOKUP(B611, tblPeople[PersonID], tblPeople[PersonName], ""), "")</f>
        <v>Stephen Mutambu</v>
      </c>
      <c r="D611" s="15" t="s">
        <v>110</v>
      </c>
      <c r="E611" s="16" t="str">
        <f>IFERROR(_xlfn.XLOOKUP(D611, tblCourses[CourseID], tblCourses[CourseName], ""), "")</f>
        <v>Electrical Wiring Interconnection System Target Groups 1 &amp; 2 (Initial)</v>
      </c>
      <c r="F611" s="17">
        <v>45942</v>
      </c>
      <c r="G611" s="17" t="str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1" s="15" t="str">
        <f ca="1">IF(OR(tblTraining[[#This Row],[Status]]="Renewed",tblTraining[[#This Row],[NextDueDate]]=""),"",tblTraining[[#This Row],[NextDueDate]]-TODAY())</f>
        <v/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2" spans="1:9" x14ac:dyDescent="0.25">
      <c r="A612" s="15">
        <f t="shared" si="9"/>
        <v>611</v>
      </c>
      <c r="B612" s="15" t="s">
        <v>156</v>
      </c>
      <c r="C612" s="15" t="str" cm="1">
        <f t="array" ref="C612">IFERROR(_xlfn.XLOOKUP(B612, tblPeople[PersonID], tblPeople[PersonName], ""), "")</f>
        <v>Stephen Mutambu</v>
      </c>
      <c r="D612" s="15" t="s">
        <v>109</v>
      </c>
      <c r="E612" s="16" t="str">
        <f>IFERROR(_xlfn.XLOOKUP(D612, tblCourses[CourseID], tblCourses[CourseName], ""), "")</f>
        <v>Electrical Wiring Interconnection System Target Groups 1 &amp; 2 (Refresher)</v>
      </c>
      <c r="F612" s="17">
        <v>45942</v>
      </c>
      <c r="G612" s="17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12" s="15">
        <f ca="1">IF(OR(tblTraining[[#This Row],[Status]]="Renewed",tblTraining[[#This Row],[NextDueDate]]=""),"",tblTraining[[#This Row],[NextDueDate]]-TODAY())</f>
        <v>386</v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9"/>
        <v>612</v>
      </c>
      <c r="B613" s="15" t="s">
        <v>211</v>
      </c>
      <c r="C613" s="15" t="str" cm="1">
        <f t="array" ref="C613">IFERROR(_xlfn.XLOOKUP(B613, tblPeople[PersonID], tblPeople[PersonName], ""), "")</f>
        <v>Angeline Nthakyo</v>
      </c>
      <c r="D613" s="15" t="s">
        <v>24</v>
      </c>
      <c r="E613" s="16" t="str">
        <f>IFERROR(_xlfn.XLOOKUP(D613, tblCourses[CourseID], tblCourses[CourseName], ""), "")</f>
        <v>Human Factors in Aviation (Initial)</v>
      </c>
      <c r="F613" s="17">
        <v>45936</v>
      </c>
      <c r="G613" s="17" t="str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3" s="15" t="str">
        <f ca="1">IF(OR(tblTraining[[#This Row],[Status]]="Renewed",tblTraining[[#This Row],[NextDueDate]]=""),"",tblTraining[[#This Row],[NextDueDate]]-TODAY())</f>
        <v/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211</v>
      </c>
      <c r="C614" s="15" t="str" cm="1">
        <f t="array" ref="C614">IFERROR(_xlfn.XLOOKUP(B614, tblPeople[PersonID], tblPeople[PersonName], ""), "")</f>
        <v>Angeline Nthakyo</v>
      </c>
      <c r="D614" s="15" t="s">
        <v>22</v>
      </c>
      <c r="E614" s="16" t="str">
        <f>IFERROR(_xlfn.XLOOKUP(D614, tblCourses[CourseID], tblCourses[CourseName], ""), "")</f>
        <v>Human Factors in Aviation (Refresher)</v>
      </c>
      <c r="F614" s="17">
        <v>45936</v>
      </c>
      <c r="G614" s="17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14" s="15">
        <f ca="1">IF(OR(tblTraining[[#This Row],[Status]]="Renewed",tblTraining[[#This Row],[NextDueDate]]=""),"",tblTraining[[#This Row],[NextDueDate]]-TODAY())</f>
        <v>380</v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261</v>
      </c>
      <c r="C615" s="15" t="str" cm="1">
        <f t="array" ref="C615">IFERROR(_xlfn.XLOOKUP(B615, tblPeople[PersonID], tblPeople[PersonName], ""), "")</f>
        <v>Romy Okello</v>
      </c>
      <c r="D615" s="15" t="s">
        <v>24</v>
      </c>
      <c r="E615" s="16" t="str">
        <f>IFERROR(_xlfn.XLOOKUP(D615, tblCourses[CourseID], tblCourses[CourseName], ""), "")</f>
        <v>Human Factors in Aviation (Initial)</v>
      </c>
      <c r="F615" s="17">
        <v>45941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261</v>
      </c>
      <c r="C616" s="15" t="str" cm="1">
        <f t="array" ref="C616">IFERROR(_xlfn.XLOOKUP(B616, tblPeople[PersonID], tblPeople[PersonName], ""), "")</f>
        <v>Romy Okello</v>
      </c>
      <c r="D616" s="15" t="s">
        <v>22</v>
      </c>
      <c r="E616" s="16" t="str">
        <f>IFERROR(_xlfn.XLOOKUP(D616, tblCourses[CourseID], tblCourses[CourseName], ""), "")</f>
        <v>Human Factors in Aviation (Refresher)</v>
      </c>
      <c r="F616" s="17">
        <v>45941</v>
      </c>
      <c r="G616" s="17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16" s="15">
        <f ca="1">IF(OR(tblTraining[[#This Row],[Status]]="Renewed",tblTraining[[#This Row],[NextDueDate]]=""),"",tblTraining[[#This Row],[NextDueDate]]-TODAY())</f>
        <v>385</v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261</v>
      </c>
      <c r="C617" s="15" t="str" cm="1">
        <f t="array" ref="C617">IFERROR(_xlfn.XLOOKUP(B617, tblPeople[PersonID], tblPeople[PersonName], ""), "")</f>
        <v>Romy Okello</v>
      </c>
      <c r="D617" s="15" t="s">
        <v>232</v>
      </c>
      <c r="E617" s="16" t="str">
        <f>IFERROR(_xlfn.XLOOKUP(D617, tblCourses[CourseID], tblCourses[CourseName], ""), "")</f>
        <v>Crew Resource Management (Initial)</v>
      </c>
      <c r="F617" s="17">
        <v>45855</v>
      </c>
      <c r="G617" s="17" t="str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7" s="15" t="str">
        <f ca="1">IF(OR(tblTraining[[#This Row],[Status]]="Renewed",tblTraining[[#This Row],[NextDueDate]]=""),"",tblTraining[[#This Row],[NextDueDate]]-TODAY())</f>
        <v/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261</v>
      </c>
      <c r="C618" s="15" t="str" cm="1">
        <f t="array" ref="C618">IFERROR(_xlfn.XLOOKUP(B618, tblPeople[PersonID], tblPeople[PersonName], ""), "")</f>
        <v>Romy Okello</v>
      </c>
      <c r="D618" s="15" t="s">
        <v>231</v>
      </c>
      <c r="E618" s="16" t="str">
        <f>IFERROR(_xlfn.XLOOKUP(D618, tblCourses[CourseID], tblCourses[CourseName], ""), "")</f>
        <v>Crew Resource Management (Refresher)</v>
      </c>
      <c r="F618" s="17">
        <v>45855</v>
      </c>
      <c r="G618" s="17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18" s="15">
        <f ca="1">IF(OR(tblTraining[[#This Row],[Status]]="Renewed",tblTraining[[#This Row],[NextDueDate]]=""),"",tblTraining[[#This Row],[NextDueDate]]-TODAY())</f>
        <v>299</v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210</v>
      </c>
      <c r="C619" s="15" t="str" cm="1">
        <f t="array" ref="C619">IFERROR(_xlfn.XLOOKUP(B619, tblPeople[PersonID], tblPeople[PersonName], ""), "")</f>
        <v>John Kihara</v>
      </c>
      <c r="D619" s="15" t="s">
        <v>24</v>
      </c>
      <c r="E619" s="16" t="str">
        <f>IFERROR(_xlfn.XLOOKUP(D619, tblCourses[CourseID], tblCourses[CourseName], ""), "")</f>
        <v>Human Factors in Aviation (Initial)</v>
      </c>
      <c r="F619" s="17">
        <v>45944</v>
      </c>
      <c r="G619" s="17" t="str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9" s="15" t="str">
        <f ca="1">IF(OR(tblTraining[[#This Row],[Status]]="Renewed",tblTraining[[#This Row],[NextDueDate]]=""),"",tblTraining[[#This Row],[NextDueDate]]-TODAY())</f>
        <v/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210</v>
      </c>
      <c r="C620" s="15" t="str" cm="1">
        <f t="array" ref="C620">IFERROR(_xlfn.XLOOKUP(B620, tblPeople[PersonID], tblPeople[PersonName], ""), "")</f>
        <v>John Kihara</v>
      </c>
      <c r="D620" s="15" t="s">
        <v>22</v>
      </c>
      <c r="E620" s="16" t="str">
        <f>IFERROR(_xlfn.XLOOKUP(D620, tblCourses[CourseID], tblCourses[CourseName], ""), "")</f>
        <v>Human Factors in Aviation (Refresher)</v>
      </c>
      <c r="F620" s="17">
        <v>45944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20" s="15">
        <f ca="1">IF(OR(tblTraining[[#This Row],[Status]]="Renewed",tblTraining[[#This Row],[NextDueDate]]=""),"",tblTraining[[#This Row],[NextDueDate]]-TODAY())</f>
        <v>388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112</v>
      </c>
      <c r="C621" s="15" t="str" cm="1">
        <f t="array" ref="C621">IFERROR(_xlfn.XLOOKUP(B621, tblPeople[PersonID], tblPeople[PersonName], ""), "")</f>
        <v>Patrick Mwangi</v>
      </c>
      <c r="D621" s="15" t="s">
        <v>22</v>
      </c>
      <c r="E621" s="16" t="str">
        <f>IFERROR(_xlfn.XLOOKUP(D621, tblCourses[CourseID], tblCourses[CourseName], ""), "")</f>
        <v>Human Factors in Aviation (Refresher)</v>
      </c>
      <c r="F621" s="17">
        <v>45926</v>
      </c>
      <c r="G621" s="17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21" s="15">
        <f ca="1">IF(OR(tblTraining[[#This Row],[Status]]="Renewed",tblTraining[[#This Row],[NextDueDate]]=""),"",tblTraining[[#This Row],[NextDueDate]]-TODAY())</f>
        <v>370</v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149</v>
      </c>
      <c r="C622" s="15" t="str" cm="1">
        <f t="array" ref="C622">IFERROR(_xlfn.XLOOKUP(B622, tblPeople[PersonID], tblPeople[PersonName], ""), "")</f>
        <v>Kea Kazungu</v>
      </c>
      <c r="D622" s="15" t="s">
        <v>110</v>
      </c>
      <c r="E622" s="16" t="str">
        <f>IFERROR(_xlfn.XLOOKUP(D622, tblCourses[CourseID], tblCourses[CourseName], ""), "")</f>
        <v>Electrical Wiring Interconnection System Target Groups 1 &amp; 2 (Initial)</v>
      </c>
      <c r="F622" s="17">
        <v>45950</v>
      </c>
      <c r="G622" s="17" t="str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2" s="15" t="str">
        <f ca="1">IF(OR(tblTraining[[#This Row],[Status]]="Renewed",tblTraining[[#This Row],[NextDueDate]]=""),"",tblTraining[[#This Row],[NextDueDate]]-TODAY())</f>
        <v/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149</v>
      </c>
      <c r="C623" s="15" t="str" cm="1">
        <f t="array" ref="C623">IFERROR(_xlfn.XLOOKUP(B623, tblPeople[PersonID], tblPeople[PersonName], ""), "")</f>
        <v>Kea Kazungu</v>
      </c>
      <c r="D623" s="15" t="s">
        <v>109</v>
      </c>
      <c r="E623" s="16" t="str">
        <f>IFERROR(_xlfn.XLOOKUP(D623, tblCourses[CourseID], tblCourses[CourseName], ""), "")</f>
        <v>Electrical Wiring Interconnection System Target Groups 1 &amp; 2 (Refresher)</v>
      </c>
      <c r="F623" s="17">
        <v>45950</v>
      </c>
      <c r="G623" s="17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23" s="15">
        <f ca="1">IF(OR(tblTraining[[#This Row],[Status]]="Renewed",tblTraining[[#This Row],[NextDueDate]]=""),"",tblTraining[[#This Row],[NextDueDate]]-TODAY())</f>
        <v>394</v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209</v>
      </c>
      <c r="C624" s="15" t="str" cm="1">
        <f t="array" ref="C624">IFERROR(_xlfn.XLOOKUP(B624, tblPeople[PersonID], tblPeople[PersonName], ""), "")</f>
        <v>Samuel Wacho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45941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24" s="15">
        <f ca="1">IF(OR(tblTraining[[#This Row],[Status]]="Renewed",tblTraining[[#This Row],[NextDueDate]]=""),"",tblTraining[[#This Row],[NextDueDate]]-TODAY())</f>
        <v>385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93</v>
      </c>
      <c r="C625" s="15" t="str" cm="1">
        <f t="array" ref="C625">IFERROR(_xlfn.XLOOKUP(B625, tblPeople[PersonID], tblPeople[PersonName], ""), "")</f>
        <v>Stephen Tunje</v>
      </c>
      <c r="D625" s="15" t="s">
        <v>22</v>
      </c>
      <c r="E625" s="16" t="str">
        <f>IFERROR(_xlfn.XLOOKUP(D625, tblCourses[CourseID], tblCourses[CourseName], ""), "")</f>
        <v>Human Factors in Aviation (Refresher)</v>
      </c>
      <c r="F625" s="17">
        <v>45952</v>
      </c>
      <c r="G625" s="17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25" s="15">
        <f ca="1">IF(OR(tblTraining[[#This Row],[Status]]="Renewed",tblTraining[[#This Row],[NextDueDate]]=""),"",tblTraining[[#This Row],[NextDueDate]]-TODAY())</f>
        <v>396</v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90</v>
      </c>
      <c r="C626" s="15" t="str" cm="1">
        <f t="array" ref="C626">IFERROR(_xlfn.XLOOKUP(B626, tblPeople[PersonID], tblPeople[PersonName], ""), "")</f>
        <v>Kendra Nambisia</v>
      </c>
      <c r="D626" s="15" t="s">
        <v>29</v>
      </c>
      <c r="E626" s="16" t="str">
        <f>IFERROR(_xlfn.XLOOKUP(D626, tblCourses[CourseID], tblCourses[CourseName], ""), "")</f>
        <v>DHC-8 100/200/300 with PWC 120/120A/121/123B/C/D/E Series Engines(Initial)</v>
      </c>
      <c r="F626" s="17">
        <v>45618</v>
      </c>
      <c r="G626" s="17" t="str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6" s="15" t="str">
        <f ca="1">IF(OR(tblTraining[[#This Row],[Status]]="Renewed",tblTraining[[#This Row],[NextDueDate]]=""),"",tblTraining[[#This Row],[NextDueDate]]-TODAY())</f>
        <v/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90</v>
      </c>
      <c r="C627" s="15" t="str" cm="1">
        <f t="array" ref="C627">IFERROR(_xlfn.XLOOKUP(B627, tblPeople[PersonID], tblPeople[PersonName], ""), "")</f>
        <v>Kendra Nambisia</v>
      </c>
      <c r="D627" s="15" t="s">
        <v>27</v>
      </c>
      <c r="E627" s="16" t="str">
        <f>IFERROR(_xlfn.XLOOKUP(D627, tblCourses[CourseID], tblCourses[CourseName], ""), "")</f>
        <v>Pratt &amp; Whitney Canada PT6A Engine With P&amp;WC PT6A
20/ 27/ 41/ 42/ 60A/ 67D/ 112/ 114A/ 140 (Initial)</v>
      </c>
      <c r="F627" s="17">
        <v>45632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9"/>
        <v>627</v>
      </c>
      <c r="B628" s="15" t="s">
        <v>90</v>
      </c>
      <c r="C628" s="15" t="str" cm="1">
        <f t="array" ref="C628">IFERROR(_xlfn.XLOOKUP(B628, tblPeople[PersonID], tblPeople[PersonName], ""), "")</f>
        <v>Kendra Nambisia</v>
      </c>
      <c r="D628" s="15" t="s">
        <v>78</v>
      </c>
      <c r="E628" s="16" t="str">
        <f>IFERROR(_xlfn.XLOOKUP(D628, tblCourses[CourseID], tblCourses[CourseName], ""), "")</f>
        <v>DHC8 -100/-200/-300 Collins Wheels &amp; Brakes Familiarization Training (Initial)</v>
      </c>
      <c r="F628" s="17">
        <v>45637</v>
      </c>
      <c r="G628" s="17" t="str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8" s="15" t="str">
        <f ca="1">IF(OR(tblTraining[[#This Row],[Status]]="Renewed",tblTraining[[#This Row],[NextDueDate]]=""),"",tblTraining[[#This Row],[NextDueDate]]-TODAY())</f>
        <v/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261</v>
      </c>
      <c r="C629" s="15" t="str" cm="1">
        <f t="array" ref="C629">IFERROR(_xlfn.XLOOKUP(B629, tblPeople[PersonID], tblPeople[PersonName], ""), "")</f>
        <v>Romy Okello</v>
      </c>
      <c r="D629" s="15" t="s">
        <v>76</v>
      </c>
      <c r="E629" s="16" t="str">
        <f>IFERROR(_xlfn.XLOOKUP(D629, tblCourses[CourseID], tblCourses[CourseName], ""), "")</f>
        <v>Fuel Tank Safety Phase 1 &amp; 2 Course (Initial)</v>
      </c>
      <c r="F629" s="17">
        <v>45970</v>
      </c>
      <c r="G629" s="17" t="str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9" s="15" t="str">
        <f ca="1">IF(OR(tblTraining[[#This Row],[Status]]="Renewed",tblTraining[[#This Row],[NextDueDate]]=""),"",tblTraining[[#This Row],[NextDueDate]]-TODAY())</f>
        <v/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261</v>
      </c>
      <c r="C630" s="15" t="str" cm="1">
        <f t="array" ref="C630">IFERROR(_xlfn.XLOOKUP(B630, tblPeople[PersonID], tblPeople[PersonName], ""), "")</f>
        <v>Romy Okello</v>
      </c>
      <c r="D630" s="15" t="s">
        <v>75</v>
      </c>
      <c r="E630" s="16" t="str">
        <f>IFERROR(_xlfn.XLOOKUP(D630, tblCourses[CourseID], tblCourses[CourseName], ""), "")</f>
        <v>Fuel Tank Safety Phase 1 &amp; 2 Course (Refresher)</v>
      </c>
      <c r="F630" s="17">
        <v>45970</v>
      </c>
      <c r="G630" s="17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30" s="15">
        <f ca="1">IF(OR(tblTraining[[#This Row],[Status]]="Renewed",tblTraining[[#This Row],[NextDueDate]]=""),"",tblTraining[[#This Row],[NextDueDate]]-TODAY())</f>
        <v>414</v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95</v>
      </c>
      <c r="C631" s="15" t="str" cm="1">
        <f t="array" ref="C631">IFERROR(_xlfn.XLOOKUP(B631, tblPeople[PersonID], tblPeople[PersonName], ""), "")</f>
        <v>Walter Kibet</v>
      </c>
      <c r="D631" s="15" t="s">
        <v>76</v>
      </c>
      <c r="E631" s="16" t="str">
        <f>IFERROR(_xlfn.XLOOKUP(D631, tblCourses[CourseID], tblCourses[CourseName], ""), "")</f>
        <v>Fuel Tank Safety Phase 1 &amp; 2 Course (Initial)</v>
      </c>
      <c r="F631" s="17">
        <v>45973</v>
      </c>
      <c r="G631" s="17" t="str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1" s="15" t="str">
        <f ca="1">IF(OR(tblTraining[[#This Row],[Status]]="Renewed",tblTraining[[#This Row],[NextDueDate]]=""),"",tblTraining[[#This Row],[NextDueDate]]-TODAY())</f>
        <v/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95</v>
      </c>
      <c r="C632" s="15" t="str" cm="1">
        <f t="array" ref="C632">IFERROR(_xlfn.XLOOKUP(B632, tblPeople[PersonID], tblPeople[PersonName], ""), "")</f>
        <v>Walter Kibet</v>
      </c>
      <c r="D632" s="15" t="s">
        <v>75</v>
      </c>
      <c r="E632" s="16" t="str">
        <f>IFERROR(_xlfn.XLOOKUP(D632, tblCourses[CourseID], tblCourses[CourseName], ""), "")</f>
        <v>Fuel Tank Safety Phase 1 &amp; 2 Course (Refresher)</v>
      </c>
      <c r="F632" s="17">
        <v>45973</v>
      </c>
      <c r="G632" s="17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32" s="15">
        <f ca="1">IF(OR(tblTraining[[#This Row],[Status]]="Renewed",tblTraining[[#This Row],[NextDueDate]]=""),"",tblTraining[[#This Row],[NextDueDate]]-TODAY())</f>
        <v>417</v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211</v>
      </c>
      <c r="C633" s="15" t="str" cm="1">
        <f t="array" ref="C633">IFERROR(_xlfn.XLOOKUP(B633, tblPeople[PersonID], tblPeople[PersonName], ""), "")</f>
        <v>Angeline Nthakyo</v>
      </c>
      <c r="D633" s="15" t="s">
        <v>76</v>
      </c>
      <c r="E633" s="16" t="str">
        <f>IFERROR(_xlfn.XLOOKUP(D633, tblCourses[CourseID], tblCourses[CourseName], ""), "")</f>
        <v>Fuel Tank Safety Phase 1 &amp; 2 Course (Initial)</v>
      </c>
      <c r="F633" s="17">
        <v>45978</v>
      </c>
      <c r="G633" s="17" t="str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3" s="15" t="str">
        <f ca="1">IF(OR(tblTraining[[#This Row],[Status]]="Renewed",tblTraining[[#This Row],[NextDueDate]]=""),"",tblTraining[[#This Row],[NextDueDate]]-TODAY())</f>
        <v/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9"/>
        <v>633</v>
      </c>
      <c r="B634" s="15" t="s">
        <v>211</v>
      </c>
      <c r="C634" s="15" t="str" cm="1">
        <f t="array" ref="C634">IFERROR(_xlfn.XLOOKUP(B634, tblPeople[PersonID], tblPeople[PersonName], ""), "")</f>
        <v>Angeline Nthakyo</v>
      </c>
      <c r="D634" s="15" t="s">
        <v>75</v>
      </c>
      <c r="E634" s="16" t="str">
        <f>IFERROR(_xlfn.XLOOKUP(D634, tblCourses[CourseID], tblCourses[CourseName], ""), "")</f>
        <v>Fuel Tank Safety Phase 1 &amp; 2 Course (Refresher)</v>
      </c>
      <c r="F634" s="17">
        <v>45978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34" s="15">
        <f ca="1">IF(OR(tblTraining[[#This Row],[Status]]="Renewed",tblTraining[[#This Row],[NextDueDate]]=""),"",tblTraining[[#This Row],[NextDueDate]]-TODAY())</f>
        <v>422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107</v>
      </c>
      <c r="C635" s="15" t="str" cm="1">
        <f t="array" ref="C635">IFERROR(_xlfn.XLOOKUP(B635, tblPeople[PersonID], tblPeople[PersonName], ""), "")</f>
        <v>Julius Nyawira</v>
      </c>
      <c r="D635" s="15" t="s">
        <v>22</v>
      </c>
      <c r="E635" s="16" t="str">
        <f>IFERROR(_xlfn.XLOOKUP(D635, tblCourses[CourseID], tblCourses[CourseName], ""), "")</f>
        <v>Human Factors in Aviation (Refresher)</v>
      </c>
      <c r="F635" s="17">
        <v>45979</v>
      </c>
      <c r="G635" s="17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35" s="15">
        <f ca="1">IF(OR(tblTraining[[#This Row],[Status]]="Renewed",tblTraining[[#This Row],[NextDueDate]]=""),"",tblTraining[[#This Row],[NextDueDate]]-TODAY())</f>
        <v>423</v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268</v>
      </c>
      <c r="C636" s="15" t="str" cm="1">
        <f t="array" ref="C636">IFERROR(_xlfn.XLOOKUP(B636, tblPeople[PersonID], tblPeople[PersonName], ""), "")</f>
        <v>Dorine Edna</v>
      </c>
      <c r="D636" s="15" t="s">
        <v>124</v>
      </c>
      <c r="E636" s="16" t="str">
        <f>IFERROR(_xlfn.XLOOKUP(D636, tblCourses[CourseID], tblCourses[CourseName], ""), "")</f>
        <v>Aviation Security (Initial)</v>
      </c>
      <c r="F636" s="17">
        <v>45953</v>
      </c>
      <c r="G636" s="17" t="str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6" s="15" t="str">
        <f ca="1">IF(OR(tblTraining[[#This Row],[Status]]="Renewed",tblTraining[[#This Row],[NextDueDate]]=""),"",tblTraining[[#This Row],[NextDueDate]]-TODAY())</f>
        <v/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268</v>
      </c>
      <c r="C637" s="15" t="str" cm="1">
        <f t="array" ref="C637">IFERROR(_xlfn.XLOOKUP(B637, tblPeople[PersonID], tblPeople[PersonName], ""), "")</f>
        <v>Dorine Edna</v>
      </c>
      <c r="D637" s="15" t="s">
        <v>125</v>
      </c>
      <c r="E637" s="16" t="str">
        <f>IFERROR(_xlfn.XLOOKUP(D637, tblCourses[CourseID], tblCourses[CourseName], ""), "")</f>
        <v>Aviation Security (Refresher)</v>
      </c>
      <c r="F637" s="17">
        <v>45953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37" s="15">
        <f ca="1">IF(OR(tblTraining[[#This Row],[Status]]="Renewed",tblTraining[[#This Row],[NextDueDate]]=""),"",tblTraining[[#This Row],[NextDueDate]]-TODAY())</f>
        <v>397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98</v>
      </c>
      <c r="C638" s="15" t="str" cm="1">
        <f t="array" ref="C638">IFERROR(_xlfn.XLOOKUP(B638, tblPeople[PersonID], tblPeople[PersonName], ""), "")</f>
        <v>Thadeus Mong’are</v>
      </c>
      <c r="D638" s="15" t="s">
        <v>175</v>
      </c>
      <c r="E638" s="16" t="str">
        <f>IFERROR(_xlfn.XLOOKUP(D638, tblCourses[CourseID], tblCourses[CourseName], ""), "")</f>
        <v>Aircraft Maintenance Engineers' Licence</v>
      </c>
      <c r="F638" s="17">
        <v>45945</v>
      </c>
      <c r="G638" s="17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38" s="15">
        <f ca="1">IF(OR(tblTraining[[#This Row],[Status]]="Renewed",tblTraining[[#This Row],[NextDueDate]]=""),"",tblTraining[[#This Row],[NextDueDate]]-TODAY())</f>
        <v>389</v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204</v>
      </c>
      <c r="C639" s="15" t="str" cm="1">
        <f t="array" ref="C639">IFERROR(_xlfn.XLOOKUP(B639, tblPeople[PersonID], tblPeople[PersonName], ""), "")</f>
        <v>Andrew Ondiek</v>
      </c>
      <c r="D639" s="15" t="s">
        <v>175</v>
      </c>
      <c r="E639" s="16" t="str">
        <f>IFERROR(_xlfn.XLOOKUP(D639, tblCourses[CourseID], tblCourses[CourseName], ""), "")</f>
        <v>Aircraft Maintenance Engineers' Licence</v>
      </c>
      <c r="F639" s="17">
        <v>45440</v>
      </c>
      <c r="G639" s="17" t="str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9" s="15" t="str">
        <f ca="1">IF(OR(tblTraining[[#This Row],[Status]]="Renewed",tblTraining[[#This Row],[NextDueDate]]=""),"",tblTraining[[#This Row],[NextDueDate]]-TODAY())</f>
        <v/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0" spans="1:9" x14ac:dyDescent="0.25">
      <c r="A640" s="15">
        <f t="shared" si="9"/>
        <v>639</v>
      </c>
      <c r="B640" s="15" t="s">
        <v>204</v>
      </c>
      <c r="C640" s="15" t="str" cm="1">
        <f t="array" ref="C640">IFERROR(_xlfn.XLOOKUP(B640, tblPeople[PersonID], tblPeople[PersonName], ""), "")</f>
        <v>Andrew Ondiek</v>
      </c>
      <c r="D640" s="15" t="s">
        <v>17</v>
      </c>
      <c r="E640" s="16" t="str">
        <f>IFERROR(_xlfn.XLOOKUP(D640, tblCourses[CourseID], tblCourses[CourseName], ""), "")</f>
        <v>Safety Management Systems (Refresher)</v>
      </c>
      <c r="F640" s="17">
        <v>45846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40" s="15">
        <f ca="1">IF(OR(tblTraining[[#This Row],[Status]]="Renewed",tblTraining[[#This Row],[NextDueDate]]=""),"",tblTraining[[#This Row],[NextDueDate]]-TODAY())</f>
        <v>290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204</v>
      </c>
      <c r="C641" s="15" t="str" cm="1">
        <f t="array" ref="C641">IFERROR(_xlfn.XLOOKUP(B641, tblPeople[PersonID], tblPeople[PersonName], ""), "")</f>
        <v>Andrew Ondiek</v>
      </c>
      <c r="D641" s="15" t="s">
        <v>20</v>
      </c>
      <c r="E641" s="16" t="str">
        <f>IFERROR(_xlfn.XLOOKUP(D641, tblCourses[CourseID], tblCourses[CourseName], ""), "")</f>
        <v>Safety Management Systems (Initial)</v>
      </c>
      <c r="F641" s="17">
        <v>45846</v>
      </c>
      <c r="G641" s="17" t="str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1" s="15" t="str">
        <f ca="1">IF(OR(tblTraining[[#This Row],[Status]]="Renewed",tblTraining[[#This Row],[NextDueDate]]=""),"",tblTraining[[#This Row],[NextDueDate]]-TODAY())</f>
        <v/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204</v>
      </c>
      <c r="C642" s="15" t="str" cm="1">
        <f t="array" ref="C642">IFERROR(_xlfn.XLOOKUP(B642, tblPeople[PersonID], tblPeople[PersonName], ""), "")</f>
        <v>Andrew Ondiek</v>
      </c>
      <c r="D642" s="15" t="s">
        <v>24</v>
      </c>
      <c r="E642" s="16" t="str">
        <f>IFERROR(_xlfn.XLOOKUP(D642, tblCourses[CourseID], tblCourses[CourseName], ""), "")</f>
        <v>Human Factors in Aviation (Initial)</v>
      </c>
      <c r="F642" s="17">
        <v>45937</v>
      </c>
      <c r="G642" s="17" t="str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2" s="15" t="str">
        <f ca="1">IF(OR(tblTraining[[#This Row],[Status]]="Renewed",tblTraining[[#This Row],[NextDueDate]]=""),"",tblTraining[[#This Row],[NextDueDate]]-TODAY())</f>
        <v/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204</v>
      </c>
      <c r="C643" s="15" t="str" cm="1">
        <f t="array" ref="C643">IFERROR(_xlfn.XLOOKUP(B643, tblPeople[PersonID], tblPeople[PersonName], ""), "")</f>
        <v>Andrew Ondiek</v>
      </c>
      <c r="D643" s="15" t="s">
        <v>22</v>
      </c>
      <c r="E643" s="16" t="str">
        <f>IFERROR(_xlfn.XLOOKUP(D643, tblCourses[CourseID], tblCourses[CourseName], ""), "")</f>
        <v>Human Factors in Aviation (Refresher)</v>
      </c>
      <c r="F643" s="17">
        <v>45937</v>
      </c>
      <c r="G643" s="17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43" s="15">
        <f ca="1">IF(OR(tblTraining[[#This Row],[Status]]="Renewed",tblTraining[[#This Row],[NextDueDate]]=""),"",tblTraining[[#This Row],[NextDueDate]]-TODAY())</f>
        <v>381</v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ref="A644:A707" si="10">A643+1</f>
        <v>643</v>
      </c>
      <c r="B644" s="15" t="s">
        <v>204</v>
      </c>
      <c r="C644" s="15" t="str" cm="1">
        <f t="array" ref="C644">IFERROR(_xlfn.XLOOKUP(B644, tblPeople[PersonID], tblPeople[PersonName], ""), "")</f>
        <v>Andrew Ondiek</v>
      </c>
      <c r="D644" s="15" t="s">
        <v>76</v>
      </c>
      <c r="E644" s="16" t="str">
        <f>IFERROR(_xlfn.XLOOKUP(D644, tblCourses[CourseID], tblCourses[CourseName], ""), "")</f>
        <v>Fuel Tank Safety Phase 1 &amp; 2 Course (Initial)</v>
      </c>
      <c r="F644" s="17">
        <v>45950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204</v>
      </c>
      <c r="C645" s="15" t="str" cm="1">
        <f t="array" ref="C645">IFERROR(_xlfn.XLOOKUP(B645, tblPeople[PersonID], tblPeople[PersonName], ""), "")</f>
        <v>Andrew Ondiek</v>
      </c>
      <c r="D645" s="15" t="s">
        <v>75</v>
      </c>
      <c r="E645" s="16" t="str">
        <f>IFERROR(_xlfn.XLOOKUP(D645, tblCourses[CourseID], tblCourses[CourseName], ""), "")</f>
        <v>Fuel Tank Safety Phase 1 &amp; 2 Course (Refresher)</v>
      </c>
      <c r="F645" s="17">
        <v>45950</v>
      </c>
      <c r="G645" s="17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45" s="15">
        <f ca="1">IF(OR(tblTraining[[#This Row],[Status]]="Renewed",tblTraining[[#This Row],[NextDueDate]]=""),"",tblTraining[[#This Row],[NextDueDate]]-TODAY())</f>
        <v>394</v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95</v>
      </c>
      <c r="C646" s="15" t="str" cm="1">
        <f t="array" ref="C646">IFERROR(_xlfn.XLOOKUP(B646, tblPeople[PersonID], tblPeople[PersonName], ""), "")</f>
        <v>Walter Kibet</v>
      </c>
      <c r="D646" s="15" t="s">
        <v>353</v>
      </c>
      <c r="E646" s="16" t="str">
        <f>IFERROR(_xlfn.XLOOKUP(D646, tblCourses[CourseID], tblCourses[CourseName], ""), "")</f>
        <v>Maintenance Procedures &amp; Standard Maintenance Practices (Initial)</v>
      </c>
      <c r="F646" s="17">
        <v>45786</v>
      </c>
      <c r="G646" s="17" t="str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6" s="15" t="str">
        <f ca="1">IF(OR(tblTraining[[#This Row],[Status]]="Renewed",tblTraining[[#This Row],[NextDueDate]]=""),"",tblTraining[[#This Row],[NextDueDate]]-TODAY())</f>
        <v/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90</v>
      </c>
      <c r="C647" s="15" t="str" cm="1">
        <f t="array" ref="C647">IFERROR(_xlfn.XLOOKUP(B647, tblPeople[PersonID], tblPeople[PersonName], ""), "")</f>
        <v>Kendra Nambisia</v>
      </c>
      <c r="D647" s="15" t="s">
        <v>353</v>
      </c>
      <c r="E647" s="16" t="str">
        <f>IFERROR(_xlfn.XLOOKUP(D647, tblCourses[CourseID], tblCourses[CourseName], ""), "")</f>
        <v>Maintenance Procedures &amp; Standard Maintenance Practices (Initial)</v>
      </c>
      <c r="F647" s="17">
        <v>45786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103</v>
      </c>
      <c r="C648" s="15" t="str" cm="1">
        <f t="array" ref="C648">IFERROR(_xlfn.XLOOKUP(B648, tblPeople[PersonID], tblPeople[PersonName], ""), "")</f>
        <v>Smith Harun</v>
      </c>
      <c r="D648" s="15" t="s">
        <v>353</v>
      </c>
      <c r="E648" s="16" t="str">
        <f>IFERROR(_xlfn.XLOOKUP(D648, tblCourses[CourseID], tblCourses[CourseName], ""), "")</f>
        <v>Maintenance Procedures &amp; Standard Maintenance Practices (Initial)</v>
      </c>
      <c r="F648" s="17">
        <v>45322</v>
      </c>
      <c r="G648" s="17" t="str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8" s="15" t="str">
        <f ca="1">IF(OR(tblTraining[[#This Row],[Status]]="Renewed",tblTraining[[#This Row],[NextDueDate]]=""),"",tblTraining[[#This Row],[NextDueDate]]-TODAY())</f>
        <v/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208</v>
      </c>
      <c r="C649" s="15" t="str" cm="1">
        <f t="array" ref="C649">IFERROR(_xlfn.XLOOKUP(B649, tblPeople[PersonID], tblPeople[PersonName], ""), "")</f>
        <v xml:space="preserve">Edwin Kemei </v>
      </c>
      <c r="D649" s="15" t="s">
        <v>353</v>
      </c>
      <c r="E649" s="16" t="str">
        <f>IFERROR(_xlfn.XLOOKUP(D649, tblCourses[CourseID], tblCourses[CourseName], ""), "")</f>
        <v>Maintenance Procedures &amp; Standard Maintenance Practices (Initial)</v>
      </c>
      <c r="F649" s="17">
        <v>45322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102</v>
      </c>
      <c r="C650" s="15" t="str" cm="1">
        <f t="array" ref="C650">IFERROR(_xlfn.XLOOKUP(B650, tblPeople[PersonID], tblPeople[PersonName], ""), "")</f>
        <v>William Mlati</v>
      </c>
      <c r="D650" s="15" t="s">
        <v>353</v>
      </c>
      <c r="E650" s="16" t="str">
        <f>IFERROR(_xlfn.XLOOKUP(D650, tblCourses[CourseID], tblCourses[CourseName], ""), "")</f>
        <v>Maintenance Procedures &amp; Standard Maintenance Practices (Initial)</v>
      </c>
      <c r="F650" s="17">
        <v>43444</v>
      </c>
      <c r="G650" s="17" t="str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0" s="15" t="str">
        <f ca="1">IF(OR(tblTraining[[#This Row],[Status]]="Renewed",tblTraining[[#This Row],[NextDueDate]]=""),"",tblTraining[[#This Row],[NextDueDate]]-TODAY())</f>
        <v/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135</v>
      </c>
      <c r="C651" s="15" t="str" cm="1">
        <f t="array" ref="C651">IFERROR(_xlfn.XLOOKUP(B651, tblPeople[PersonID], tblPeople[PersonName], ""), "")</f>
        <v>Francis Muriuki</v>
      </c>
      <c r="D651" s="15" t="s">
        <v>353</v>
      </c>
      <c r="E651" s="16" t="str">
        <f>IFERROR(_xlfn.XLOOKUP(D651, tblCourses[CourseID], tblCourses[CourseName], ""), "")</f>
        <v>Maintenance Procedures &amp; Standard Maintenance Practices (Initial)</v>
      </c>
      <c r="F651" s="17">
        <v>45322</v>
      </c>
      <c r="G651" s="17" t="str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1" s="15" t="str">
        <f ca="1">IF(OR(tblTraining[[#This Row],[Status]]="Renewed",tblTraining[[#This Row],[NextDueDate]]=""),"",tblTraining[[#This Row],[NextDueDate]]-TODAY())</f>
        <v/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82</v>
      </c>
      <c r="C652" s="15" t="str" cm="1">
        <f t="array" ref="C652">IFERROR(_xlfn.XLOOKUP(B652, tblPeople[PersonID], tblPeople[PersonName], ""), "")</f>
        <v>Philip Mwania</v>
      </c>
      <c r="D652" s="15" t="s">
        <v>353</v>
      </c>
      <c r="E652" s="16" t="str">
        <f>IFERROR(_xlfn.XLOOKUP(D652, tblCourses[CourseID], tblCourses[CourseName], ""), "")</f>
        <v>Maintenance Procedures &amp; Standard Maintenance Practices (Initial)</v>
      </c>
      <c r="F652" s="17">
        <v>45322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97</v>
      </c>
      <c r="C653" s="15" t="str" cm="1">
        <f t="array" ref="C653">IFERROR(_xlfn.XLOOKUP(B653, tblPeople[PersonID], tblPeople[PersonName], ""), "")</f>
        <v>Thomas Wambunya</v>
      </c>
      <c r="D653" s="15" t="s">
        <v>353</v>
      </c>
      <c r="E653" s="16" t="str">
        <f>IFERROR(_xlfn.XLOOKUP(D653, tblCourses[CourseID], tblCourses[CourseName], ""), "")</f>
        <v>Maintenance Procedures &amp; Standard Maintenance Practices (Initial)</v>
      </c>
      <c r="F653" s="17">
        <v>45322</v>
      </c>
      <c r="G653" s="17" t="str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3" s="15" t="str">
        <f ca="1">IF(OR(tblTraining[[#This Row],[Status]]="Renewed",tblTraining[[#This Row],[NextDueDate]]=""),"",tblTraining[[#This Row],[NextDueDate]]-TODAY())</f>
        <v/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105</v>
      </c>
      <c r="C654" s="15" t="str" cm="1">
        <f t="array" ref="C654">IFERROR(_xlfn.XLOOKUP(B654, tblPeople[PersonID], tblPeople[PersonName], ""), "")</f>
        <v>Fred Magotsi</v>
      </c>
      <c r="D654" s="15" t="s">
        <v>353</v>
      </c>
      <c r="E654" s="16" t="str">
        <f>IFERROR(_xlfn.XLOOKUP(D654, tblCourses[CourseID], tblCourses[CourseName], ""), "")</f>
        <v>Maintenance Procedures &amp; Standard Maintenance Practices (Initial)</v>
      </c>
      <c r="F654" s="17">
        <v>45328</v>
      </c>
      <c r="G654" s="17" t="str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4" s="15" t="str">
        <f ca="1">IF(OR(tblTraining[[#This Row],[Status]]="Renewed",tblTraining[[#This Row],[NextDueDate]]=""),"",tblTraining[[#This Row],[NextDueDate]]-TODAY())</f>
        <v/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106</v>
      </c>
      <c r="C655" s="15" t="str" cm="1">
        <f t="array" ref="C655">IFERROR(_xlfn.XLOOKUP(B655, tblPeople[PersonID], tblPeople[PersonName], ""), "")</f>
        <v>James Mugo</v>
      </c>
      <c r="D655" s="15" t="s">
        <v>353</v>
      </c>
      <c r="E655" s="16" t="str">
        <f>IFERROR(_xlfn.XLOOKUP(D655, tblCourses[CourseID], tblCourses[CourseName], ""), "")</f>
        <v>Maintenance Procedures &amp; Standard Maintenance Practices (Initial)</v>
      </c>
      <c r="F655" s="17">
        <v>45328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6" spans="1:9" x14ac:dyDescent="0.25">
      <c r="A656" s="15">
        <f t="shared" si="10"/>
        <v>655</v>
      </c>
      <c r="B656" s="15" t="s">
        <v>90</v>
      </c>
      <c r="C656" s="15" t="str" cm="1">
        <f t="array" ref="C656">IFERROR(_xlfn.XLOOKUP(B656, tblPeople[PersonID], tblPeople[PersonName], ""), "")</f>
        <v>Kendra Nambisia</v>
      </c>
      <c r="D656" s="15" t="s">
        <v>76</v>
      </c>
      <c r="E656" s="16" t="str">
        <f>IFERROR(_xlfn.XLOOKUP(D656, tblCourses[CourseID], tblCourses[CourseName], ""), "")</f>
        <v>Fuel Tank Safety Phase 1 &amp; 2 Course (Initial)</v>
      </c>
      <c r="F656" s="17">
        <v>45410</v>
      </c>
      <c r="G656" s="17" t="str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6" s="15" t="str">
        <f ca="1">IF(OR(tblTraining[[#This Row],[Status]]="Renewed",tblTraining[[#This Row],[NextDueDate]]=""),"",tblTraining[[#This Row],[NextDueDate]]-TODAY())</f>
        <v/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100</v>
      </c>
      <c r="C657" s="15" t="str" cm="1">
        <f t="array" ref="C657">IFERROR(_xlfn.XLOOKUP(B657, tblPeople[PersonID], tblPeople[PersonName], ""), "")</f>
        <v>John Muriithi</v>
      </c>
      <c r="D657" s="15" t="s">
        <v>353</v>
      </c>
      <c r="E657" s="16" t="str">
        <f>IFERROR(_xlfn.XLOOKUP(D657, tblCourses[CourseID], tblCourses[CourseName], ""), "")</f>
        <v>Maintenance Procedures &amp; Standard Maintenance Practices (Initial)</v>
      </c>
      <c r="F657" s="17">
        <v>45322</v>
      </c>
      <c r="G657" s="17" t="str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7" s="15" t="str">
        <f ca="1">IF(OR(tblTraining[[#This Row],[Status]]="Renewed",tblTraining[[#This Row],[NextDueDate]]=""),"",tblTraining[[#This Row],[NextDueDate]]-TODAY())</f>
        <v/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95</v>
      </c>
      <c r="C658" s="15" t="str" cm="1">
        <f t="array" ref="C658">IFERROR(_xlfn.XLOOKUP(B658, tblPeople[PersonID], tblPeople[PersonName], ""), "")</f>
        <v>Walter Kibet</v>
      </c>
      <c r="D658" s="15" t="s">
        <v>169</v>
      </c>
      <c r="E658" s="16" t="str">
        <f>IFERROR(_xlfn.XLOOKUP(D658, tblCourses[CourseID], tblCourses[CourseName], ""), "")</f>
        <v>Quality Management Systems</v>
      </c>
      <c r="F658" s="17">
        <v>45793</v>
      </c>
      <c r="G658" s="17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58" s="15">
        <f ca="1">IF(OR(tblTraining[[#This Row],[Status]]="Renewed",tblTraining[[#This Row],[NextDueDate]]=""),"",tblTraining[[#This Row],[NextDueDate]]-TODAY())</f>
        <v>603</v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95</v>
      </c>
      <c r="C659" s="15" t="str" cm="1">
        <f t="array" ref="C659">IFERROR(_xlfn.XLOOKUP(B659, tblPeople[PersonID], tblPeople[PersonName], ""), "")</f>
        <v>Walter Kibet</v>
      </c>
      <c r="D659" s="15" t="s">
        <v>219</v>
      </c>
      <c r="E659" s="16" t="str">
        <f>IFERROR(_xlfn.XLOOKUP(D659, tblCourses[CourseID], tblCourses[CourseName], ""), "")</f>
        <v>Quality Management Systems (Initial)</v>
      </c>
      <c r="F659" s="17">
        <v>45793</v>
      </c>
      <c r="G659" s="17" t="str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9" s="15" t="str">
        <f ca="1">IF(OR(tblTraining[[#This Row],[Status]]="Renewed",tblTraining[[#This Row],[NextDueDate]]=""),"",tblTraining[[#This Row],[NextDueDate]]-TODAY())</f>
        <v/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104</v>
      </c>
      <c r="C660" s="15" t="str" cm="1">
        <f t="array" ref="C660">IFERROR(_xlfn.XLOOKUP(B660, tblPeople[PersonID], tblPeople[PersonName], ""), "")</f>
        <v>Douglas Hurgins</v>
      </c>
      <c r="D660" s="15" t="s">
        <v>353</v>
      </c>
      <c r="E660" s="16" t="str">
        <f>IFERROR(_xlfn.XLOOKUP(D660, tblCourses[CourseID], tblCourses[CourseName], ""), "")</f>
        <v>Maintenance Procedures &amp; Standard Maintenance Practices (Initial)</v>
      </c>
      <c r="F660" s="17">
        <v>43620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104</v>
      </c>
      <c r="C661" s="15" t="str" cm="1">
        <f t="array" ref="C661">IFERROR(_xlfn.XLOOKUP(B661, tblPeople[PersonID], tblPeople[PersonName], ""), "")</f>
        <v>Douglas Hurgins</v>
      </c>
      <c r="D661" s="15" t="s">
        <v>198</v>
      </c>
      <c r="E661" s="16" t="str">
        <f>IFERROR(_xlfn.XLOOKUP(D661, tblCourses[CourseID], tblCourses[CourseName], ""), "")</f>
        <v>Maintenance Procedures &amp; Standard Maintenance Practices (Refresher)</v>
      </c>
      <c r="F661" s="17">
        <v>45328</v>
      </c>
      <c r="G661" s="17" t="str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1" s="15" t="str">
        <f ca="1">IF(OR(tblTraining[[#This Row],[Status]]="Renewed",tblTraining[[#This Row],[NextDueDate]]=""),"",tblTraining[[#This Row],[NextDueDate]]-TODAY())</f>
        <v/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2" spans="1:9" x14ac:dyDescent="0.25">
      <c r="A662" s="15">
        <f t="shared" si="10"/>
        <v>661</v>
      </c>
      <c r="B662" s="15" t="s">
        <v>107</v>
      </c>
      <c r="C662" s="15" t="str" cm="1">
        <f t="array" ref="C662">IFERROR(_xlfn.XLOOKUP(B662, tblPeople[PersonID], tblPeople[PersonName], ""), "")</f>
        <v>Julius Nyawira</v>
      </c>
      <c r="D662" s="15" t="s">
        <v>353</v>
      </c>
      <c r="E662" s="16" t="str">
        <f>IFERROR(_xlfn.XLOOKUP(D662, tblCourses[CourseID], tblCourses[CourseName], ""), "")</f>
        <v>Maintenance Procedures &amp; Standard Maintenance Practices (Initial)</v>
      </c>
      <c r="F662" s="17">
        <v>43167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107</v>
      </c>
      <c r="C663" s="15" t="str" cm="1">
        <f t="array" ref="C663">IFERROR(_xlfn.XLOOKUP(B663, tblPeople[PersonID], tblPeople[PersonName], ""), "")</f>
        <v>Julius Nyawira</v>
      </c>
      <c r="D663" s="15" t="s">
        <v>198</v>
      </c>
      <c r="E663" s="16" t="str">
        <f>IFERROR(_xlfn.XLOOKUP(D663, tblCourses[CourseID], tblCourses[CourseName], ""), "")</f>
        <v>Maintenance Procedures &amp; Standard Maintenance Practices (Refresher)</v>
      </c>
      <c r="F663" s="17">
        <v>45322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4" spans="1:9" x14ac:dyDescent="0.25">
      <c r="A664" s="15">
        <f t="shared" si="10"/>
        <v>663</v>
      </c>
      <c r="B664" s="15" t="s">
        <v>83</v>
      </c>
      <c r="C664" s="15" t="str" cm="1">
        <f t="array" ref="C664">IFERROR(_xlfn.XLOOKUP(B664, tblPeople[PersonID], tblPeople[PersonName], ""), "")</f>
        <v>Wycliffe Kanana</v>
      </c>
      <c r="D664" s="15" t="s">
        <v>353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43520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83</v>
      </c>
      <c r="C665" s="15" t="str" cm="1">
        <f t="array" ref="C665">IFERROR(_xlfn.XLOOKUP(B665, tblPeople[PersonID], tblPeople[PersonName], ""), "")</f>
        <v>Wycliffe Kanana</v>
      </c>
      <c r="D665" s="15" t="s">
        <v>198</v>
      </c>
      <c r="E665" s="16" t="str">
        <f>IFERROR(_xlfn.XLOOKUP(D665, tblCourses[CourseID], tblCourses[CourseName], ""), "")</f>
        <v>Maintenance Procedures &amp; Standard Maintenance Practices (Refresher)</v>
      </c>
      <c r="F665" s="17">
        <v>43520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66" spans="1:9" x14ac:dyDescent="0.25">
      <c r="A666" s="15">
        <f t="shared" si="10"/>
        <v>665</v>
      </c>
      <c r="B666" s="15" t="s">
        <v>113</v>
      </c>
      <c r="C666" s="15" t="str" cm="1">
        <f t="array" ref="C666">IFERROR(_xlfn.XLOOKUP(B666, tblPeople[PersonID], tblPeople[PersonName], ""), "")</f>
        <v>Ann Mwangi</v>
      </c>
      <c r="D666" s="15" t="s">
        <v>353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43756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113</v>
      </c>
      <c r="C667" s="15" t="str" cm="1">
        <f t="array" ref="C667">IFERROR(_xlfn.XLOOKUP(B667, tblPeople[PersonID], tblPeople[PersonName], ""), "")</f>
        <v>Ann Mwangi</v>
      </c>
      <c r="D667" s="15" t="s">
        <v>198</v>
      </c>
      <c r="E667" s="16" t="str">
        <f>IFERROR(_xlfn.XLOOKUP(D667, tblCourses[CourseID], tblCourses[CourseName], ""), "")</f>
        <v>Maintenance Procedures &amp; Standard Maintenance Practices (Refresher)</v>
      </c>
      <c r="F667" s="17">
        <v>45322</v>
      </c>
      <c r="G667" s="17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67" s="15">
        <f ca="1">IF(OR(tblTraining[[#This Row],[Status]]="Renewed",tblTraining[[#This Row],[NextDueDate]]=""),"",tblTraining[[#This Row],[NextDueDate]]-TODAY())</f>
        <v>-233</v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68" spans="1:9" x14ac:dyDescent="0.25">
      <c r="A668" s="15">
        <f t="shared" si="10"/>
        <v>667</v>
      </c>
      <c r="B668" s="15" t="s">
        <v>117</v>
      </c>
      <c r="C668" s="15" t="str" cm="1">
        <f t="array" ref="C668">IFERROR(_xlfn.XLOOKUP(B668, tblPeople[PersonID], tblPeople[PersonName], ""), "")</f>
        <v>Mercy Etende</v>
      </c>
      <c r="D668" s="15" t="s">
        <v>353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43871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117</v>
      </c>
      <c r="C669" s="15" t="str" cm="1">
        <f t="array" ref="C669">IFERROR(_xlfn.XLOOKUP(B669, tblPeople[PersonID], tblPeople[PersonName], ""), "")</f>
        <v>Mercy Etende</v>
      </c>
      <c r="D669" s="15" t="s">
        <v>198</v>
      </c>
      <c r="E669" s="16" t="str">
        <f>IFERROR(_xlfn.XLOOKUP(D669, tblCourses[CourseID], tblCourses[CourseName], ""), "")</f>
        <v>Maintenance Procedures &amp; Standard Maintenance Practices (Refresher)</v>
      </c>
      <c r="F669" s="17">
        <v>43871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0" spans="1:9" x14ac:dyDescent="0.25">
      <c r="A670" s="15">
        <f t="shared" si="10"/>
        <v>669</v>
      </c>
      <c r="B670" s="15" t="s">
        <v>156</v>
      </c>
      <c r="C670" s="15" t="str" cm="1">
        <f t="array" ref="C670">IFERROR(_xlfn.XLOOKUP(B670, tblPeople[PersonID], tblPeople[PersonName], ""), "")</f>
        <v>Stephen Mutambu</v>
      </c>
      <c r="D670" s="15" t="s">
        <v>353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43896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156</v>
      </c>
      <c r="C671" s="15" t="str" cm="1">
        <f t="array" ref="C671">IFERROR(_xlfn.XLOOKUP(B671, tblPeople[PersonID], tblPeople[PersonName], ""), "")</f>
        <v>Stephen Mutambu</v>
      </c>
      <c r="D671" s="15" t="s">
        <v>198</v>
      </c>
      <c r="E671" s="16" t="str">
        <f>IFERROR(_xlfn.XLOOKUP(D671, tblCourses[CourseID], tblCourses[CourseName], ""), "")</f>
        <v>Maintenance Procedures &amp; Standard Maintenance Practices (Refresher)</v>
      </c>
      <c r="F671" s="17">
        <v>43896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2" spans="1:9" x14ac:dyDescent="0.25">
      <c r="A672" s="15">
        <f t="shared" si="10"/>
        <v>671</v>
      </c>
      <c r="B672" s="15" t="s">
        <v>162</v>
      </c>
      <c r="C672" s="15" t="str" cm="1">
        <f t="array" ref="C672">IFERROR(_xlfn.XLOOKUP(B672, tblPeople[PersonID], tblPeople[PersonName], ""), "")</f>
        <v>Hannah Wambui</v>
      </c>
      <c r="D672" s="15" t="s">
        <v>353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44211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162</v>
      </c>
      <c r="C673" s="15" t="str" cm="1">
        <f t="array" ref="C673">IFERROR(_xlfn.XLOOKUP(B673, tblPeople[PersonID], tblPeople[PersonName], ""), "")</f>
        <v>Hannah Wambui</v>
      </c>
      <c r="D673" s="15" t="s">
        <v>198</v>
      </c>
      <c r="E673" s="16" t="str">
        <f>IFERROR(_xlfn.XLOOKUP(D673, tblCourses[CourseID], tblCourses[CourseName], ""), "")</f>
        <v>Maintenance Procedures &amp; Standard Maintenance Practices (Refresher)</v>
      </c>
      <c r="F673" s="17">
        <v>45322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4" spans="1:9" x14ac:dyDescent="0.25">
      <c r="A674" s="15">
        <f t="shared" si="10"/>
        <v>673</v>
      </c>
      <c r="B674" s="15" t="s">
        <v>99</v>
      </c>
      <c r="C674" s="15" t="str" cm="1">
        <f t="array" ref="C674">IFERROR(_xlfn.XLOOKUP(B674, tblPeople[PersonID], tblPeople[PersonName], ""), "")</f>
        <v>Bernard Kibiwott</v>
      </c>
      <c r="D674" s="15" t="s">
        <v>353</v>
      </c>
      <c r="E674" s="16" t="str">
        <f>IFERROR(_xlfn.XLOOKUP(D674, tblCourses[CourseID], tblCourses[CourseName], ""), "")</f>
        <v>Maintenance Procedures &amp; Standard Maintenance Practices (Initial)</v>
      </c>
      <c r="F674" s="17">
        <v>44519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99</v>
      </c>
      <c r="C675" s="15" t="str" cm="1">
        <f t="array" ref="C675">IFERROR(_xlfn.XLOOKUP(B675, tblPeople[PersonID], tblPeople[PersonName], ""), "")</f>
        <v>Bernard Kibiwott</v>
      </c>
      <c r="D675" s="15" t="s">
        <v>198</v>
      </c>
      <c r="E675" s="16" t="str">
        <f>IFERROR(_xlfn.XLOOKUP(D675, tblCourses[CourseID], tblCourses[CourseName], ""), "")</f>
        <v>Maintenance Procedures &amp; Standard Maintenance Practices (Refresher)</v>
      </c>
      <c r="F675" s="17">
        <v>44519</v>
      </c>
      <c r="G675" s="17" t="str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5" s="15" t="str">
        <f ca="1">IF(OR(tblTraining[[#This Row],[Status]]="Renewed",tblTraining[[#This Row],[NextDueDate]]=""),"",tblTraining[[#This Row],[NextDueDate]]-TODAY())</f>
        <v/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6" spans="1:9" x14ac:dyDescent="0.25">
      <c r="A676" s="15">
        <f t="shared" si="10"/>
        <v>675</v>
      </c>
      <c r="B676" s="15" t="s">
        <v>85</v>
      </c>
      <c r="C676" s="15" t="str" cm="1">
        <f t="array" ref="C676">IFERROR(_xlfn.XLOOKUP(B676, tblPeople[PersonID], tblPeople[PersonName], ""), "")</f>
        <v>Titus Shunza</v>
      </c>
      <c r="D676" s="15" t="s">
        <v>353</v>
      </c>
      <c r="E676" s="16" t="str">
        <f>IFERROR(_xlfn.XLOOKUP(D676, tblCourses[CourseID], tblCourses[CourseName], ""), "")</f>
        <v>Maintenance Procedures &amp; Standard Maintenance Practices (Initial)</v>
      </c>
      <c r="F676" s="17">
        <v>44505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98</v>
      </c>
      <c r="C677" s="15" t="str" cm="1">
        <f t="array" ref="C677">IFERROR(_xlfn.XLOOKUP(B677, tblPeople[PersonID], tblPeople[PersonName], ""), "")</f>
        <v>Thadeus Mong’are</v>
      </c>
      <c r="D677" s="15" t="s">
        <v>353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44519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84</v>
      </c>
      <c r="C678" s="15" t="str" cm="1">
        <f t="array" ref="C678">IFERROR(_xlfn.XLOOKUP(B678, tblPeople[PersonID], tblPeople[PersonName], ""), "")</f>
        <v>Patrick Musau</v>
      </c>
      <c r="D678" s="15" t="s">
        <v>353</v>
      </c>
      <c r="E678" s="16" t="str">
        <f>IFERROR(_xlfn.XLOOKUP(D678, tblCourses[CourseID], tblCourses[CourseName], ""), "")</f>
        <v>Maintenance Procedures &amp; Standard Maintenance Practices (Initial)</v>
      </c>
      <c r="F678" s="17">
        <v>44505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9" spans="1:9" x14ac:dyDescent="0.25">
      <c r="A679" s="15">
        <f t="shared" si="10"/>
        <v>678</v>
      </c>
      <c r="B679" s="15" t="s">
        <v>84</v>
      </c>
      <c r="C679" s="15" t="str" cm="1">
        <f t="array" ref="C679">IFERROR(_xlfn.XLOOKUP(B679, tblPeople[PersonID], tblPeople[PersonName], ""), "")</f>
        <v>Patrick Musau</v>
      </c>
      <c r="D679" s="15" t="s">
        <v>198</v>
      </c>
      <c r="E679" s="16" t="str">
        <f>IFERROR(_xlfn.XLOOKUP(D679, tblCourses[CourseID], tblCourses[CourseName], ""), "")</f>
        <v>Maintenance Procedures &amp; Standard Maintenance Practices (Refresher)</v>
      </c>
      <c r="F679" s="17">
        <v>45322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0" spans="1:9" x14ac:dyDescent="0.25">
      <c r="A680" s="15">
        <f t="shared" si="10"/>
        <v>679</v>
      </c>
      <c r="B680" s="15" t="s">
        <v>87</v>
      </c>
      <c r="C680" s="15" t="str" cm="1">
        <f t="array" ref="C680">IFERROR(_xlfn.XLOOKUP(B680, tblPeople[PersonID], tblPeople[PersonName], ""), "")</f>
        <v>Sydney Sawe</v>
      </c>
      <c r="D680" s="15" t="s">
        <v>353</v>
      </c>
      <c r="E680" s="16" t="str">
        <f>IFERROR(_xlfn.XLOOKUP(D680, tblCourses[CourseID], tblCourses[CourseName], ""), "")</f>
        <v>Maintenance Procedures &amp; Standard Maintenance Practices (Initial)</v>
      </c>
      <c r="F680" s="17">
        <v>44706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1" spans="1:9" x14ac:dyDescent="0.25">
      <c r="A681" s="15">
        <f t="shared" si="10"/>
        <v>680</v>
      </c>
      <c r="B681" s="15" t="s">
        <v>88</v>
      </c>
      <c r="C681" s="15" t="str" cm="1">
        <f t="array" ref="C681">IFERROR(_xlfn.XLOOKUP(B681, tblPeople[PersonID], tblPeople[PersonName], ""), "")</f>
        <v>Michael Njihia</v>
      </c>
      <c r="D681" s="15" t="s">
        <v>353</v>
      </c>
      <c r="E681" s="16" t="str">
        <f>IFERROR(_xlfn.XLOOKUP(D681, tblCourses[CourseID], tblCourses[CourseName], ""), "")</f>
        <v>Maintenance Procedures &amp; Standard Maintenance Practices (Initial)</v>
      </c>
      <c r="F681" s="17">
        <v>44706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2" spans="1:9" x14ac:dyDescent="0.25">
      <c r="A682" s="15">
        <f t="shared" si="10"/>
        <v>681</v>
      </c>
      <c r="B682" s="15" t="s">
        <v>88</v>
      </c>
      <c r="C682" s="15" t="str" cm="1">
        <f t="array" ref="C682">IFERROR(_xlfn.XLOOKUP(B682, tblPeople[PersonID], tblPeople[PersonName], ""), "")</f>
        <v>Michael Njihia</v>
      </c>
      <c r="D682" s="15" t="s">
        <v>198</v>
      </c>
      <c r="E682" s="16" t="str">
        <f>IFERROR(_xlfn.XLOOKUP(D682, tblCourses[CourseID], tblCourses[CourseName], ""), "")</f>
        <v>Maintenance Procedures &amp; Standard Maintenance Practices (Refresher)</v>
      </c>
      <c r="F682" s="17">
        <v>44706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3" spans="1:9" x14ac:dyDescent="0.25">
      <c r="A683" s="15">
        <f t="shared" si="10"/>
        <v>682</v>
      </c>
      <c r="B683" s="15" t="s">
        <v>101</v>
      </c>
      <c r="C683" s="15" t="str" cm="1">
        <f t="array" ref="C683">IFERROR(_xlfn.XLOOKUP(B683, tblPeople[PersonID], tblPeople[PersonName], ""), "")</f>
        <v>Paul Mzera</v>
      </c>
      <c r="D683" s="15" t="s">
        <v>353</v>
      </c>
      <c r="E683" s="16" t="str">
        <f>IFERROR(_xlfn.XLOOKUP(D683, tblCourses[CourseID], tblCourses[CourseName], ""), "")</f>
        <v>Maintenance Procedures &amp; Standard Maintenance Practices (Initial)</v>
      </c>
      <c r="F683" s="17">
        <v>44706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4" spans="1:9" x14ac:dyDescent="0.25">
      <c r="A684" s="15">
        <f t="shared" si="10"/>
        <v>683</v>
      </c>
      <c r="B684" s="15" t="s">
        <v>101</v>
      </c>
      <c r="C684" s="15" t="str" cm="1">
        <f t="array" ref="C684">IFERROR(_xlfn.XLOOKUP(B684, tblPeople[PersonID], tblPeople[PersonName], ""), "")</f>
        <v>Paul Mzera</v>
      </c>
      <c r="D684" s="15" t="s">
        <v>198</v>
      </c>
      <c r="E684" s="16" t="str">
        <f>IFERROR(_xlfn.XLOOKUP(D684, tblCourses[CourseID], tblCourses[CourseName], ""), "")</f>
        <v>Maintenance Procedures &amp; Standard Maintenance Practices (Refresher)</v>
      </c>
      <c r="F684" s="17">
        <v>44706</v>
      </c>
      <c r="G684" s="17" t="str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4" s="15" t="str">
        <f ca="1">IF(OR(tblTraining[[#This Row],[Status]]="Renewed",tblTraining[[#This Row],[NextDueDate]]=""),"",tblTraining[[#This Row],[NextDueDate]]-TODAY())</f>
        <v/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5" spans="1:9" x14ac:dyDescent="0.25">
      <c r="A685" s="15">
        <f t="shared" si="10"/>
        <v>684</v>
      </c>
      <c r="B685" s="15" t="s">
        <v>86</v>
      </c>
      <c r="C685" s="15" t="str" cm="1">
        <f t="array" ref="C685">IFERROR(_xlfn.XLOOKUP(B685, tblPeople[PersonID], tblPeople[PersonName], ""), "")</f>
        <v>Samuel Okoth</v>
      </c>
      <c r="D685" s="15" t="s">
        <v>353</v>
      </c>
      <c r="E685" s="16" t="str">
        <f>IFERROR(_xlfn.XLOOKUP(D685, tblCourses[CourseID], tblCourses[CourseName], ""), "")</f>
        <v>Maintenance Procedures &amp; Standard Maintenance Practices (Initial)</v>
      </c>
      <c r="F685" s="17">
        <v>44706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6" spans="1:9" x14ac:dyDescent="0.25">
      <c r="A686" s="15">
        <f t="shared" si="10"/>
        <v>685</v>
      </c>
      <c r="B686" s="15" t="s">
        <v>86</v>
      </c>
      <c r="C686" s="15" t="str" cm="1">
        <f t="array" ref="C686">IFERROR(_xlfn.XLOOKUP(B686, tblPeople[PersonID], tblPeople[PersonName], ""), "")</f>
        <v>Samuel Okoth</v>
      </c>
      <c r="D686" s="15" t="s">
        <v>198</v>
      </c>
      <c r="E686" s="16" t="str">
        <f>IFERROR(_xlfn.XLOOKUP(D686, tblCourses[CourseID], tblCourses[CourseName], ""), "")</f>
        <v>Maintenance Procedures &amp; Standard Maintenance Practices (Refresher)</v>
      </c>
      <c r="F686" s="17">
        <v>44706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7" spans="1:9" x14ac:dyDescent="0.25">
      <c r="A687" s="15">
        <f t="shared" si="10"/>
        <v>686</v>
      </c>
      <c r="B687" s="15" t="s">
        <v>155</v>
      </c>
      <c r="C687" s="15" t="str" cm="1">
        <f t="array" ref="C687">IFERROR(_xlfn.XLOOKUP(B687, tblPeople[PersonID], tblPeople[PersonName], ""), "")</f>
        <v>Urbanus Muema</v>
      </c>
      <c r="D687" s="15" t="s">
        <v>353</v>
      </c>
      <c r="E687" s="16" t="str">
        <f>IFERROR(_xlfn.XLOOKUP(D687, tblCourses[CourseID], tblCourses[CourseName], ""), "")</f>
        <v>Maintenance Procedures &amp; Standard Maintenance Practices (Initial)</v>
      </c>
      <c r="F687" s="17">
        <v>44706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8" spans="1:9" x14ac:dyDescent="0.25">
      <c r="A688" s="15">
        <f t="shared" si="10"/>
        <v>687</v>
      </c>
      <c r="B688" s="15" t="s">
        <v>155</v>
      </c>
      <c r="C688" s="15" t="str" cm="1">
        <f t="array" ref="C688">IFERROR(_xlfn.XLOOKUP(B688, tblPeople[PersonID], tblPeople[PersonName], ""), "")</f>
        <v>Urbanus Muema</v>
      </c>
      <c r="D688" s="15" t="s">
        <v>198</v>
      </c>
      <c r="E688" s="16" t="str">
        <f>IFERROR(_xlfn.XLOOKUP(D688, tblCourses[CourseID], tblCourses[CourseName], ""), "")</f>
        <v>Maintenance Procedures &amp; Standard Maintenance Practices (Refresher)</v>
      </c>
      <c r="F688" s="17">
        <v>44706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9" spans="1:9" x14ac:dyDescent="0.25">
      <c r="A689" s="15">
        <f t="shared" si="10"/>
        <v>688</v>
      </c>
      <c r="B689" s="15" t="s">
        <v>364</v>
      </c>
      <c r="C689" s="15" t="str" cm="1">
        <f t="array" ref="C689">IFERROR(_xlfn.XLOOKUP(B689, tblPeople[PersonID], tblPeople[PersonName], ""), "")</f>
        <v>Alex Avedi</v>
      </c>
      <c r="D689" s="15" t="s">
        <v>353</v>
      </c>
      <c r="E689" s="16" t="str">
        <f>IFERROR(_xlfn.XLOOKUP(D689, tblCourses[CourseID], tblCourses[CourseName], ""), "")</f>
        <v>Maintenance Procedures &amp; Standard Maintenance Practices (Initial)</v>
      </c>
      <c r="F689" s="17">
        <v>45229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0" spans="1:9" x14ac:dyDescent="0.25">
      <c r="A690" s="15">
        <f t="shared" si="10"/>
        <v>689</v>
      </c>
      <c r="B690" s="15" t="s">
        <v>364</v>
      </c>
      <c r="C690" s="15" t="str" cm="1">
        <f t="array" ref="C690">IFERROR(_xlfn.XLOOKUP(B690, tblPeople[PersonID], tblPeople[PersonName], ""), "")</f>
        <v>Alex Avedi</v>
      </c>
      <c r="D690" s="15" t="s">
        <v>198</v>
      </c>
      <c r="E690" s="16" t="str">
        <f>IFERROR(_xlfn.XLOOKUP(D690, tblCourses[CourseID], tblCourses[CourseName], ""), "")</f>
        <v>Maintenance Procedures &amp; Standard Maintenance Practices (Refresher)</v>
      </c>
      <c r="F690" s="17">
        <v>45229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1" spans="1:9" x14ac:dyDescent="0.25">
      <c r="A691" s="15">
        <f t="shared" si="10"/>
        <v>690</v>
      </c>
      <c r="B691" s="15" t="s">
        <v>364</v>
      </c>
      <c r="C691" s="15" t="str" cm="1">
        <f t="array" ref="C691">IFERROR(_xlfn.XLOOKUP(B691, tblPeople[PersonID], tblPeople[PersonName], ""), "")</f>
        <v>Alex Avedi</v>
      </c>
      <c r="D691" s="15" t="s">
        <v>126</v>
      </c>
      <c r="E691" s="16" t="str">
        <f>IFERROR(_xlfn.XLOOKUP(D691, tblCourses[CourseID], tblCourses[CourseName], ""), "")</f>
        <v>Maintenance Indoctrination</v>
      </c>
      <c r="F691" s="17">
        <v>45229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0"/>
        <v>691</v>
      </c>
      <c r="B692" s="15" t="s">
        <v>112</v>
      </c>
      <c r="C692" s="15" t="str" cm="1">
        <f t="array" ref="C692">IFERROR(_xlfn.XLOOKUP(B692, tblPeople[PersonID], tblPeople[PersonName], ""), "")</f>
        <v>Patrick Mwangi</v>
      </c>
      <c r="D692" s="15" t="s">
        <v>353</v>
      </c>
      <c r="E692" s="16" t="str">
        <f>IFERROR(_xlfn.XLOOKUP(D692, tblCourses[CourseID], tblCourses[CourseName], ""), "")</f>
        <v>Maintenance Procedures &amp; Standard Maintenance Practices (Initial)</v>
      </c>
      <c r="F692" s="17">
        <v>45344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3" spans="1:9" x14ac:dyDescent="0.25">
      <c r="A693" s="15">
        <f t="shared" si="10"/>
        <v>692</v>
      </c>
      <c r="B693" s="15" t="s">
        <v>112</v>
      </c>
      <c r="C693" s="15" t="str" cm="1">
        <f t="array" ref="C693">IFERROR(_xlfn.XLOOKUP(B693, tblPeople[PersonID], tblPeople[PersonName], ""), "")</f>
        <v>Patrick Mwangi</v>
      </c>
      <c r="D693" s="15" t="s">
        <v>198</v>
      </c>
      <c r="E693" s="16" t="str">
        <f>IFERROR(_xlfn.XLOOKUP(D693, tblCourses[CourseID], tblCourses[CourseName], ""), "")</f>
        <v>Maintenance Procedures &amp; Standard Maintenance Practices (Refresher)</v>
      </c>
      <c r="F693" s="17">
        <v>45344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4" spans="1:9" x14ac:dyDescent="0.25">
      <c r="A694" s="15">
        <f t="shared" si="10"/>
        <v>693</v>
      </c>
      <c r="B694" s="15" t="s">
        <v>94</v>
      </c>
      <c r="C694" s="15" t="str" cm="1">
        <f t="array" ref="C694">IFERROR(_xlfn.XLOOKUP(B694, tblPeople[PersonID], tblPeople[PersonName], ""), "")</f>
        <v>Moses Musyoka</v>
      </c>
      <c r="D694" s="15" t="s">
        <v>353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45344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94</v>
      </c>
      <c r="C695" s="15" t="str" cm="1">
        <f t="array" ref="C695">IFERROR(_xlfn.XLOOKUP(B695, tblPeople[PersonID], tblPeople[PersonName], ""), "")</f>
        <v>Moses Musyoka</v>
      </c>
      <c r="D695" s="15" t="s">
        <v>198</v>
      </c>
      <c r="E695" s="16" t="str">
        <f>IFERROR(_xlfn.XLOOKUP(D695, tblCourses[CourseID], tblCourses[CourseName], ""), "")</f>
        <v>Maintenance Procedures &amp; Standard Maintenance Practices (Refresher)</v>
      </c>
      <c r="F695" s="17">
        <v>45344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6" spans="1:9" x14ac:dyDescent="0.25">
      <c r="A696" s="15">
        <f t="shared" si="10"/>
        <v>695</v>
      </c>
      <c r="B696" s="15" t="s">
        <v>152</v>
      </c>
      <c r="C696" s="15" t="str" cm="1">
        <f t="array" ref="C696">IFERROR(_xlfn.XLOOKUP(B696, tblPeople[PersonID], tblPeople[PersonName], ""), "")</f>
        <v>Majid Mohamed</v>
      </c>
      <c r="D696" s="15" t="s">
        <v>353</v>
      </c>
      <c r="E696" s="16" t="str">
        <f>IFERROR(_xlfn.XLOOKUP(D696, tblCourses[CourseID], tblCourses[CourseName], ""), "")</f>
        <v>Maintenance Procedures &amp; Standard Maintenance Practices (Initial)</v>
      </c>
      <c r="F696" s="17">
        <v>45344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7" spans="1:9" x14ac:dyDescent="0.25">
      <c r="A697" s="15">
        <f t="shared" si="10"/>
        <v>696</v>
      </c>
      <c r="B697" s="15" t="s">
        <v>152</v>
      </c>
      <c r="C697" s="15" t="str" cm="1">
        <f t="array" ref="C697">IFERROR(_xlfn.XLOOKUP(B697, tblPeople[PersonID], tblPeople[PersonName], ""), "")</f>
        <v>Majid Mohamed</v>
      </c>
      <c r="D697" s="15" t="s">
        <v>126</v>
      </c>
      <c r="E697" s="16" t="str">
        <f>IFERROR(_xlfn.XLOOKUP(D697, tblCourses[CourseID], tblCourses[CourseName], ""), "")</f>
        <v>Maintenance Indoctrination</v>
      </c>
      <c r="F697" s="17">
        <v>45292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0"/>
        <v>697</v>
      </c>
      <c r="B698" s="15" t="s">
        <v>149</v>
      </c>
      <c r="C698" s="15" t="str" cm="1">
        <f t="array" ref="C698">IFERROR(_xlfn.XLOOKUP(B698, tblPeople[PersonID], tblPeople[PersonName], ""), "")</f>
        <v>Kea Kazungu</v>
      </c>
      <c r="D698" s="15" t="s">
        <v>353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43444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149</v>
      </c>
      <c r="C699" s="15" t="str" cm="1">
        <f t="array" ref="C699">IFERROR(_xlfn.XLOOKUP(B699, tblPeople[PersonID], tblPeople[PersonName], ""), "")</f>
        <v>Kea Kazungu</v>
      </c>
      <c r="D699" s="15" t="s">
        <v>198</v>
      </c>
      <c r="E699" s="16" t="str">
        <f>IFERROR(_xlfn.XLOOKUP(D699, tblCourses[CourseID], tblCourses[CourseName], ""), "")</f>
        <v>Maintenance Procedures &amp; Standard Maintenance Practices (Refresher)</v>
      </c>
      <c r="F699" s="17">
        <v>45322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0" spans="1:9" x14ac:dyDescent="0.25">
      <c r="A700" s="15">
        <f t="shared" si="10"/>
        <v>699</v>
      </c>
      <c r="B700" s="15" t="s">
        <v>153</v>
      </c>
      <c r="C700" s="15" t="str" cm="1">
        <f t="array" ref="C700">IFERROR(_xlfn.XLOOKUP(B700, tblPeople[PersonID], tblPeople[PersonName], ""), "")</f>
        <v>Judith Wandera</v>
      </c>
      <c r="D700" s="15" t="s">
        <v>353</v>
      </c>
      <c r="E700" s="16" t="str">
        <f>IFERROR(_xlfn.XLOOKUP(D700, tblCourses[CourseID], tblCourses[CourseName], ""), "")</f>
        <v>Maintenance Procedures &amp; Standard Maintenance Practices (Initial)</v>
      </c>
      <c r="F700" s="17">
        <v>45146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1" spans="1:9" x14ac:dyDescent="0.25">
      <c r="A701" s="15">
        <f t="shared" si="10"/>
        <v>700</v>
      </c>
      <c r="B701" s="15" t="s">
        <v>153</v>
      </c>
      <c r="C701" s="15" t="str" cm="1">
        <f t="array" ref="C701">IFERROR(_xlfn.XLOOKUP(B701, tblPeople[PersonID], tblPeople[PersonName], ""), "")</f>
        <v>Judith Wandera</v>
      </c>
      <c r="D701" s="15" t="s">
        <v>198</v>
      </c>
      <c r="E701" s="16" t="str">
        <f>IFERROR(_xlfn.XLOOKUP(D701, tblCourses[CourseID], tblCourses[CourseName], ""), "")</f>
        <v>Maintenance Procedures &amp; Standard Maintenance Practices (Refresher)</v>
      </c>
      <c r="F701" s="17">
        <v>45146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2" spans="1:9" x14ac:dyDescent="0.25">
      <c r="A702" s="15">
        <f t="shared" si="10"/>
        <v>701</v>
      </c>
      <c r="B702" s="15" t="s">
        <v>89</v>
      </c>
      <c r="C702" s="15" t="str" cm="1">
        <f t="array" ref="C702">IFERROR(_xlfn.XLOOKUP(B702, tblPeople[PersonID], tblPeople[PersonName], ""), "")</f>
        <v>Elina Guda</v>
      </c>
      <c r="D702" s="15" t="s">
        <v>353</v>
      </c>
      <c r="E702" s="16" t="str">
        <f>IFERROR(_xlfn.XLOOKUP(D702, tblCourses[CourseID], tblCourses[CourseName], ""), "")</f>
        <v>Maintenance Procedures &amp; Standard Maintenance Practices (Initial)</v>
      </c>
      <c r="F702" s="17">
        <v>44696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3" spans="1:9" x14ac:dyDescent="0.25">
      <c r="A703" s="15">
        <f t="shared" si="10"/>
        <v>702</v>
      </c>
      <c r="B703" s="15" t="s">
        <v>89</v>
      </c>
      <c r="C703" s="15" t="str" cm="1">
        <f t="array" ref="C703">IFERROR(_xlfn.XLOOKUP(B703, tblPeople[PersonID], tblPeople[PersonName], ""), "")</f>
        <v>Elina Guda</v>
      </c>
      <c r="D703" s="15" t="s">
        <v>198</v>
      </c>
      <c r="E703" s="16" t="str">
        <f>IFERROR(_xlfn.XLOOKUP(D703, tblCourses[CourseID], tblCourses[CourseName], ""), "")</f>
        <v>Maintenance Procedures &amp; Standard Maintenance Practices (Refresher)</v>
      </c>
      <c r="F703" s="17">
        <v>44696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4" spans="1:9" x14ac:dyDescent="0.25">
      <c r="A704" s="15">
        <f t="shared" si="10"/>
        <v>703</v>
      </c>
      <c r="B704" s="15" t="s">
        <v>91</v>
      </c>
      <c r="C704" s="15" t="str" cm="1">
        <f t="array" ref="C704">IFERROR(_xlfn.XLOOKUP(B704, tblPeople[PersonID], tblPeople[PersonName], ""), "")</f>
        <v>Dunstan Kwalanda</v>
      </c>
      <c r="D704" s="15" t="s">
        <v>353</v>
      </c>
      <c r="E704" s="16" t="str">
        <f>IFERROR(_xlfn.XLOOKUP(D704, tblCourses[CourseID], tblCourses[CourseName], ""), "")</f>
        <v>Maintenance Procedures &amp; Standard Maintenance Practices (Initial)</v>
      </c>
      <c r="F704" s="17">
        <v>45146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5" spans="1:9" x14ac:dyDescent="0.25">
      <c r="A705" s="15">
        <f t="shared" si="10"/>
        <v>704</v>
      </c>
      <c r="B705" s="15" t="s">
        <v>91</v>
      </c>
      <c r="C705" s="15" t="str" cm="1">
        <f t="array" ref="C705">IFERROR(_xlfn.XLOOKUP(B705, tblPeople[PersonID], tblPeople[PersonName], ""), "")</f>
        <v>Dunstan Kwalanda</v>
      </c>
      <c r="D705" s="15" t="s">
        <v>198</v>
      </c>
      <c r="E705" s="16" t="str">
        <f>IFERROR(_xlfn.XLOOKUP(D705, tblCourses[CourseID], tblCourses[CourseName], ""), "")</f>
        <v>Maintenance Procedures &amp; Standard Maintenance Practices (Refresher)</v>
      </c>
      <c r="F705" s="17">
        <v>45146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6" spans="1:9" x14ac:dyDescent="0.25">
      <c r="A706" s="15">
        <f t="shared" si="10"/>
        <v>705</v>
      </c>
      <c r="B706" s="15" t="s">
        <v>81</v>
      </c>
      <c r="C706" s="15" t="str" cm="1">
        <f t="array" ref="C706">IFERROR(_xlfn.XLOOKUP(B706, tblPeople[PersonID], tblPeople[PersonName], ""), "")</f>
        <v>Gideon Mwasio</v>
      </c>
      <c r="D706" s="15" t="s">
        <v>353</v>
      </c>
      <c r="E706" s="16" t="str">
        <f>IFERROR(_xlfn.XLOOKUP(D706, tblCourses[CourseID], tblCourses[CourseName], ""), "")</f>
        <v>Maintenance Procedures &amp; Standard Maintenance Practices (Initial)</v>
      </c>
      <c r="F706" s="17">
        <v>45146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7" spans="1:9" x14ac:dyDescent="0.25">
      <c r="A707" s="15">
        <f t="shared" si="10"/>
        <v>706</v>
      </c>
      <c r="B707" s="15" t="s">
        <v>81</v>
      </c>
      <c r="C707" s="15" t="str" cm="1">
        <f t="array" ref="C707">IFERROR(_xlfn.XLOOKUP(B707, tblPeople[PersonID], tblPeople[PersonName], ""), "")</f>
        <v>Gideon Mwasio</v>
      </c>
      <c r="D707" s="15" t="s">
        <v>198</v>
      </c>
      <c r="E707" s="16" t="str">
        <f>IFERROR(_xlfn.XLOOKUP(D707, tblCourses[CourseID], tblCourses[CourseName], ""), "")</f>
        <v>Maintenance Procedures &amp; Standard Maintenance Practices (Refresher)</v>
      </c>
      <c r="F707" s="17">
        <v>45146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8" spans="1:9" x14ac:dyDescent="0.25">
      <c r="A708" s="15">
        <f t="shared" ref="A708:A771" si="11">A707+1</f>
        <v>707</v>
      </c>
      <c r="B708" s="15" t="s">
        <v>118</v>
      </c>
      <c r="C708" s="15" t="str" cm="1">
        <f t="array" ref="C708">IFERROR(_xlfn.XLOOKUP(B708, tblPeople[PersonID], tblPeople[PersonName], ""), "")</f>
        <v>Michael Olunga</v>
      </c>
      <c r="D708" s="15" t="s">
        <v>353</v>
      </c>
      <c r="E708" s="16" t="str">
        <f>IFERROR(_xlfn.XLOOKUP(D708, tblCourses[CourseID], tblCourses[CourseName], ""), "")</f>
        <v>Maintenance Procedures &amp; Standard Maintenance Practices (Initial)</v>
      </c>
      <c r="F708" s="17">
        <v>43606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9" spans="1:9" x14ac:dyDescent="0.25">
      <c r="A709" s="15">
        <f t="shared" si="11"/>
        <v>708</v>
      </c>
      <c r="B709" s="15" t="s">
        <v>118</v>
      </c>
      <c r="C709" s="15" t="str" cm="1">
        <f t="array" ref="C709">IFERROR(_xlfn.XLOOKUP(B709, tblPeople[PersonID], tblPeople[PersonName], ""), "")</f>
        <v>Michael Olunga</v>
      </c>
      <c r="D709" s="15" t="s">
        <v>198</v>
      </c>
      <c r="E709" s="16" t="str">
        <f>IFERROR(_xlfn.XLOOKUP(D709, tblCourses[CourseID], tblCourses[CourseName], ""), "")</f>
        <v>Maintenance Procedures &amp; Standard Maintenance Practices (Refresher)</v>
      </c>
      <c r="F709" s="17">
        <v>45328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0" spans="1:9" x14ac:dyDescent="0.25">
      <c r="A710" s="15">
        <f t="shared" si="11"/>
        <v>709</v>
      </c>
      <c r="B710" s="15" t="s">
        <v>92</v>
      </c>
      <c r="C710" s="15" t="str" cm="1">
        <f t="array" ref="C710">IFERROR(_xlfn.XLOOKUP(B710, tblPeople[PersonID], tblPeople[PersonName], ""), "")</f>
        <v>Reuben Otieno</v>
      </c>
      <c r="D710" s="15" t="s">
        <v>353</v>
      </c>
      <c r="E710" s="16" t="str">
        <f>IFERROR(_xlfn.XLOOKUP(D710, tblCourses[CourseID], tblCourses[CourseName], ""), "")</f>
        <v>Maintenance Procedures &amp; Standard Maintenance Practices (Initial)</v>
      </c>
      <c r="F710" s="17">
        <v>45146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1" spans="1:9" x14ac:dyDescent="0.25">
      <c r="A711" s="15">
        <f t="shared" si="11"/>
        <v>710</v>
      </c>
      <c r="B711" s="15" t="s">
        <v>92</v>
      </c>
      <c r="C711" s="15" t="str" cm="1">
        <f t="array" ref="C711">IFERROR(_xlfn.XLOOKUP(B711, tblPeople[PersonID], tblPeople[PersonName], ""), "")</f>
        <v>Reuben Otieno</v>
      </c>
      <c r="D711" s="15" t="s">
        <v>198</v>
      </c>
      <c r="E711" s="16" t="str">
        <f>IFERROR(_xlfn.XLOOKUP(D711, tblCourses[CourseID], tblCourses[CourseName], ""), "")</f>
        <v>Maintenance Procedures &amp; Standard Maintenance Practices (Refresher)</v>
      </c>
      <c r="F711" s="17">
        <v>45146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2" spans="1:9" x14ac:dyDescent="0.25">
      <c r="A712" s="15">
        <f t="shared" si="11"/>
        <v>711</v>
      </c>
      <c r="B712" s="15" t="s">
        <v>93</v>
      </c>
      <c r="C712" s="15" t="str" cm="1">
        <f t="array" ref="C712">IFERROR(_xlfn.XLOOKUP(B712, tblPeople[PersonID], tblPeople[PersonName], ""), "")</f>
        <v>Stephen Tunje</v>
      </c>
      <c r="D712" s="15" t="s">
        <v>353</v>
      </c>
      <c r="E712" s="16" t="str">
        <f>IFERROR(_xlfn.XLOOKUP(D712, tblCourses[CourseID], tblCourses[CourseName], ""), "")</f>
        <v>Maintenance Procedures &amp; Standard Maintenance Practices (Initial)</v>
      </c>
      <c r="F712" s="17">
        <v>45146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3" spans="1:9" x14ac:dyDescent="0.25">
      <c r="A713" s="15">
        <f t="shared" si="11"/>
        <v>712</v>
      </c>
      <c r="B713" s="15" t="s">
        <v>93</v>
      </c>
      <c r="C713" s="15" t="str" cm="1">
        <f t="array" ref="C713">IFERROR(_xlfn.XLOOKUP(B713, tblPeople[PersonID], tblPeople[PersonName], ""), "")</f>
        <v>Stephen Tunje</v>
      </c>
      <c r="D713" s="15" t="s">
        <v>198</v>
      </c>
      <c r="E713" s="16" t="str">
        <f>IFERROR(_xlfn.XLOOKUP(D713, tblCourses[CourseID], tblCourses[CourseName], ""), "")</f>
        <v>Maintenance Procedures &amp; Standard Maintenance Practices (Refresher)</v>
      </c>
      <c r="F713" s="17">
        <v>45146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4" spans="1:9" x14ac:dyDescent="0.25">
      <c r="A714" s="15">
        <f t="shared" si="11"/>
        <v>713</v>
      </c>
      <c r="B714" s="15" t="s">
        <v>209</v>
      </c>
      <c r="C714" s="15" t="str" cm="1">
        <f t="array" ref="C714">IFERROR(_xlfn.XLOOKUP(B714, tblPeople[PersonID], tblPeople[PersonName], ""), "")</f>
        <v>Samuel Wacho</v>
      </c>
      <c r="D714" s="15" t="s">
        <v>353</v>
      </c>
      <c r="E714" s="16" t="str">
        <f>IFERROR(_xlfn.XLOOKUP(D714, tblCourses[CourseID], tblCourses[CourseName], ""), "")</f>
        <v>Maintenance Procedures &amp; Standard Maintenance Practices (Initial)</v>
      </c>
      <c r="F714" s="17">
        <v>45785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209</v>
      </c>
      <c r="C715" s="15" t="str" cm="1">
        <f t="array" ref="C715">IFERROR(_xlfn.XLOOKUP(B715, tblPeople[PersonID], tblPeople[PersonName], ""), "")</f>
        <v>Samuel Wacho</v>
      </c>
      <c r="D715" s="15" t="s">
        <v>198</v>
      </c>
      <c r="E715" s="16" t="str">
        <f>IFERROR(_xlfn.XLOOKUP(D715, tblCourses[CourseID], tblCourses[CourseName], ""), "")</f>
        <v>Maintenance Procedures &amp; Standard Maintenance Practices (Refresher)</v>
      </c>
      <c r="F715" s="17">
        <v>45785</v>
      </c>
      <c r="G715" s="17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15" s="15">
        <f ca="1">IF(OR(tblTraining[[#This Row],[Status]]="Renewed",tblTraining[[#This Row],[NextDueDate]]=""),"",tblTraining[[#This Row],[NextDueDate]]-TODAY())</f>
        <v>229</v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103</v>
      </c>
      <c r="C716" s="15" t="str" cm="1">
        <f t="array" ref="C716">IFERROR(_xlfn.XLOOKUP(B716, tblPeople[PersonID], tblPeople[PersonName], ""), "")</f>
        <v>Smith Harun</v>
      </c>
      <c r="D716" s="15" t="s">
        <v>175</v>
      </c>
      <c r="E716" s="16" t="str">
        <f>IFERROR(_xlfn.XLOOKUP(D716, tblCourses[CourseID], tblCourses[CourseName], ""), "")</f>
        <v>Aircraft Maintenance Engineers' Licence</v>
      </c>
      <c r="F716" s="17">
        <v>46044</v>
      </c>
      <c r="G716" s="17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16" s="15">
        <f ca="1">IF(OR(tblTraining[[#This Row],[Status]]="Renewed",tblTraining[[#This Row],[NextDueDate]]=""),"",tblTraining[[#This Row],[NextDueDate]]-TODAY())</f>
        <v>488</v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7" spans="1:9" x14ac:dyDescent="0.25">
      <c r="A717" s="15">
        <f t="shared" si="11"/>
        <v>716</v>
      </c>
      <c r="B717" s="15" t="s">
        <v>102</v>
      </c>
      <c r="C717" s="15" t="str" cm="1">
        <f t="array" ref="C717">IFERROR(_xlfn.XLOOKUP(B717, tblPeople[PersonID], tblPeople[PersonName], ""), "")</f>
        <v>William Mlati</v>
      </c>
      <c r="D717" s="15" t="s">
        <v>175</v>
      </c>
      <c r="E717" s="16" t="str">
        <f>IFERROR(_xlfn.XLOOKUP(D717, tblCourses[CourseID], tblCourses[CourseName], ""), "")</f>
        <v>Aircraft Maintenance Engineers' Licence</v>
      </c>
      <c r="F717" s="17">
        <v>46023</v>
      </c>
      <c r="G717" s="17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17" s="15">
        <f ca="1">IF(OR(tblTraining[[#This Row],[Status]]="Renewed",tblTraining[[#This Row],[NextDueDate]]=""),"",tblTraining[[#This Row],[NextDueDate]]-TODAY())</f>
        <v>467</v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354</v>
      </c>
      <c r="C718" s="15" t="str" cm="1">
        <f t="array" ref="C718">IFERROR(_xlfn.XLOOKUP(B718, tblPeople[PersonID], tblPeople[PersonName], ""), "")</f>
        <v>Jackline Muembu</v>
      </c>
      <c r="D718" s="15" t="s">
        <v>124</v>
      </c>
      <c r="E718" s="16" t="str">
        <f>IFERROR(_xlfn.XLOOKUP(D718, tblCourses[CourseID], tblCourses[CourseName], ""), "")</f>
        <v>Aviation Security (Initial)</v>
      </c>
      <c r="F718" s="17">
        <v>45899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9" spans="1:9" x14ac:dyDescent="0.25">
      <c r="A719" s="15">
        <f t="shared" si="11"/>
        <v>718</v>
      </c>
      <c r="B719" s="15" t="s">
        <v>354</v>
      </c>
      <c r="C719" s="15" t="str" cm="1">
        <f t="array" ref="C719">IFERROR(_xlfn.XLOOKUP(B719, tblPeople[PersonID], tblPeople[PersonName], ""), "")</f>
        <v>Jackline Muembu</v>
      </c>
      <c r="D719" s="15" t="s">
        <v>125</v>
      </c>
      <c r="E719" s="16" t="str">
        <f>IFERROR(_xlfn.XLOOKUP(D719, tblCourses[CourseID], tblCourses[CourseName], ""), "")</f>
        <v>Aviation Security (Refresher)</v>
      </c>
      <c r="F719" s="17">
        <v>45899</v>
      </c>
      <c r="G719" s="17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19" s="15">
        <f ca="1">IF(OR(tblTraining[[#This Row],[Status]]="Renewed",tblTraining[[#This Row],[NextDueDate]]=""),"",tblTraining[[#This Row],[NextDueDate]]-TODAY())</f>
        <v>343</v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119</v>
      </c>
      <c r="C720" s="15" t="str" cm="1">
        <f t="array" ref="C720">IFERROR(_xlfn.XLOOKUP(B720, tblPeople[PersonID], tblPeople[PersonName], ""), "")</f>
        <v>Walter Edupu</v>
      </c>
      <c r="D720" s="15" t="s">
        <v>126</v>
      </c>
      <c r="E720" s="16" t="str">
        <f>IFERROR(_xlfn.XLOOKUP(D720, tblCourses[CourseID], tblCourses[CourseName], ""), "")</f>
        <v>Maintenance Indoctrination</v>
      </c>
      <c r="F720" s="17">
        <v>45627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1" spans="1:9" x14ac:dyDescent="0.25">
      <c r="A721" s="15">
        <f t="shared" si="11"/>
        <v>720</v>
      </c>
      <c r="B721" s="15" t="s">
        <v>210</v>
      </c>
      <c r="C721" s="15" t="str" cm="1">
        <f t="array" ref="C721">IFERROR(_xlfn.XLOOKUP(B721, tblPeople[PersonID], tblPeople[PersonName], ""), "")</f>
        <v>John Kihara</v>
      </c>
      <c r="D721" s="15" t="s">
        <v>124</v>
      </c>
      <c r="E721" s="16" t="str">
        <f>IFERROR(_xlfn.XLOOKUP(D721, tblCourses[CourseID], tblCourses[CourseName], ""), "")</f>
        <v>Aviation Security (Initial)</v>
      </c>
      <c r="F721" s="17">
        <v>45848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210</v>
      </c>
      <c r="C722" s="15" t="str" cm="1">
        <f t="array" ref="C722">IFERROR(_xlfn.XLOOKUP(B722, tblPeople[PersonID], tblPeople[PersonName], ""), "")</f>
        <v>John Kihara</v>
      </c>
      <c r="D722" s="15" t="s">
        <v>125</v>
      </c>
      <c r="E722" s="16" t="str">
        <f>IFERROR(_xlfn.XLOOKUP(D722, tblCourses[CourseID], tblCourses[CourseName], ""), "")</f>
        <v>Aviation Security (Refresher)</v>
      </c>
      <c r="F722" s="17">
        <v>45848</v>
      </c>
      <c r="G722" s="17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2" s="15">
        <f ca="1">IF(OR(tblTraining[[#This Row],[Status]]="Renewed",tblTraining[[#This Row],[NextDueDate]]=""),"",tblTraining[[#This Row],[NextDueDate]]-TODAY())</f>
        <v>292</v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3" spans="1:9" x14ac:dyDescent="0.25">
      <c r="A723" s="15">
        <f t="shared" si="11"/>
        <v>722</v>
      </c>
      <c r="B723" s="15" t="s">
        <v>211</v>
      </c>
      <c r="C723" s="15" t="str" cm="1">
        <f t="array" ref="C723">IFERROR(_xlfn.XLOOKUP(B723, tblPeople[PersonID], tblPeople[PersonName], ""), "")</f>
        <v>Angeline Nthakyo</v>
      </c>
      <c r="D723" s="15" t="s">
        <v>124</v>
      </c>
      <c r="E723" s="16" t="str">
        <f>IFERROR(_xlfn.XLOOKUP(D723, tblCourses[CourseID], tblCourses[CourseName], ""), "")</f>
        <v>Aviation Security (Initial)</v>
      </c>
      <c r="F723" s="17">
        <v>45848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211</v>
      </c>
      <c r="C724" s="15" t="str" cm="1">
        <f t="array" ref="C724">IFERROR(_xlfn.XLOOKUP(B724, tblPeople[PersonID], tblPeople[PersonName], ""), "")</f>
        <v>Angeline Nthakyo</v>
      </c>
      <c r="D724" s="15" t="s">
        <v>125</v>
      </c>
      <c r="E724" s="16" t="str">
        <f>IFERROR(_xlfn.XLOOKUP(D724, tblCourses[CourseID], tblCourses[CourseName], ""), "")</f>
        <v>Aviation Security (Refresher)</v>
      </c>
      <c r="F724" s="17">
        <v>45848</v>
      </c>
      <c r="G724" s="17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4" s="15">
        <f ca="1">IF(OR(tblTraining[[#This Row],[Status]]="Renewed",tblTraining[[#This Row],[NextDueDate]]=""),"",tblTraining[[#This Row],[NextDueDate]]-TODAY())</f>
        <v>292</v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5" spans="1:9" x14ac:dyDescent="0.25">
      <c r="A725" s="15">
        <f t="shared" si="11"/>
        <v>724</v>
      </c>
      <c r="B725" s="15" t="s">
        <v>261</v>
      </c>
      <c r="C725" s="15" t="str" cm="1">
        <f t="array" ref="C725">IFERROR(_xlfn.XLOOKUP(B725, tblPeople[PersonID], tblPeople[PersonName], ""), "")</f>
        <v>Romy Okello</v>
      </c>
      <c r="D725" s="15" t="s">
        <v>124</v>
      </c>
      <c r="E725" s="16" t="str">
        <f>IFERROR(_xlfn.XLOOKUP(D725, tblCourses[CourseID], tblCourses[CourseName], ""), "")</f>
        <v>Aviation Security (Initial)</v>
      </c>
      <c r="F725" s="17">
        <v>45848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261</v>
      </c>
      <c r="C726" s="15" t="str" cm="1">
        <f t="array" ref="C726">IFERROR(_xlfn.XLOOKUP(B726, tblPeople[PersonID], tblPeople[PersonName], ""), "")</f>
        <v>Romy Okello</v>
      </c>
      <c r="D726" s="15" t="s">
        <v>125</v>
      </c>
      <c r="E726" s="16" t="str">
        <f>IFERROR(_xlfn.XLOOKUP(D726, tblCourses[CourseID], tblCourses[CourseName], ""), "")</f>
        <v>Aviation Security (Refresher)</v>
      </c>
      <c r="F726" s="17">
        <v>45848</v>
      </c>
      <c r="G726" s="17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6" s="15">
        <f ca="1">IF(OR(tblTraining[[#This Row],[Status]]="Renewed",tblTraining[[#This Row],[NextDueDate]]=""),"",tblTraining[[#This Row],[NextDueDate]]-TODAY())</f>
        <v>292</v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7" spans="1:9" x14ac:dyDescent="0.25">
      <c r="A727" s="15">
        <f t="shared" si="11"/>
        <v>726</v>
      </c>
      <c r="B727" s="15" t="s">
        <v>204</v>
      </c>
      <c r="C727" s="15" t="str" cm="1">
        <f t="array" ref="C727">IFERROR(_xlfn.XLOOKUP(B727, tblPeople[PersonID], tblPeople[PersonName], ""), "")</f>
        <v>Andrew Ondiek</v>
      </c>
      <c r="D727" s="15" t="s">
        <v>124</v>
      </c>
      <c r="E727" s="16" t="str">
        <f>IFERROR(_xlfn.XLOOKUP(D727, tblCourses[CourseID], tblCourses[CourseName], ""), "")</f>
        <v>Aviation Security (Initial)</v>
      </c>
      <c r="F727" s="17">
        <v>45848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204</v>
      </c>
      <c r="C728" s="15" t="str" cm="1">
        <f t="array" ref="C728">IFERROR(_xlfn.XLOOKUP(B728, tblPeople[PersonID], tblPeople[PersonName], ""), "")</f>
        <v>Andrew Ondiek</v>
      </c>
      <c r="D728" s="15" t="s">
        <v>125</v>
      </c>
      <c r="E728" s="16" t="str">
        <f>IFERROR(_xlfn.XLOOKUP(D728, tblCourses[CourseID], tblCourses[CourseName], ""), "")</f>
        <v>Aviation Security (Refresher)</v>
      </c>
      <c r="F728" s="17">
        <v>45848</v>
      </c>
      <c r="G728" s="17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28" s="15">
        <f ca="1">IF(OR(tblTraining[[#This Row],[Status]]="Renewed",tblTraining[[#This Row],[NextDueDate]]=""),"",tblTraining[[#This Row],[NextDueDate]]-TODAY())</f>
        <v>292</v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9" spans="1:9" x14ac:dyDescent="0.25">
      <c r="A729" s="15">
        <f t="shared" si="11"/>
        <v>728</v>
      </c>
      <c r="B729" s="15" t="s">
        <v>107</v>
      </c>
      <c r="C729" s="15" t="str" cm="1">
        <f t="array" ref="C729">IFERROR(_xlfn.XLOOKUP(B729, tblPeople[PersonID], tblPeople[PersonName], ""), "")</f>
        <v>Julius Nyawira</v>
      </c>
      <c r="D729" s="15" t="s">
        <v>124</v>
      </c>
      <c r="E729" s="16" t="str">
        <f>IFERROR(_xlfn.XLOOKUP(D729, tblCourses[CourseID], tblCourses[CourseName], ""), "")</f>
        <v>Aviation Security (Initial)</v>
      </c>
      <c r="F729" s="17">
        <v>45715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103</v>
      </c>
      <c r="C730" s="15" t="str" cm="1">
        <f t="array" ref="C730">IFERROR(_xlfn.XLOOKUP(B730, tblPeople[PersonID], tblPeople[PersonName], ""), "")</f>
        <v>Smith Harun</v>
      </c>
      <c r="D730" s="15" t="s">
        <v>367</v>
      </c>
      <c r="E730" s="16" t="str">
        <f>IFERROR(_xlfn.XLOOKUP(D730, tblCourses[CourseID], tblCourses[CourseName], ""), "")</f>
        <v>Radio Telephony Awareness Training</v>
      </c>
      <c r="F730" s="17">
        <v>45945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1" spans="1:9" x14ac:dyDescent="0.25">
      <c r="A731" s="15">
        <f t="shared" si="11"/>
        <v>730</v>
      </c>
      <c r="B731" s="15" t="s">
        <v>208</v>
      </c>
      <c r="C731" s="15" t="str" cm="1">
        <f t="array" ref="C731">IFERROR(_xlfn.XLOOKUP(B731, tblPeople[PersonID], tblPeople[PersonName], ""), "")</f>
        <v xml:space="preserve">Edwin Kemei </v>
      </c>
      <c r="D731" s="15" t="s">
        <v>367</v>
      </c>
      <c r="E731" s="16" t="str">
        <f>IFERROR(_xlfn.XLOOKUP(D731, tblCourses[CourseID], tblCourses[CourseName], ""), "")</f>
        <v>Radio Telephony Awareness Training</v>
      </c>
      <c r="F731" s="17">
        <v>45945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91</v>
      </c>
      <c r="C732" s="15" t="str" cm="1">
        <f t="array" ref="C732">IFERROR(_xlfn.XLOOKUP(B732, tblPeople[PersonID], tblPeople[PersonName], ""), "")</f>
        <v>Dunstan Kwalanda</v>
      </c>
      <c r="D732" s="15" t="s">
        <v>367</v>
      </c>
      <c r="E732" s="16" t="str">
        <f>IFERROR(_xlfn.XLOOKUP(D732, tblCourses[CourseID], tblCourses[CourseName], ""), "")</f>
        <v>Radio Telephony Awareness Training</v>
      </c>
      <c r="F732" s="17">
        <v>45945</v>
      </c>
      <c r="G732" s="17" t="str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2" s="15" t="str">
        <f ca="1">IF(OR(tblTraining[[#This Row],[Status]]="Renewed",tblTraining[[#This Row],[NextDueDate]]=""),"",tblTraining[[#This Row],[NextDueDate]]-TODAY())</f>
        <v/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102</v>
      </c>
      <c r="C733" s="15" t="str" cm="1">
        <f t="array" ref="C733">IFERROR(_xlfn.XLOOKUP(B733, tblPeople[PersonID], tblPeople[PersonName], ""), "")</f>
        <v>William Mlati</v>
      </c>
      <c r="D733" s="15" t="s">
        <v>367</v>
      </c>
      <c r="E733" s="16" t="str">
        <f>IFERROR(_xlfn.XLOOKUP(D733, tblCourses[CourseID], tblCourses[CourseName], ""), "")</f>
        <v>Radio Telephony Awareness Training</v>
      </c>
      <c r="F733" s="17">
        <v>45945</v>
      </c>
      <c r="G733" s="17" t="str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3" s="15" t="str">
        <f ca="1">IF(OR(tblTraining[[#This Row],[Status]]="Renewed",tblTraining[[#This Row],[NextDueDate]]=""),"",tblTraining[[#This Row],[NextDueDate]]-TODAY())</f>
        <v/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84</v>
      </c>
      <c r="C734" s="15" t="str" cm="1">
        <f t="array" ref="C734">IFERROR(_xlfn.XLOOKUP(B734, tblPeople[PersonID], tblPeople[PersonName], ""), "")</f>
        <v>Patrick Musau</v>
      </c>
      <c r="D734" s="15" t="s">
        <v>367</v>
      </c>
      <c r="E734" s="16" t="str">
        <f>IFERROR(_xlfn.XLOOKUP(D734, tblCourses[CourseID], tblCourses[CourseName], ""), "")</f>
        <v>Radio Telephony Awareness Training</v>
      </c>
      <c r="F734" s="17">
        <v>45945</v>
      </c>
      <c r="G734" s="17" t="str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4" s="15" t="str">
        <f ca="1">IF(OR(tblTraining[[#This Row],[Status]]="Renewed",tblTraining[[#This Row],[NextDueDate]]=""),"",tblTraining[[#This Row],[NextDueDate]]-TODAY())</f>
        <v/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90</v>
      </c>
      <c r="C735" s="15" t="str" cm="1">
        <f t="array" ref="C735">IFERROR(_xlfn.XLOOKUP(B735, tblPeople[PersonID], tblPeople[PersonName], ""), "")</f>
        <v>Kendra Nambisia</v>
      </c>
      <c r="D735" s="15" t="s">
        <v>367</v>
      </c>
      <c r="E735" s="16" t="str">
        <f>IFERROR(_xlfn.XLOOKUP(D735, tblCourses[CourseID], tblCourses[CourseName], ""), "")</f>
        <v>Radio Telephony Awareness Training</v>
      </c>
      <c r="F735" s="17">
        <v>45945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88</v>
      </c>
      <c r="C736" s="15" t="str" cm="1">
        <f t="array" ref="C736">IFERROR(_xlfn.XLOOKUP(B736, tblPeople[PersonID], tblPeople[PersonName], ""), "")</f>
        <v>Michael Njihia</v>
      </c>
      <c r="D736" s="15" t="s">
        <v>367</v>
      </c>
      <c r="E736" s="16" t="str">
        <f>IFERROR(_xlfn.XLOOKUP(D736, tblCourses[CourseID], tblCourses[CourseName], ""), "")</f>
        <v>Radio Telephony Awareness Training</v>
      </c>
      <c r="F736" s="17">
        <v>45945</v>
      </c>
      <c r="G736" s="17" t="str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6" s="15" t="str">
        <f ca="1">IF(OR(tblTraining[[#This Row],[Status]]="Renewed",tblTraining[[#This Row],[NextDueDate]]=""),"",tblTraining[[#This Row],[NextDueDate]]-TODAY())</f>
        <v/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107</v>
      </c>
      <c r="C737" s="15" t="str" cm="1">
        <f t="array" ref="C737">IFERROR(_xlfn.XLOOKUP(B737, tblPeople[PersonID], tblPeople[PersonName], ""), "")</f>
        <v>Julius Nyawira</v>
      </c>
      <c r="D737" s="15" t="s">
        <v>367</v>
      </c>
      <c r="E737" s="16" t="str">
        <f>IFERROR(_xlfn.XLOOKUP(D737, tblCourses[CourseID], tblCourses[CourseName], ""), "")</f>
        <v>Radio Telephony Awareness Training</v>
      </c>
      <c r="F737" s="17">
        <v>45945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85</v>
      </c>
      <c r="C738" s="15" t="str" cm="1">
        <f t="array" ref="C738">IFERROR(_xlfn.XLOOKUP(B738, tblPeople[PersonID], tblPeople[PersonName], ""), "")</f>
        <v>Titus Shunza</v>
      </c>
      <c r="D738" s="15" t="s">
        <v>367</v>
      </c>
      <c r="E738" s="16" t="str">
        <f>IFERROR(_xlfn.XLOOKUP(D738, tblCourses[CourseID], tblCourses[CourseName], ""), "")</f>
        <v>Radio Telephony Awareness Training</v>
      </c>
      <c r="F738" s="17">
        <v>45945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97</v>
      </c>
      <c r="C739" s="15" t="str" cm="1">
        <f t="array" ref="C739">IFERROR(_xlfn.XLOOKUP(B739, tblPeople[PersonID], tblPeople[PersonName], ""), "")</f>
        <v>Thomas Wambunya</v>
      </c>
      <c r="D739" s="15" t="s">
        <v>367</v>
      </c>
      <c r="E739" s="16" t="str">
        <f>IFERROR(_xlfn.XLOOKUP(D739, tblCourses[CourseID], tblCourses[CourseName], ""), "")</f>
        <v>Radio Telephony Awareness Training</v>
      </c>
      <c r="F739" s="17">
        <v>45945</v>
      </c>
      <c r="G739" s="17" t="str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9" s="15" t="str">
        <f ca="1">IF(OR(tblTraining[[#This Row],[Status]]="Renewed",tblTraining[[#This Row],[NextDueDate]]=""),"",tblTraining[[#This Row],[NextDueDate]]-TODAY())</f>
        <v/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102</v>
      </c>
      <c r="C740" s="15" t="str" cm="1">
        <f t="array" ref="C740">IFERROR(_xlfn.XLOOKUP(B740, tblPeople[PersonID], tblPeople[PersonName], ""), "")</f>
        <v>William Mlati</v>
      </c>
      <c r="D740" s="15" t="s">
        <v>24</v>
      </c>
      <c r="E740" s="16" t="str">
        <f>IFERROR(_xlfn.XLOOKUP(D740, tblCourses[CourseID], tblCourses[CourseName], ""), "")</f>
        <v>Human Factors in Aviation (Initial)</v>
      </c>
      <c r="F740" s="17">
        <v>40633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102</v>
      </c>
      <c r="C741" s="15" t="str" cm="1">
        <f t="array" ref="C741">IFERROR(_xlfn.XLOOKUP(B741, tblPeople[PersonID], tblPeople[PersonName], ""), "")</f>
        <v>William Mlati</v>
      </c>
      <c r="D741" s="15" t="s">
        <v>20</v>
      </c>
      <c r="E741" s="16" t="str">
        <f>IFERROR(_xlfn.XLOOKUP(D741, tblCourses[CourseID], tblCourses[CourseName], ""), "")</f>
        <v>Safety Management Systems (Initial)</v>
      </c>
      <c r="F741" s="17">
        <v>43201</v>
      </c>
      <c r="G741" s="17" t="str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1" s="15" t="str">
        <f ca="1">IF(OR(tblTraining[[#This Row],[Status]]="Renewed",tblTraining[[#This Row],[NextDueDate]]=""),"",tblTraining[[#This Row],[NextDueDate]]-TODAY())</f>
        <v/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102</v>
      </c>
      <c r="C742" s="15" t="str" cm="1">
        <f t="array" ref="C742">IFERROR(_xlfn.XLOOKUP(B742, tblPeople[PersonID], tblPeople[PersonName], ""), "")</f>
        <v>William Mlati</v>
      </c>
      <c r="D742" s="15" t="s">
        <v>177</v>
      </c>
      <c r="E742" s="16" t="str">
        <f>IFERROR(_xlfn.XLOOKUP(D742, tblCourses[CourseID], tblCourses[CourseName], ""), "")</f>
        <v>Cessna 208 Series (Caravan) With P&amp;WC PT6A-114/ -114A/ -140 Engines (Initial)</v>
      </c>
      <c r="F742" s="17">
        <v>40473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102</v>
      </c>
      <c r="C743" s="15" t="str" cm="1">
        <f t="array" ref="C743">IFERROR(_xlfn.XLOOKUP(B743, tblPeople[PersonID], tblPeople[PersonName], ""), "")</f>
        <v>William Mlati</v>
      </c>
      <c r="D743" s="15" t="s">
        <v>29</v>
      </c>
      <c r="E743" s="16" t="str">
        <f>IFERROR(_xlfn.XLOOKUP(D743, tblCourses[CourseID], tblCourses[CourseName], ""), "")</f>
        <v>DHC-8 100/200/300 with PWC 120/120A/121/123B/C/D/E Series Engines(Initial)</v>
      </c>
      <c r="F743" s="17">
        <v>43133</v>
      </c>
      <c r="G743" s="17" t="str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3" s="15" t="str">
        <f ca="1">IF(OR(tblTraining[[#This Row],[Status]]="Renewed",tblTraining[[#This Row],[NextDueDate]]=""),"",tblTraining[[#This Row],[NextDueDate]]-TODAY())</f>
        <v/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103</v>
      </c>
      <c r="C744" s="15" t="str" cm="1">
        <f t="array" ref="C744">IFERROR(_xlfn.XLOOKUP(B744, tblPeople[PersonID], tblPeople[PersonName], ""), "")</f>
        <v>Smith Harun</v>
      </c>
      <c r="D744" s="15" t="s">
        <v>29</v>
      </c>
      <c r="E744" s="16" t="str">
        <f>IFERROR(_xlfn.XLOOKUP(D744, tblCourses[CourseID], tblCourses[CourseName], ""), "")</f>
        <v>DHC-8 100/200/300 with PWC 120/120A/121/123B/C/D/E Series Engines(Initial)</v>
      </c>
      <c r="F744" s="17">
        <v>41698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103</v>
      </c>
      <c r="C745" s="15" t="str" cm="1">
        <f t="array" ref="C745">IFERROR(_xlfn.XLOOKUP(B745, tblPeople[PersonID], tblPeople[PersonName], ""), "")</f>
        <v>Smith Harun</v>
      </c>
      <c r="D745" s="15" t="s">
        <v>177</v>
      </c>
      <c r="E745" s="16" t="str">
        <f>IFERROR(_xlfn.XLOOKUP(D745, tblCourses[CourseID], tblCourses[CourseName], ""), "")</f>
        <v>Cessna 208 Series (Caravan) With P&amp;WC PT6A-114/ -114A/ -140 Engines (Initial)</v>
      </c>
      <c r="F745" s="17">
        <v>41257</v>
      </c>
      <c r="G745" s="17" t="str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5" s="15" t="str">
        <f ca="1">IF(OR(tblTraining[[#This Row],[Status]]="Renewed",tblTraining[[#This Row],[NextDueDate]]=""),"",tblTraining[[#This Row],[NextDueDate]]-TODAY())</f>
        <v/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103</v>
      </c>
      <c r="C746" s="15" t="str" cm="1">
        <f t="array" ref="C746">IFERROR(_xlfn.XLOOKUP(B746, tblPeople[PersonID], tblPeople[PersonName], ""), "")</f>
        <v>Smith Harun</v>
      </c>
      <c r="D746" s="15" t="s">
        <v>27</v>
      </c>
      <c r="E746" s="16" t="str">
        <f>IFERROR(_xlfn.XLOOKUP(D746, tblCourses[CourseID], tblCourses[CourseName], ""), "")</f>
        <v>Pratt &amp; Whitney Canada PT6A Engine With P&amp;WC PT6A
20/ 27/ 41/ 42/ 60A/ 67D/ 112/ 114A/ 140 (Initial)</v>
      </c>
      <c r="F746" s="17">
        <v>41114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20</v>
      </c>
      <c r="E747" s="16" t="str">
        <f>IFERROR(_xlfn.XLOOKUP(D747, tblCourses[CourseID], tblCourses[CourseName], ""), "")</f>
        <v>Safety Management Systems (Initial)</v>
      </c>
      <c r="F747" s="17">
        <v>43628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103</v>
      </c>
      <c r="C748" s="15" t="str" cm="1">
        <f t="array" ref="C748">IFERROR(_xlfn.XLOOKUP(B748, tblPeople[PersonID], tblPeople[PersonName], ""), "")</f>
        <v>Smith Harun</v>
      </c>
      <c r="D748" s="15" t="s">
        <v>24</v>
      </c>
      <c r="E748" s="16" t="str">
        <f>IFERROR(_xlfn.XLOOKUP(D748, tblCourses[CourseID], tblCourses[CourseName], ""), "")</f>
        <v>Human Factors in Aviation (Initial)</v>
      </c>
      <c r="F748" s="17">
        <v>41547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82</v>
      </c>
      <c r="C749" s="15" t="str" cm="1">
        <f t="array" ref="C749">IFERROR(_xlfn.XLOOKUP(B749, tblPeople[PersonID], tblPeople[PersonName], ""), "")</f>
        <v>Philip Mwania</v>
      </c>
      <c r="D749" s="15" t="s">
        <v>24</v>
      </c>
      <c r="E749" s="16" t="str">
        <f>IFERROR(_xlfn.XLOOKUP(D749, tblCourses[CourseID], tblCourses[CourseName], ""), "")</f>
        <v>Human Factors in Aviation (Initial)</v>
      </c>
      <c r="F749" s="17">
        <v>43238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82</v>
      </c>
      <c r="C750" s="15" t="str" cm="1">
        <f t="array" ref="C750">IFERROR(_xlfn.XLOOKUP(B750, tblPeople[PersonID], tblPeople[PersonName], ""), "")</f>
        <v>Philip Mwania</v>
      </c>
      <c r="D750" s="15" t="s">
        <v>29</v>
      </c>
      <c r="E750" s="16" t="str">
        <f>IFERROR(_xlfn.XLOOKUP(D750, tblCourses[CourseID], tblCourses[CourseName], ""), "")</f>
        <v>DHC-8 100/200/300 with PWC 120/120A/121/123B/C/D/E Series Engines(Initial)</v>
      </c>
      <c r="F750" s="17">
        <v>43133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82</v>
      </c>
      <c r="C751" s="15" t="str" cm="1">
        <f t="array" ref="C751">IFERROR(_xlfn.XLOOKUP(B751, tblPeople[PersonID], tblPeople[PersonName], ""), "")</f>
        <v>Philip Mwania</v>
      </c>
      <c r="D751" s="15" t="s">
        <v>177</v>
      </c>
      <c r="E751" s="16" t="str">
        <f>IFERROR(_xlfn.XLOOKUP(D751, tblCourses[CourseID], tblCourses[CourseName], ""), "")</f>
        <v>Cessna 208 Series (Caravan) With P&amp;WC PT6A-114/ -114A/ -140 Engines (Initial)</v>
      </c>
      <c r="F751" s="17">
        <v>41355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52" spans="1:9" x14ac:dyDescent="0.25">
      <c r="A752" s="15">
        <f t="shared" si="11"/>
        <v>751</v>
      </c>
      <c r="B752" s="15" t="s">
        <v>82</v>
      </c>
      <c r="C752" s="15" t="str" cm="1">
        <f t="array" ref="C752">IFERROR(_xlfn.XLOOKUP(B752, tblPeople[PersonID], tblPeople[PersonName], ""), "")</f>
        <v>Philip Mwania</v>
      </c>
      <c r="D752" s="15" t="s">
        <v>20</v>
      </c>
      <c r="E752" s="16" t="str">
        <f>IFERROR(_xlfn.XLOOKUP(D752, tblCourses[CourseID], tblCourses[CourseName], ""), "")</f>
        <v>Safety Management Systems (Initial)</v>
      </c>
      <c r="F752" s="17">
        <v>43272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135</v>
      </c>
      <c r="C753" s="15" t="str" cm="1">
        <f t="array" ref="C753">IFERROR(_xlfn.XLOOKUP(B753, tblPeople[PersonID], tblPeople[PersonName], ""), "")</f>
        <v>Francis Muriuki</v>
      </c>
      <c r="D753" s="15" t="s">
        <v>29</v>
      </c>
      <c r="E753" s="16" t="str">
        <f>IFERROR(_xlfn.XLOOKUP(D753, tblCourses[CourseID], tblCourses[CourseName], ""), "")</f>
        <v>DHC-8 100/200/300 with PWC 120/120A/121/123B/C/D/E Series Engines(Initial)</v>
      </c>
      <c r="F753" s="17">
        <v>43586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135</v>
      </c>
      <c r="C754" s="15" t="str" cm="1">
        <f t="array" ref="C754">IFERROR(_xlfn.XLOOKUP(B754, tblPeople[PersonID], tblPeople[PersonName], ""), "")</f>
        <v>Francis Muriuki</v>
      </c>
      <c r="D754" s="15" t="s">
        <v>177</v>
      </c>
      <c r="E754" s="16" t="str">
        <f>IFERROR(_xlfn.XLOOKUP(D754, tblCourses[CourseID], tblCourses[CourseName], ""), "")</f>
        <v>Cessna 208 Series (Caravan) With P&amp;WC PT6A-114/ -114A/ -140 Engines (Initial)</v>
      </c>
      <c r="F754" s="17">
        <v>42156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135</v>
      </c>
      <c r="C755" s="15" t="str" cm="1">
        <f t="array" ref="C755">IFERROR(_xlfn.XLOOKUP(B755, tblPeople[PersonID], tblPeople[PersonName], ""), "")</f>
        <v>Francis Muriuki</v>
      </c>
      <c r="D755" s="15" t="s">
        <v>27</v>
      </c>
      <c r="E755" s="16" t="str">
        <f>IFERROR(_xlfn.XLOOKUP(D755, tblCourses[CourseID], tblCourses[CourseName], ""), "")</f>
        <v>Pratt &amp; Whitney Canada PT6A Engine With P&amp;WC PT6A
20/ 27/ 41/ 42/ 60A/ 67D/ 112/ 114A/ 140 (Initial)</v>
      </c>
      <c r="F755" s="17">
        <v>42156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135</v>
      </c>
      <c r="C756" s="15" t="str" cm="1">
        <f t="array" ref="C756">IFERROR(_xlfn.XLOOKUP(B756, tblPeople[PersonID], tblPeople[PersonName], ""), "")</f>
        <v>Francis Muriuki</v>
      </c>
      <c r="D756" s="15" t="s">
        <v>20</v>
      </c>
      <c r="E756" s="16" t="str">
        <f>IFERROR(_xlfn.XLOOKUP(D756, tblCourses[CourseID], tblCourses[CourseName], ""), "")</f>
        <v>Safety Management Systems (Initial)</v>
      </c>
      <c r="F756" s="17">
        <v>43699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135</v>
      </c>
      <c r="C757" s="15" t="str" cm="1">
        <f t="array" ref="C757">IFERROR(_xlfn.XLOOKUP(B757, tblPeople[PersonID], tblPeople[PersonName], ""), "")</f>
        <v>Francis Muriuki</v>
      </c>
      <c r="D757" s="15" t="s">
        <v>24</v>
      </c>
      <c r="E757" s="16" t="str">
        <f>IFERROR(_xlfn.XLOOKUP(D757, tblCourses[CourseID], tblCourses[CourseName], ""), "")</f>
        <v>Human Factors in Aviation (Initial)</v>
      </c>
      <c r="F757" s="17">
        <v>43862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149</v>
      </c>
      <c r="C758" s="15" t="str" cm="1">
        <f t="array" ref="C758">IFERROR(_xlfn.XLOOKUP(B758, tblPeople[PersonID], tblPeople[PersonName], ""), "")</f>
        <v>Kea Kazungu</v>
      </c>
      <c r="D758" s="15" t="s">
        <v>177</v>
      </c>
      <c r="E758" s="16" t="str">
        <f>IFERROR(_xlfn.XLOOKUP(D758, tblCourses[CourseID], tblCourses[CourseName], ""), "")</f>
        <v>Cessna 208 Series (Caravan) With P&amp;WC PT6A-114/ -114A/ -140 Engines (Initial)</v>
      </c>
      <c r="F758" s="17">
        <v>43875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149</v>
      </c>
      <c r="C759" s="15" t="str" cm="1">
        <f t="array" ref="C759">IFERROR(_xlfn.XLOOKUP(B759, tblPeople[PersonID], tblPeople[PersonName], ""), "")</f>
        <v>Kea Kazungu</v>
      </c>
      <c r="D759" s="15" t="s">
        <v>27</v>
      </c>
      <c r="E759" s="16" t="str">
        <f>IFERROR(_xlfn.XLOOKUP(D759, tblCourses[CourseID], tblCourses[CourseName], ""), "")</f>
        <v>Pratt &amp; Whitney Canada PT6A Engine With P&amp;WC PT6A
20/ 27/ 41/ 42/ 60A/ 67D/ 112/ 114A/ 140 (Initial)</v>
      </c>
      <c r="F759" s="17">
        <v>40620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149</v>
      </c>
      <c r="C760" s="15" t="str" cm="1">
        <f t="array" ref="C760">IFERROR(_xlfn.XLOOKUP(B760, tblPeople[PersonID], tblPeople[PersonName], ""), "")</f>
        <v>Kea Kazungu</v>
      </c>
      <c r="D760" s="15" t="s">
        <v>29</v>
      </c>
      <c r="E760" s="16" t="str">
        <f>IFERROR(_xlfn.XLOOKUP(D760, tblCourses[CourseID], tblCourses[CourseName], ""), "")</f>
        <v>DHC-8 100/200/300 with PWC 120/120A/121/123B/C/D/E Series Engines(Initial)</v>
      </c>
      <c r="F760" s="17">
        <v>43133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149</v>
      </c>
      <c r="C761" s="15" t="str" cm="1">
        <f t="array" ref="C761">IFERROR(_xlfn.XLOOKUP(B761, tblPeople[PersonID], tblPeople[PersonName], ""), "")</f>
        <v>Kea Kazungu</v>
      </c>
      <c r="D761" s="15" t="s">
        <v>24</v>
      </c>
      <c r="E761" s="16" t="str">
        <f>IFERROR(_xlfn.XLOOKUP(D761, tblCourses[CourseID], tblCourses[CourseName], ""), "")</f>
        <v>Human Factors in Aviation (Initial)</v>
      </c>
      <c r="F761" s="17">
        <v>43237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104</v>
      </c>
      <c r="C762" s="15" t="str" cm="1">
        <f t="array" ref="C762">IFERROR(_xlfn.XLOOKUP(B762, tblPeople[PersonID], tblPeople[PersonName], ""), "")</f>
        <v>Douglas Hurgins</v>
      </c>
      <c r="D762" s="15" t="s">
        <v>369</v>
      </c>
      <c r="E762" s="16" t="str">
        <f>IFERROR(_xlfn.XLOOKUP(D762, tblCourses[CourseID], tblCourses[CourseName], ""), "")</f>
        <v>WinAir Version 7</v>
      </c>
      <c r="F762" s="17">
        <v>43805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83</v>
      </c>
      <c r="C763" s="15" t="str" cm="1">
        <f t="array" ref="C763">IFERROR(_xlfn.XLOOKUP(B763, tblPeople[PersonID], tblPeople[PersonName], ""), "")</f>
        <v>Wycliffe Kanana</v>
      </c>
      <c r="D763" s="15" t="s">
        <v>369</v>
      </c>
      <c r="E763" s="16" t="str">
        <f>IFERROR(_xlfn.XLOOKUP(D763, tblCourses[CourseID], tblCourses[CourseName], ""), "")</f>
        <v>WinAir Version 7</v>
      </c>
      <c r="F763" s="17">
        <v>43805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1"/>
        <v>763</v>
      </c>
      <c r="B764" s="15" t="s">
        <v>156</v>
      </c>
      <c r="C764" s="15" t="str" cm="1">
        <f t="array" ref="C764">IFERROR(_xlfn.XLOOKUP(B764, tblPeople[PersonID], tblPeople[PersonName], ""), "")</f>
        <v>Stephen Mutambu</v>
      </c>
      <c r="D764" s="15" t="s">
        <v>369</v>
      </c>
      <c r="E764" s="16" t="str">
        <f>IFERROR(_xlfn.XLOOKUP(D764, tblCourses[CourseID], tblCourses[CourseName], ""), "")</f>
        <v>WinAir Version 7</v>
      </c>
      <c r="F764" s="17">
        <v>43805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354</v>
      </c>
      <c r="C765" s="15" t="str" cm="1">
        <f t="array" ref="C765">IFERROR(_xlfn.XLOOKUP(B765, tblPeople[PersonID], tblPeople[PersonName], ""), "")</f>
        <v>Jackline Muembu</v>
      </c>
      <c r="D765" s="15" t="s">
        <v>24</v>
      </c>
      <c r="E765" s="16" t="str">
        <f>IFERROR(_xlfn.XLOOKUP(D765, tblCourses[CourseID], tblCourses[CourseName], ""), "")</f>
        <v>Human Factors in Aviation (Initial)</v>
      </c>
      <c r="F765" s="17">
        <v>43186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6" spans="1:9" x14ac:dyDescent="0.25">
      <c r="A766" s="15">
        <f t="shared" si="11"/>
        <v>765</v>
      </c>
      <c r="B766" s="15" t="s">
        <v>354</v>
      </c>
      <c r="C766" s="15" t="str" cm="1">
        <f t="array" ref="C766">IFERROR(_xlfn.XLOOKUP(B766, tblPeople[PersonID], tblPeople[PersonName], ""), "")</f>
        <v>Jackline Muembu</v>
      </c>
      <c r="D766" s="15" t="s">
        <v>22</v>
      </c>
      <c r="E766" s="16" t="str">
        <f>IFERROR(_xlfn.XLOOKUP(D766, tblCourses[CourseID], tblCourses[CourseName], ""), "")</f>
        <v>Human Factors in Aviation (Refresher)</v>
      </c>
      <c r="F766" s="17">
        <v>43186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7" spans="1:9" x14ac:dyDescent="0.25">
      <c r="A767" s="15">
        <f t="shared" si="11"/>
        <v>766</v>
      </c>
      <c r="B767" s="15" t="s">
        <v>106</v>
      </c>
      <c r="C767" s="15" t="str" cm="1">
        <f t="array" ref="C767">IFERROR(_xlfn.XLOOKUP(B767, tblPeople[PersonID], tblPeople[PersonName], ""), "")</f>
        <v>James Mugo</v>
      </c>
      <c r="D767" s="15" t="s">
        <v>28</v>
      </c>
      <c r="E767" s="16" t="str">
        <f>IFERROR(_xlfn.XLOOKUP(D767, tblCourses[CourseID], tblCourses[CourseName], ""), "")</f>
        <v>DHC-8 100/200/300 with PWC 120/120A/121/123B/C/D/E Series Engines(Refresher)</v>
      </c>
      <c r="F767" s="17">
        <v>43391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8" spans="1:9" x14ac:dyDescent="0.25">
      <c r="A768" s="15">
        <f t="shared" si="11"/>
        <v>767</v>
      </c>
      <c r="B768" s="15" t="s">
        <v>106</v>
      </c>
      <c r="C768" s="15" t="str" cm="1">
        <f t="array" ref="C768">IFERROR(_xlfn.XLOOKUP(B768, tblPeople[PersonID], tblPeople[PersonName], ""), "")</f>
        <v>James Mugo</v>
      </c>
      <c r="D768" s="15" t="s">
        <v>20</v>
      </c>
      <c r="E768" s="16" t="str">
        <f>IFERROR(_xlfn.XLOOKUP(D768, tblCourses[CourseID], tblCourses[CourseName], ""), "")</f>
        <v>Safety Management Systems (Initial)</v>
      </c>
      <c r="F768" s="17">
        <v>41709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9" spans="1:9" x14ac:dyDescent="0.25">
      <c r="A769" s="15">
        <f t="shared" si="11"/>
        <v>768</v>
      </c>
      <c r="B769" s="15" t="s">
        <v>106</v>
      </c>
      <c r="C769" s="15" t="str" cm="1">
        <f t="array" ref="C769">IFERROR(_xlfn.XLOOKUP(B769, tblPeople[PersonID], tblPeople[PersonName], ""), "")</f>
        <v>James Mugo</v>
      </c>
      <c r="D769" s="15" t="s">
        <v>24</v>
      </c>
      <c r="E769" s="16" t="str">
        <f>IFERROR(_xlfn.XLOOKUP(D769, tblCourses[CourseID], tblCourses[CourseName], ""), "")</f>
        <v>Human Factors in Aviation (Initial)</v>
      </c>
      <c r="F769" s="17">
        <v>41710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1"/>
        <v>769</v>
      </c>
      <c r="B770" s="15" t="s">
        <v>106</v>
      </c>
      <c r="C770" s="15" t="str" cm="1">
        <f t="array" ref="C770">IFERROR(_xlfn.XLOOKUP(B770, tblPeople[PersonID], tblPeople[PersonName], ""), "")</f>
        <v>James Mugo</v>
      </c>
      <c r="D770" s="15" t="s">
        <v>177</v>
      </c>
      <c r="E770" s="16" t="str">
        <f>IFERROR(_xlfn.XLOOKUP(D770, tblCourses[CourseID], tblCourses[CourseName], ""), "")</f>
        <v>Cessna 208 Series (Caravan) With P&amp;WC PT6A-114/ -114A/ -140 Engines (Initial)</v>
      </c>
      <c r="F770" s="17">
        <v>41726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106</v>
      </c>
      <c r="C771" s="15" t="str" cm="1">
        <f t="array" ref="C771">IFERROR(_xlfn.XLOOKUP(B771, tblPeople[PersonID], tblPeople[PersonName], ""), "")</f>
        <v>James Mugo</v>
      </c>
      <c r="D771" s="15" t="s">
        <v>22</v>
      </c>
      <c r="E771" s="16" t="str">
        <f>IFERROR(_xlfn.XLOOKUP(D771, tblCourses[CourseID], tblCourses[CourseName], ""), "")</f>
        <v>Human Factors in Aviation (Refresher)</v>
      </c>
      <c r="F771" s="17">
        <v>43154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2" spans="1:9" x14ac:dyDescent="0.25">
      <c r="A772" s="15">
        <f t="shared" ref="A772:A835" si="12">A771+1</f>
        <v>771</v>
      </c>
      <c r="B772" s="15" t="s">
        <v>106</v>
      </c>
      <c r="C772" s="15" t="str" cm="1">
        <f t="array" ref="C772">IFERROR(_xlfn.XLOOKUP(B772, tblPeople[PersonID], tblPeople[PersonName], ""), "")</f>
        <v>James Mugo</v>
      </c>
      <c r="D772" s="15" t="s">
        <v>17</v>
      </c>
      <c r="E772" s="16" t="str">
        <f>IFERROR(_xlfn.XLOOKUP(D772, tblCourses[CourseID], tblCourses[CourseName], ""), "")</f>
        <v>Safety Management Systems (Refresher)</v>
      </c>
      <c r="F772" s="17">
        <v>43602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3" spans="1:9" x14ac:dyDescent="0.25">
      <c r="A773" s="15">
        <f t="shared" si="12"/>
        <v>772</v>
      </c>
      <c r="B773" s="15" t="s">
        <v>100</v>
      </c>
      <c r="C773" s="15" t="str" cm="1">
        <f t="array" ref="C773">IFERROR(_xlfn.XLOOKUP(B773, tblPeople[PersonID], tblPeople[PersonName], ""), "")</f>
        <v>John Muriithi</v>
      </c>
      <c r="D773" s="15" t="s">
        <v>20</v>
      </c>
      <c r="E773" s="16" t="str">
        <f>IFERROR(_xlfn.XLOOKUP(D773, tblCourses[CourseID], tblCourses[CourseName], ""), "")</f>
        <v>Safety Management Systems (Initial)</v>
      </c>
      <c r="F773" s="17">
        <v>44281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100</v>
      </c>
      <c r="C774" s="15" t="str" cm="1">
        <f t="array" ref="C774">IFERROR(_xlfn.XLOOKUP(B774, tblPeople[PersonID], tblPeople[PersonName], ""), "")</f>
        <v>John Muriithi</v>
      </c>
      <c r="D774" s="15" t="s">
        <v>24</v>
      </c>
      <c r="E774" s="16" t="str">
        <f>IFERROR(_xlfn.XLOOKUP(D774, tblCourses[CourseID], tblCourses[CourseName], ""), "")</f>
        <v>Human Factors in Aviation (Initial)</v>
      </c>
      <c r="F774" s="17">
        <v>43186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100</v>
      </c>
      <c r="C775" s="15" t="str" cm="1">
        <f t="array" ref="C775">IFERROR(_xlfn.XLOOKUP(B775, tblPeople[PersonID], tblPeople[PersonName], ""), "")</f>
        <v>John Muriithi</v>
      </c>
      <c r="D775" s="15" t="s">
        <v>29</v>
      </c>
      <c r="E775" s="16" t="str">
        <f>IFERROR(_xlfn.XLOOKUP(D775, tblCourses[CourseID], tblCourses[CourseName], ""), "")</f>
        <v>DHC-8 100/200/300 with PWC 120/120A/121/123B/C/D/E Series Engines(Initial)</v>
      </c>
      <c r="F775" s="17">
        <v>43777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100</v>
      </c>
      <c r="C776" s="15" t="str" cm="1">
        <f t="array" ref="C776">IFERROR(_xlfn.XLOOKUP(B776, tblPeople[PersonID], tblPeople[PersonName], ""), "")</f>
        <v>John Muriithi</v>
      </c>
      <c r="D776" s="15" t="s">
        <v>28</v>
      </c>
      <c r="E776" s="16" t="str">
        <f>IFERROR(_xlfn.XLOOKUP(D776, tblCourses[CourseID], tblCourses[CourseName], ""), "")</f>
        <v>DHC-8 100/200/300 with PWC 120/120A/121/123B/C/D/E Series Engines(Refresher)</v>
      </c>
      <c r="F776" s="17">
        <v>45009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7" spans="1:9" x14ac:dyDescent="0.25">
      <c r="A777" s="15">
        <f t="shared" si="12"/>
        <v>776</v>
      </c>
      <c r="B777" s="15" t="s">
        <v>97</v>
      </c>
      <c r="C777" s="15" t="str" cm="1">
        <f t="array" ref="C777">IFERROR(_xlfn.XLOOKUP(B777, tblPeople[PersonID], tblPeople[PersonName], ""), "")</f>
        <v>Thomas Wambunya</v>
      </c>
      <c r="D777" s="15" t="s">
        <v>24</v>
      </c>
      <c r="E777" s="16" t="str">
        <f>IFERROR(_xlfn.XLOOKUP(D777, tblCourses[CourseID], tblCourses[CourseName], ""), "")</f>
        <v>Human Factors in Aviation (Initial)</v>
      </c>
      <c r="F777" s="17">
        <v>43237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97</v>
      </c>
      <c r="C778" s="15" t="str" cm="1">
        <f t="array" ref="C778">IFERROR(_xlfn.XLOOKUP(B778, tblPeople[PersonID], tblPeople[PersonName], ""), "")</f>
        <v>Thomas Wambunya</v>
      </c>
      <c r="D778" s="15" t="s">
        <v>22</v>
      </c>
      <c r="E778" s="16" t="str">
        <f>IFERROR(_xlfn.XLOOKUP(D778, tblCourses[CourseID], tblCourses[CourseName], ""), "")</f>
        <v>Human Factors in Aviation (Refresher)</v>
      </c>
      <c r="F778" s="17">
        <v>43237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9" spans="1:9" x14ac:dyDescent="0.25">
      <c r="A779" s="15">
        <f t="shared" si="12"/>
        <v>778</v>
      </c>
      <c r="B779" s="15" t="s">
        <v>97</v>
      </c>
      <c r="C779" s="15" t="str" cm="1">
        <f t="array" ref="C779">IFERROR(_xlfn.XLOOKUP(B779, tblPeople[PersonID], tblPeople[PersonName], ""), "")</f>
        <v>Thomas Wambunya</v>
      </c>
      <c r="D779" s="15" t="s">
        <v>20</v>
      </c>
      <c r="E779" s="16" t="str">
        <f>IFERROR(_xlfn.XLOOKUP(D779, tblCourses[CourseID], tblCourses[CourseName], ""), "")</f>
        <v>Safety Management Systems (Initial)</v>
      </c>
      <c r="F779" s="17">
        <v>43201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97</v>
      </c>
      <c r="C780" s="15" t="str" cm="1">
        <f t="array" ref="C780">IFERROR(_xlfn.XLOOKUP(B780, tblPeople[PersonID], tblPeople[PersonName], ""), "")</f>
        <v>Thomas Wambunya</v>
      </c>
      <c r="D780" s="15" t="s">
        <v>225</v>
      </c>
      <c r="E780" s="16" t="str">
        <f>IFERROR(_xlfn.XLOOKUP(D780, tblCourses[CourseID], tblCourses[CourseName], ""), "")</f>
        <v>First Aid Training (Initial)</v>
      </c>
      <c r="F780" s="17">
        <v>43707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97</v>
      </c>
      <c r="C781" s="15" t="str" cm="1">
        <f t="array" ref="C781">IFERROR(_xlfn.XLOOKUP(B781, tblPeople[PersonID], tblPeople[PersonName], ""), "")</f>
        <v>Thomas Wambunya</v>
      </c>
      <c r="D781" s="15" t="s">
        <v>226</v>
      </c>
      <c r="E781" s="16" t="str">
        <f>IFERROR(_xlfn.XLOOKUP(D781, tblCourses[CourseID], tblCourses[CourseName], ""), "")</f>
        <v>First Aid Training (Refresher)</v>
      </c>
      <c r="F781" s="17">
        <v>43707</v>
      </c>
      <c r="G781" s="17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781" s="15">
        <f ca="1">IF(OR(tblTraining[[#This Row],[Status]]="Renewed",tblTraining[[#This Row],[NextDueDate]]=""),"",tblTraining[[#This Row],[NextDueDate]]-TODAY())</f>
        <v>-1483</v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82" spans="1:9" x14ac:dyDescent="0.25">
      <c r="A782" s="15">
        <f t="shared" si="12"/>
        <v>781</v>
      </c>
      <c r="B782" s="15" t="s">
        <v>107</v>
      </c>
      <c r="C782" s="15" t="str" cm="1">
        <f t="array" ref="C782">IFERROR(_xlfn.XLOOKUP(B782, tblPeople[PersonID], tblPeople[PersonName], ""), "")</f>
        <v>Julius Nyawira</v>
      </c>
      <c r="D782" s="15" t="s">
        <v>29</v>
      </c>
      <c r="E782" s="16" t="str">
        <f>IFERROR(_xlfn.XLOOKUP(D782, tblCourses[CourseID], tblCourses[CourseName], ""), "")</f>
        <v>DHC-8 100/200/300 with PWC 120/120A/121/123B/C/D/E Series Engines(Initial)</v>
      </c>
      <c r="F782" s="17">
        <v>43336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3" spans="1:9" x14ac:dyDescent="0.25">
      <c r="A783" s="15">
        <f t="shared" si="12"/>
        <v>782</v>
      </c>
      <c r="B783" s="15" t="s">
        <v>107</v>
      </c>
      <c r="C783" s="15" t="str" cm="1">
        <f t="array" ref="C783">IFERROR(_xlfn.XLOOKUP(B783, tblPeople[PersonID], tblPeople[PersonName], ""), "")</f>
        <v>Julius Nyawira</v>
      </c>
      <c r="D783" s="15" t="s">
        <v>27</v>
      </c>
      <c r="E783" s="16" t="str">
        <f>IFERROR(_xlfn.XLOOKUP(D783, tblCourses[CourseID], tblCourses[CourseName], ""), "")</f>
        <v>Pratt &amp; Whitney Canada PT6A Engine With P&amp;WC PT6A
20/ 27/ 41/ 42/ 60A/ 67D/ 112/ 114A/ 140 (Initial)</v>
      </c>
      <c r="F783" s="17">
        <v>42951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4" spans="1:9" x14ac:dyDescent="0.25">
      <c r="A784" s="15">
        <f t="shared" si="12"/>
        <v>783</v>
      </c>
      <c r="B784" s="15" t="s">
        <v>107</v>
      </c>
      <c r="C784" s="15" t="str" cm="1">
        <f t="array" ref="C784">IFERROR(_xlfn.XLOOKUP(B784, tblPeople[PersonID], tblPeople[PersonName], ""), "")</f>
        <v>Julius Nyawira</v>
      </c>
      <c r="D784" s="15" t="s">
        <v>24</v>
      </c>
      <c r="E784" s="16" t="str">
        <f>IFERROR(_xlfn.XLOOKUP(D784, tblCourses[CourseID], tblCourses[CourseName], ""), "")</f>
        <v>Human Factors in Aviation (Initial)</v>
      </c>
      <c r="F784" s="17">
        <v>43238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5" spans="1:9" x14ac:dyDescent="0.25">
      <c r="A785" s="15">
        <f t="shared" si="12"/>
        <v>784</v>
      </c>
      <c r="B785" s="15" t="s">
        <v>107</v>
      </c>
      <c r="C785" s="15" t="str" cm="1">
        <f t="array" ref="C785">IFERROR(_xlfn.XLOOKUP(B785, tblPeople[PersonID], tblPeople[PersonName], ""), "")</f>
        <v>Julius Nyawira</v>
      </c>
      <c r="D785" s="15" t="s">
        <v>22</v>
      </c>
      <c r="E785" s="16" t="str">
        <f>IFERROR(_xlfn.XLOOKUP(D785, tblCourses[CourseID], tblCourses[CourseName], ""), "")</f>
        <v>Human Factors in Aviation (Refresher)</v>
      </c>
      <c r="F785" s="17">
        <v>43238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6" spans="1:9" x14ac:dyDescent="0.25">
      <c r="A786" s="15">
        <f t="shared" si="12"/>
        <v>785</v>
      </c>
      <c r="B786" s="15" t="s">
        <v>107</v>
      </c>
      <c r="C786" s="15" t="str" cm="1">
        <f t="array" ref="C786">IFERROR(_xlfn.XLOOKUP(B786, tblPeople[PersonID], tblPeople[PersonName], ""), "")</f>
        <v>Julius Nyawira</v>
      </c>
      <c r="D786" s="15" t="s">
        <v>20</v>
      </c>
      <c r="E786" s="16" t="str">
        <f>IFERROR(_xlfn.XLOOKUP(D786, tblCourses[CourseID], tblCourses[CourseName], ""), "")</f>
        <v>Safety Management Systems (Initial)</v>
      </c>
      <c r="F786" s="17">
        <v>43201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105</v>
      </c>
      <c r="C787" s="15" t="str" cm="1">
        <f t="array" ref="C787">IFERROR(_xlfn.XLOOKUP(B787, tblPeople[PersonID], tblPeople[PersonName], ""), "")</f>
        <v>Fred Magotsi</v>
      </c>
      <c r="D787" s="15" t="s">
        <v>28</v>
      </c>
      <c r="E787" s="16" t="str">
        <f>IFERROR(_xlfn.XLOOKUP(D787, tblCourses[CourseID], tblCourses[CourseName], ""), "")</f>
        <v>DHC-8 100/200/300 with PWC 120/120A/121/123B/C/D/E Series Engines(Refresher)</v>
      </c>
      <c r="F787" s="17">
        <v>43588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8" spans="1:9" x14ac:dyDescent="0.25">
      <c r="A788" s="15">
        <f t="shared" si="12"/>
        <v>787</v>
      </c>
      <c r="B788" s="15" t="s">
        <v>105</v>
      </c>
      <c r="C788" s="15" t="str" cm="1">
        <f t="array" ref="C788">IFERROR(_xlfn.XLOOKUP(B788, tblPeople[PersonID], tblPeople[PersonName], ""), "")</f>
        <v>Fred Magotsi</v>
      </c>
      <c r="D788" s="15" t="s">
        <v>369</v>
      </c>
      <c r="E788" s="16" t="str">
        <f>IFERROR(_xlfn.XLOOKUP(D788, tblCourses[CourseID], tblCourses[CourseName], ""), "")</f>
        <v>WinAir Version 7</v>
      </c>
      <c r="F788" s="17">
        <v>43805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9" spans="1:9" x14ac:dyDescent="0.25">
      <c r="A789" s="15">
        <f t="shared" si="12"/>
        <v>788</v>
      </c>
      <c r="B789" s="15" t="s">
        <v>105</v>
      </c>
      <c r="C789" s="15" t="str" cm="1">
        <f t="array" ref="C789">IFERROR(_xlfn.XLOOKUP(B789, tblPeople[PersonID], tblPeople[PersonName], ""), "")</f>
        <v>Fred Magotsi</v>
      </c>
      <c r="D789" s="15" t="s">
        <v>20</v>
      </c>
      <c r="E789" s="16" t="str">
        <f>IFERROR(_xlfn.XLOOKUP(D789, tblCourses[CourseID], tblCourses[CourseName], ""), "")</f>
        <v>Safety Management Systems (Initial)</v>
      </c>
      <c r="F789" s="17">
        <v>42879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0" spans="1:9" x14ac:dyDescent="0.25">
      <c r="A790" s="15">
        <f t="shared" si="12"/>
        <v>789</v>
      </c>
      <c r="B790" s="15" t="s">
        <v>105</v>
      </c>
      <c r="C790" s="15" t="str" cm="1">
        <f t="array" ref="C790">IFERROR(_xlfn.XLOOKUP(B790, tblPeople[PersonID], tblPeople[PersonName], ""), "")</f>
        <v>Fred Magotsi</v>
      </c>
      <c r="D790" s="15" t="s">
        <v>17</v>
      </c>
      <c r="E790" s="16" t="str">
        <f>IFERROR(_xlfn.XLOOKUP(D790, tblCourses[CourseID], tblCourses[CourseName], ""), "")</f>
        <v>Safety Management Systems (Refresher)</v>
      </c>
      <c r="F790" s="17">
        <v>43602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1" spans="1:9" x14ac:dyDescent="0.25">
      <c r="A791" s="15">
        <f t="shared" si="12"/>
        <v>790</v>
      </c>
      <c r="B791" s="15" t="s">
        <v>83</v>
      </c>
      <c r="C791" s="15" t="str" cm="1">
        <f t="array" ref="C791">IFERROR(_xlfn.XLOOKUP(B791, tblPeople[PersonID], tblPeople[PersonName], ""), "")</f>
        <v>Wycliffe Kanana</v>
      </c>
      <c r="D791" s="15" t="s">
        <v>225</v>
      </c>
      <c r="E791" s="16" t="str">
        <f>IFERROR(_xlfn.XLOOKUP(D791, tblCourses[CourseID], tblCourses[CourseName], ""), "")</f>
        <v>First Aid Training (Initial)</v>
      </c>
      <c r="F791" s="17">
        <v>43797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2" spans="1:9" x14ac:dyDescent="0.25">
      <c r="A792" s="15">
        <f t="shared" si="12"/>
        <v>791</v>
      </c>
      <c r="B792" s="15" t="s">
        <v>83</v>
      </c>
      <c r="C792" s="15" t="str" cm="1">
        <f t="array" ref="C792">IFERROR(_xlfn.XLOOKUP(B792, tblPeople[PersonID], tblPeople[PersonName], ""), "")</f>
        <v>Wycliffe Kanana</v>
      </c>
      <c r="D792" s="15" t="s">
        <v>226</v>
      </c>
      <c r="E792" s="16" t="str">
        <f>IFERROR(_xlfn.XLOOKUP(D792, tblCourses[CourseID], tblCourses[CourseName], ""), "")</f>
        <v>First Aid Training (Refresher)</v>
      </c>
      <c r="F792" s="17">
        <v>43797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3" spans="1:9" x14ac:dyDescent="0.25">
      <c r="A793" s="15">
        <f t="shared" si="12"/>
        <v>792</v>
      </c>
      <c r="B793" s="15" t="s">
        <v>83</v>
      </c>
      <c r="C793" s="15" t="str" cm="1">
        <f t="array" ref="C793">IFERROR(_xlfn.XLOOKUP(B793, tblPeople[PersonID], tblPeople[PersonName], ""), "")</f>
        <v>Wycliffe Kanana</v>
      </c>
      <c r="D793" s="15" t="s">
        <v>20</v>
      </c>
      <c r="E793" s="16" t="str">
        <f>IFERROR(_xlfn.XLOOKUP(D793, tblCourses[CourseID], tblCourses[CourseName], ""), "")</f>
        <v>Safety Management Systems (Initial)</v>
      </c>
      <c r="F793" s="17">
        <v>43859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4" spans="1:9" x14ac:dyDescent="0.25">
      <c r="A794" s="15">
        <f t="shared" si="12"/>
        <v>793</v>
      </c>
      <c r="B794" s="15" t="s">
        <v>118</v>
      </c>
      <c r="C794" s="15" t="str" cm="1">
        <f t="array" ref="C794">IFERROR(_xlfn.XLOOKUP(B794, tblPeople[PersonID], tblPeople[PersonName], ""), "")</f>
        <v>Michael Olunga</v>
      </c>
      <c r="D794" s="15" t="s">
        <v>20</v>
      </c>
      <c r="E794" s="16" t="str">
        <f>IFERROR(_xlfn.XLOOKUP(D794, tblCourses[CourseID], tblCourses[CourseName], ""), "")</f>
        <v>Safety Management Systems (Initial)</v>
      </c>
      <c r="F794" s="17">
        <v>43699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104</v>
      </c>
      <c r="C795" s="15" t="str" cm="1">
        <f t="array" ref="C795">IFERROR(_xlfn.XLOOKUP(B795, tblPeople[PersonID], tblPeople[PersonName], ""), "")</f>
        <v>Douglas Hurgins</v>
      </c>
      <c r="D795" s="15" t="s">
        <v>24</v>
      </c>
      <c r="E795" s="16" t="str">
        <f>IFERROR(_xlfn.XLOOKUP(D795, tblCourses[CourseID], tblCourses[CourseName], ""), "")</f>
        <v>Human Factors in Aviation (Initial)</v>
      </c>
      <c r="F795" s="17">
        <v>43636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6" spans="1:9" x14ac:dyDescent="0.25">
      <c r="A796" s="15">
        <f t="shared" si="12"/>
        <v>795</v>
      </c>
      <c r="B796" s="15" t="s">
        <v>104</v>
      </c>
      <c r="C796" s="15" t="str" cm="1">
        <f t="array" ref="C796">IFERROR(_xlfn.XLOOKUP(B796, tblPeople[PersonID], tblPeople[PersonName], ""), "")</f>
        <v>Douglas Hurgins</v>
      </c>
      <c r="D796" s="15" t="s">
        <v>225</v>
      </c>
      <c r="E796" s="16" t="str">
        <f>IFERROR(_xlfn.XLOOKUP(D796, tblCourses[CourseID], tblCourses[CourseName], ""), "")</f>
        <v>First Aid Training (Initial)</v>
      </c>
      <c r="F796" s="17">
        <v>43797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104</v>
      </c>
      <c r="C797" s="15" t="str" cm="1">
        <f t="array" ref="C797">IFERROR(_xlfn.XLOOKUP(B797, tblPeople[PersonID], tblPeople[PersonName], ""), "")</f>
        <v>Douglas Hurgins</v>
      </c>
      <c r="D797" s="15" t="s">
        <v>226</v>
      </c>
      <c r="E797" s="16" t="str">
        <f>IFERROR(_xlfn.XLOOKUP(D797, tblCourses[CourseID], tblCourses[CourseName], ""), "")</f>
        <v>First Aid Training (Refresher)</v>
      </c>
      <c r="F797" s="17">
        <v>43797</v>
      </c>
      <c r="G797" s="17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797" s="15">
        <f ca="1">IF(OR(tblTraining[[#This Row],[Status]]="Renewed",tblTraining[[#This Row],[NextDueDate]]=""),"",tblTraining[[#This Row],[NextDueDate]]-TODAY())</f>
        <v>-1393</v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8" spans="1:9" x14ac:dyDescent="0.25">
      <c r="A798" s="15">
        <f t="shared" si="12"/>
        <v>797</v>
      </c>
      <c r="B798" s="15" t="s">
        <v>104</v>
      </c>
      <c r="C798" s="15" t="str" cm="1">
        <f t="array" ref="C798">IFERROR(_xlfn.XLOOKUP(B798, tblPeople[PersonID], tblPeople[PersonName], ""), "")</f>
        <v>Douglas Hurgins</v>
      </c>
      <c r="D798" s="15" t="s">
        <v>20</v>
      </c>
      <c r="E798" s="16" t="str">
        <f>IFERROR(_xlfn.XLOOKUP(D798, tblCourses[CourseID], tblCourses[CourseName], ""), "")</f>
        <v>Safety Management Systems (Initial)</v>
      </c>
      <c r="F798" s="17">
        <v>43699</v>
      </c>
      <c r="G798" s="17" t="str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8" s="15" t="str">
        <f ca="1">IF(OR(tblTraining[[#This Row],[Status]]="Renewed",tblTraining[[#This Row],[NextDueDate]]=""),"",tblTraining[[#This Row],[NextDueDate]]-TODAY())</f>
        <v/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9" spans="1:9" x14ac:dyDescent="0.25">
      <c r="A799" s="15">
        <f t="shared" si="12"/>
        <v>798</v>
      </c>
      <c r="B799" s="15" t="s">
        <v>208</v>
      </c>
      <c r="C799" s="15" t="str" cm="1">
        <f t="array" ref="C799">IFERROR(_xlfn.XLOOKUP(B799, tblPeople[PersonID], tblPeople[PersonName], ""), "")</f>
        <v xml:space="preserve">Edwin Kemei </v>
      </c>
      <c r="D799" s="15" t="s">
        <v>20</v>
      </c>
      <c r="E799" s="16" t="str">
        <f>IFERROR(_xlfn.XLOOKUP(D799, tblCourses[CourseID], tblCourses[CourseName], ""), "")</f>
        <v>Safety Management Systems (Initial)</v>
      </c>
      <c r="F799" s="17">
        <v>43699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208</v>
      </c>
      <c r="C800" s="15" t="str" cm="1">
        <f t="array" ref="C800">IFERROR(_xlfn.XLOOKUP(B800, tblPeople[PersonID], tblPeople[PersonName], ""), "")</f>
        <v xml:space="preserve">Edwin Kemei </v>
      </c>
      <c r="D800" s="15" t="s">
        <v>24</v>
      </c>
      <c r="E800" s="16" t="str">
        <f>IFERROR(_xlfn.XLOOKUP(D800, tblCourses[CourseID], tblCourses[CourseName], ""), "")</f>
        <v>Human Factors in Aviation (Initial)</v>
      </c>
      <c r="F800" s="17">
        <v>43853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1" spans="1:9" x14ac:dyDescent="0.25">
      <c r="A801" s="15">
        <f t="shared" si="12"/>
        <v>800</v>
      </c>
      <c r="B801" s="15" t="s">
        <v>156</v>
      </c>
      <c r="C801" s="15" t="str" cm="1">
        <f t="array" ref="C801">IFERROR(_xlfn.XLOOKUP(B801, tblPeople[PersonID], tblPeople[PersonName], ""), "")</f>
        <v>Stephen Mutambu</v>
      </c>
      <c r="D801" s="15" t="s">
        <v>20</v>
      </c>
      <c r="E801" s="16" t="str">
        <f>IFERROR(_xlfn.XLOOKUP(D801, tblCourses[CourseID], tblCourses[CourseName], ""), "")</f>
        <v>Safety Management Systems (Initial)</v>
      </c>
      <c r="F801" s="17">
        <v>44070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2"/>
        <v>801</v>
      </c>
      <c r="B802" s="15" t="s">
        <v>156</v>
      </c>
      <c r="C802" s="15" t="str" cm="1">
        <f t="array" ref="C802">IFERROR(_xlfn.XLOOKUP(B802, tblPeople[PersonID], tblPeople[PersonName], ""), "")</f>
        <v>Stephen Mutambu</v>
      </c>
      <c r="D802" s="15" t="s">
        <v>24</v>
      </c>
      <c r="E802" s="16" t="str">
        <f>IFERROR(_xlfn.XLOOKUP(D802, tblCourses[CourseID], tblCourses[CourseName], ""), "")</f>
        <v>Human Factors in Aviation (Initial)</v>
      </c>
      <c r="F802" s="17">
        <v>44205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3" spans="1:9" x14ac:dyDescent="0.25">
      <c r="A803" s="15">
        <f t="shared" si="12"/>
        <v>802</v>
      </c>
      <c r="B803" s="15" t="s">
        <v>113</v>
      </c>
      <c r="C803" s="15" t="str" cm="1">
        <f t="array" ref="C803">IFERROR(_xlfn.XLOOKUP(B803, tblPeople[PersonID], tblPeople[PersonName], ""), "")</f>
        <v>Ann Mwangi</v>
      </c>
      <c r="D803" s="15" t="s">
        <v>369</v>
      </c>
      <c r="E803" s="16" t="str">
        <f>IFERROR(_xlfn.XLOOKUP(D803, tblCourses[CourseID], tblCourses[CourseName], ""), "")</f>
        <v>WinAir Version 7</v>
      </c>
      <c r="F803" s="17">
        <v>43805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4" spans="1:9" x14ac:dyDescent="0.25">
      <c r="A804" s="15">
        <f t="shared" si="12"/>
        <v>803</v>
      </c>
      <c r="B804" s="15" t="s">
        <v>354</v>
      </c>
      <c r="C804" s="15" t="str" cm="1">
        <f t="array" ref="C804">IFERROR(_xlfn.XLOOKUP(B804, tblPeople[PersonID], tblPeople[PersonName], ""), "")</f>
        <v>Jackline Muembu</v>
      </c>
      <c r="D804" s="15" t="s">
        <v>20</v>
      </c>
      <c r="E804" s="16" t="str">
        <f>IFERROR(_xlfn.XLOOKUP(D804, tblCourses[CourseID], tblCourses[CourseName], ""), "")</f>
        <v>Safety Management Systems (Initial)</v>
      </c>
      <c r="F804" s="17">
        <v>43628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2"/>
        <v>804</v>
      </c>
      <c r="B805" s="15" t="s">
        <v>354</v>
      </c>
      <c r="C805" s="15" t="str" cm="1">
        <f t="array" ref="C805">IFERROR(_xlfn.XLOOKUP(B805, tblPeople[PersonID], tblPeople[PersonName], ""), "")</f>
        <v>Jackline Muembu</v>
      </c>
      <c r="D805" s="15" t="s">
        <v>17</v>
      </c>
      <c r="E805" s="16" t="str">
        <f>IFERROR(_xlfn.XLOOKUP(D805, tblCourses[CourseID], tblCourses[CourseName], ""), "")</f>
        <v>Safety Management Systems (Refresher)</v>
      </c>
      <c r="F805" s="17">
        <v>43628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6" spans="1:9" x14ac:dyDescent="0.25">
      <c r="A806" s="15">
        <f t="shared" si="12"/>
        <v>805</v>
      </c>
      <c r="B806" s="15" t="s">
        <v>268</v>
      </c>
      <c r="C806" s="15" t="str" cm="1">
        <f t="array" ref="C806">IFERROR(_xlfn.XLOOKUP(B806, tblPeople[PersonID], tblPeople[PersonName], ""), "")</f>
        <v>Dorine Edna</v>
      </c>
      <c r="D806" s="15" t="s">
        <v>126</v>
      </c>
      <c r="E806" s="16" t="str">
        <f>IFERROR(_xlfn.XLOOKUP(D806, tblCourses[CourseID], tblCourses[CourseName], ""), "")</f>
        <v>Maintenance Indoctrination</v>
      </c>
      <c r="F806" s="17">
        <v>45973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354</v>
      </c>
      <c r="C807" s="15" t="str" cm="1">
        <f t="array" ref="C807">IFERROR(_xlfn.XLOOKUP(B807, tblPeople[PersonID], tblPeople[PersonName], ""), "")</f>
        <v>Jackline Muembu</v>
      </c>
      <c r="D807" s="15" t="s">
        <v>126</v>
      </c>
      <c r="E807" s="16" t="str">
        <f>IFERROR(_xlfn.XLOOKUP(D807, tblCourses[CourseID], tblCourses[CourseName], ""), "")</f>
        <v>Maintenance Indoctrination</v>
      </c>
      <c r="F807" s="17">
        <v>45973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8" spans="1:9" x14ac:dyDescent="0.25">
      <c r="A808" s="15">
        <f t="shared" si="12"/>
        <v>807</v>
      </c>
      <c r="B808" s="15" t="s">
        <v>268</v>
      </c>
      <c r="C808" s="15" t="str" cm="1">
        <f t="array" ref="C808">IFERROR(_xlfn.XLOOKUP(B808, tblPeople[PersonID], tblPeople[PersonName], ""), "")</f>
        <v>Dorine Edna</v>
      </c>
      <c r="D808" s="15" t="s">
        <v>353</v>
      </c>
      <c r="E808" s="16" t="str">
        <f>IFERROR(_xlfn.XLOOKUP(D808, tblCourses[CourseID], tblCourses[CourseName], ""), "")</f>
        <v>Maintenance Procedures &amp; Standard Maintenance Practices (Initial)</v>
      </c>
      <c r="F808" s="17">
        <v>45973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268</v>
      </c>
      <c r="C809" s="15" t="str" cm="1">
        <f t="array" ref="C809">IFERROR(_xlfn.XLOOKUP(B809, tblPeople[PersonID], tblPeople[PersonName], ""), "")</f>
        <v>Dorine Edna</v>
      </c>
      <c r="D809" s="15" t="s">
        <v>198</v>
      </c>
      <c r="E809" s="16" t="str">
        <f>IFERROR(_xlfn.XLOOKUP(D809, tblCourses[CourseID], tblCourses[CourseName], ""), "")</f>
        <v>Maintenance Procedures &amp; Standard Maintenance Practices (Refresher)</v>
      </c>
      <c r="F809" s="17">
        <v>45973</v>
      </c>
      <c r="G809" s="17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09" s="15">
        <f ca="1">IF(OR(tblTraining[[#This Row],[Status]]="Renewed",tblTraining[[#This Row],[NextDueDate]]=""),"",tblTraining[[#This Row],[NextDueDate]]-TODAY())</f>
        <v>417</v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0" spans="1:9" x14ac:dyDescent="0.25">
      <c r="A810" s="15">
        <f t="shared" si="12"/>
        <v>809</v>
      </c>
      <c r="B810" s="15" t="s">
        <v>354</v>
      </c>
      <c r="C810" s="15" t="str" cm="1">
        <f t="array" ref="C810">IFERROR(_xlfn.XLOOKUP(B810, tblPeople[PersonID], tblPeople[PersonName], ""), "")</f>
        <v>Jackline Muembu</v>
      </c>
      <c r="D810" s="15" t="s">
        <v>353</v>
      </c>
      <c r="E810" s="16" t="str">
        <f>IFERROR(_xlfn.XLOOKUP(D810, tblCourses[CourseID], tblCourses[CourseName], ""), "")</f>
        <v>Maintenance Procedures &amp; Standard Maintenance Practices (Initial)</v>
      </c>
      <c r="F810" s="17">
        <v>45973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2"/>
        <v>810</v>
      </c>
      <c r="B811" s="15" t="s">
        <v>354</v>
      </c>
      <c r="C811" s="15" t="str" cm="1">
        <f t="array" ref="C811">IFERROR(_xlfn.XLOOKUP(B811, tblPeople[PersonID], tblPeople[PersonName], ""), "")</f>
        <v>Jackline Muembu</v>
      </c>
      <c r="D811" s="15" t="s">
        <v>198</v>
      </c>
      <c r="E811" s="16" t="str">
        <f>IFERROR(_xlfn.XLOOKUP(D811, tblCourses[CourseID], tblCourses[CourseName], ""), "")</f>
        <v>Maintenance Procedures &amp; Standard Maintenance Practices (Refresher)</v>
      </c>
      <c r="F811" s="17">
        <v>45973</v>
      </c>
      <c r="G811" s="17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11" s="15">
        <f ca="1">IF(OR(tblTraining[[#This Row],[Status]]="Renewed",tblTraining[[#This Row],[NextDueDate]]=""),"",tblTraining[[#This Row],[NextDueDate]]-TODAY())</f>
        <v>417</v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268</v>
      </c>
      <c r="C812" s="15" t="str" cm="1">
        <f t="array" ref="C812">IFERROR(_xlfn.XLOOKUP(B812, tblPeople[PersonID], tblPeople[PersonName], ""), "")</f>
        <v>Dorine Edna</v>
      </c>
      <c r="D812" s="15" t="s">
        <v>172</v>
      </c>
      <c r="E812" s="16" t="str">
        <f>IFERROR(_xlfn.XLOOKUP(D812, tblCourses[CourseID], tblCourses[CourseName], ""), "")</f>
        <v>Aviation Technical Records &amp; Stores Management (TRS)</v>
      </c>
      <c r="F812" s="17">
        <v>43616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3" spans="1:9" x14ac:dyDescent="0.25">
      <c r="A813" s="15">
        <f t="shared" si="12"/>
        <v>812</v>
      </c>
      <c r="B813" s="15" t="s">
        <v>103</v>
      </c>
      <c r="C813" s="15" t="str" cm="1">
        <f t="array" ref="C813">IFERROR(_xlfn.XLOOKUP(B813, tblPeople[PersonID], tblPeople[PersonName], ""), "")</f>
        <v>Smith Harun</v>
      </c>
      <c r="D813" s="15" t="s">
        <v>17</v>
      </c>
      <c r="E813" s="16" t="str">
        <f>IFERROR(_xlfn.XLOOKUP(D813, tblCourses[CourseID], tblCourses[CourseName], ""), "")</f>
        <v>Safety Management Systems (Refresher)</v>
      </c>
      <c r="F813" s="17">
        <v>44369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4" spans="1:9" x14ac:dyDescent="0.25">
      <c r="A814" s="15">
        <f t="shared" si="12"/>
        <v>813</v>
      </c>
      <c r="B814" s="15" t="s">
        <v>105</v>
      </c>
      <c r="C814" s="15" t="str" cm="1">
        <f t="array" ref="C814">IFERROR(_xlfn.XLOOKUP(B814, tblPeople[PersonID], tblPeople[PersonName], ""), "")</f>
        <v>Fred Magotsi</v>
      </c>
      <c r="D814" s="15" t="s">
        <v>17</v>
      </c>
      <c r="E814" s="16" t="str">
        <f>IFERROR(_xlfn.XLOOKUP(D814, tblCourses[CourseID], tblCourses[CourseName], ""), "")</f>
        <v>Safety Management Systems (Refresher)</v>
      </c>
      <c r="F814" s="17">
        <v>44369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5" spans="1:9" x14ac:dyDescent="0.25">
      <c r="A815" s="15">
        <f t="shared" si="12"/>
        <v>814</v>
      </c>
      <c r="B815" s="15" t="s">
        <v>106</v>
      </c>
      <c r="C815" s="15" t="str" cm="1">
        <f t="array" ref="C815">IFERROR(_xlfn.XLOOKUP(B815, tblPeople[PersonID], tblPeople[PersonName], ""), "")</f>
        <v>James Mugo</v>
      </c>
      <c r="D815" s="15" t="s">
        <v>17</v>
      </c>
      <c r="E815" s="16" t="str">
        <f>IFERROR(_xlfn.XLOOKUP(D815, tblCourses[CourseID], tblCourses[CourseName], ""), "")</f>
        <v>Safety Management Systems (Refresher)</v>
      </c>
      <c r="F815" s="17">
        <v>44369</v>
      </c>
      <c r="G815" s="17" t="str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5" s="15" t="str">
        <f ca="1">IF(OR(tblTraining[[#This Row],[Status]]="Renewed",tblTraining[[#This Row],[NextDueDate]]=""),"",tblTraining[[#This Row],[NextDueDate]]-TODAY())</f>
        <v/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6" spans="1:9" x14ac:dyDescent="0.25">
      <c r="A816" s="15">
        <f t="shared" si="12"/>
        <v>815</v>
      </c>
      <c r="B816" s="15" t="s">
        <v>106</v>
      </c>
      <c r="C816" s="15" t="str" cm="1">
        <f t="array" ref="C816">IFERROR(_xlfn.XLOOKUP(B816, tblPeople[PersonID], tblPeople[PersonName], ""), "")</f>
        <v>James Mugo</v>
      </c>
      <c r="D816" s="15" t="s">
        <v>22</v>
      </c>
      <c r="E816" s="16" t="str">
        <f>IFERROR(_xlfn.XLOOKUP(D816, tblCourses[CourseID], tblCourses[CourseName], ""), "")</f>
        <v>Human Factors in Aviation (Refresher)</v>
      </c>
      <c r="F816" s="17">
        <v>44397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7" spans="1:9" x14ac:dyDescent="0.25">
      <c r="A817" s="15">
        <f t="shared" si="12"/>
        <v>816</v>
      </c>
      <c r="B817" s="15" t="s">
        <v>85</v>
      </c>
      <c r="C817" s="15" t="str" cm="1">
        <f t="array" ref="C817">IFERROR(_xlfn.XLOOKUP(B817, tblPeople[PersonID], tblPeople[PersonName], ""), "")</f>
        <v>Titus Shunza</v>
      </c>
      <c r="D817" s="15" t="s">
        <v>24</v>
      </c>
      <c r="E817" s="16" t="str">
        <f>IFERROR(_xlfn.XLOOKUP(D817, tblCourses[CourseID], tblCourses[CourseName], ""), "")</f>
        <v>Human Factors in Aviation (Initial)</v>
      </c>
      <c r="F817" s="17">
        <v>44010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85</v>
      </c>
      <c r="C818" s="15" t="str" cm="1">
        <f t="array" ref="C818">IFERROR(_xlfn.XLOOKUP(B818, tblPeople[PersonID], tblPeople[PersonName], ""), "")</f>
        <v>Titus Shunza</v>
      </c>
      <c r="D818" s="15" t="s">
        <v>27</v>
      </c>
      <c r="E818" s="16" t="str">
        <f>IFERROR(_xlfn.XLOOKUP(D818, tblCourses[CourseID], tblCourses[CourseName], ""), "")</f>
        <v>Pratt &amp; Whitney Canada PT6A Engine With P&amp;WC PT6A
20/ 27/ 41/ 42/ 60A/ 67D/ 112/ 114A/ 140 (Initial)</v>
      </c>
      <c r="F818" s="17">
        <v>43890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2"/>
        <v>818</v>
      </c>
      <c r="B819" s="15" t="s">
        <v>85</v>
      </c>
      <c r="C819" s="15" t="str" cm="1">
        <f t="array" ref="C819">IFERROR(_xlfn.XLOOKUP(B819, tblPeople[PersonID], tblPeople[PersonName], ""), "")</f>
        <v>Titus Shunza</v>
      </c>
      <c r="D819" s="15" t="s">
        <v>32</v>
      </c>
      <c r="E819" s="16" t="str">
        <f>IFERROR(_xlfn.XLOOKUP(D819, tblCourses[CourseID], tblCourses[CourseName], ""), "")</f>
        <v>Dangerous Goods Regulations (CBTA 7.3) (Initial)</v>
      </c>
      <c r="F819" s="17">
        <v>43978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85</v>
      </c>
      <c r="C820" s="15" t="str" cm="1">
        <f t="array" ref="C820">IFERROR(_xlfn.XLOOKUP(B820, tblPeople[PersonID], tblPeople[PersonName], ""), "")</f>
        <v>Titus Shunza</v>
      </c>
      <c r="D820" s="15" t="s">
        <v>29</v>
      </c>
      <c r="E820" s="16" t="str">
        <f>IFERROR(_xlfn.XLOOKUP(D820, tblCourses[CourseID], tblCourses[CourseName], ""), "")</f>
        <v>DHC-8 100/200/300 with PWC 120/120A/121/123B/C/D/E Series Engines(Initial)</v>
      </c>
      <c r="F820" s="17">
        <v>43158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85</v>
      </c>
      <c r="C821" s="15" t="str" cm="1">
        <f t="array" ref="C821">IFERROR(_xlfn.XLOOKUP(B821, tblPeople[PersonID], tblPeople[PersonName], ""), "")</f>
        <v>Titus Shunza</v>
      </c>
      <c r="D821" s="15" t="s">
        <v>177</v>
      </c>
      <c r="E821" s="16" t="str">
        <f>IFERROR(_xlfn.XLOOKUP(D821, tblCourses[CourseID], tblCourses[CourseName], ""), "")</f>
        <v>Cessna 208 Series (Caravan) With P&amp;WC PT6A-114/ -114A/ -140 Engines (Initial)</v>
      </c>
      <c r="F821" s="17">
        <v>43890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85</v>
      </c>
      <c r="C822" s="15" t="str" cm="1">
        <f t="array" ref="C822">IFERROR(_xlfn.XLOOKUP(B822, tblPeople[PersonID], tblPeople[PersonName], ""), "")</f>
        <v>Titus Shunza</v>
      </c>
      <c r="D822" s="15" t="s">
        <v>28</v>
      </c>
      <c r="E822" s="16" t="str">
        <f>IFERROR(_xlfn.XLOOKUP(D822, tblCourses[CourseID], tblCourses[CourseName], ""), "")</f>
        <v>DHC-8 100/200/300 with PWC 120/120A/121/123B/C/D/E Series Engines(Refresher)</v>
      </c>
      <c r="F822" s="17">
        <v>45135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2"/>
        <v>822</v>
      </c>
      <c r="B823" s="15" t="s">
        <v>85</v>
      </c>
      <c r="C823" s="15" t="str" cm="1">
        <f t="array" ref="C823">IFERROR(_xlfn.XLOOKUP(B823, tblPeople[PersonID], tblPeople[PersonName], ""), "")</f>
        <v>Titus Shunza</v>
      </c>
      <c r="D823" s="15" t="s">
        <v>178</v>
      </c>
      <c r="E823" s="16" t="str">
        <f>IFERROR(_xlfn.XLOOKUP(D823, tblCourses[CourseID], tblCourses[CourseName], ""), "")</f>
        <v>Cessna 208 Series (Caravan) With P&amp;WC PT6A-114/ -114A/ -140 Engines (Refresher)</v>
      </c>
      <c r="F823" s="17">
        <v>44596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4" spans="1:9" x14ac:dyDescent="0.25">
      <c r="A824" s="15">
        <f t="shared" si="12"/>
        <v>823</v>
      </c>
      <c r="B824" s="15" t="s">
        <v>101</v>
      </c>
      <c r="C824" s="15" t="str" cm="1">
        <f t="array" ref="C824">IFERROR(_xlfn.XLOOKUP(B824, tblPeople[PersonID], tblPeople[PersonName], ""), "")</f>
        <v>Paul Mzera</v>
      </c>
      <c r="D824" s="15" t="s">
        <v>29</v>
      </c>
      <c r="E824" s="16" t="str">
        <f>IFERROR(_xlfn.XLOOKUP(D824, tblCourses[CourseID], tblCourses[CourseName], ""), "")</f>
        <v>DHC-8 100/200/300 with PWC 120/120A/121/123B/C/D/E Series Engines(Initial)</v>
      </c>
      <c r="F824" s="17">
        <v>44869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101</v>
      </c>
      <c r="C825" s="15" t="str" cm="1">
        <f t="array" ref="C825">IFERROR(_xlfn.XLOOKUP(B825, tblPeople[PersonID], tblPeople[PersonName], ""), "")</f>
        <v>Paul Mzera</v>
      </c>
      <c r="D825" s="15" t="s">
        <v>27</v>
      </c>
      <c r="E825" s="16" t="str">
        <f>IFERROR(_xlfn.XLOOKUP(D825, tblCourses[CourseID], tblCourses[CourseName], ""), "")</f>
        <v>Pratt &amp; Whitney Canada PT6A Engine With P&amp;WC PT6A
20/ 27/ 41/ 42/ 60A/ 67D/ 112/ 114A/ 140 (Initial)</v>
      </c>
      <c r="F825" s="17">
        <v>43798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101</v>
      </c>
      <c r="C826" s="15" t="str" cm="1">
        <f t="array" ref="C826">IFERROR(_xlfn.XLOOKUP(B826, tblPeople[PersonID], tblPeople[PersonName], ""), "")</f>
        <v>Paul Mzera</v>
      </c>
      <c r="D826" s="15" t="s">
        <v>177</v>
      </c>
      <c r="E826" s="16" t="str">
        <f>IFERROR(_xlfn.XLOOKUP(D826, tblCourses[CourseID], tblCourses[CourseName], ""), "")</f>
        <v>Cessna 208 Series (Caravan) With P&amp;WC PT6A-114/ -114A/ -140 Engines (Initial)</v>
      </c>
      <c r="F826" s="17">
        <v>43798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2"/>
        <v>826</v>
      </c>
      <c r="B827" s="15" t="s">
        <v>100</v>
      </c>
      <c r="C827" s="15" t="str" cm="1">
        <f t="array" ref="C827">IFERROR(_xlfn.XLOOKUP(B827, tblPeople[PersonID], tblPeople[PersonName], ""), "")</f>
        <v>John Muriithi</v>
      </c>
      <c r="D827" s="15" t="s">
        <v>32</v>
      </c>
      <c r="E827" s="16" t="str">
        <f>IFERROR(_xlfn.XLOOKUP(D827, tblCourses[CourseID], tblCourses[CourseName], ""), "")</f>
        <v>Dangerous Goods Regulations (CBTA 7.3) (Initial)</v>
      </c>
      <c r="F827" s="17">
        <v>44109</v>
      </c>
      <c r="G827" s="17" t="str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7" s="15" t="str">
        <f ca="1">IF(OR(tblTraining[[#This Row],[Status]]="Renewed",tblTraining[[#This Row],[NextDueDate]]=""),"",tblTraining[[#This Row],[NextDueDate]]-TODAY())</f>
        <v/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100</v>
      </c>
      <c r="C828" s="15" t="str" cm="1">
        <f t="array" ref="C828">IFERROR(_xlfn.XLOOKUP(B828, tblPeople[PersonID], tblPeople[PersonName], ""), "")</f>
        <v>John Muriithi</v>
      </c>
      <c r="D828" s="15" t="s">
        <v>369</v>
      </c>
      <c r="E828" s="16" t="str">
        <f>IFERROR(_xlfn.XLOOKUP(D828, tblCourses[CourseID], tblCourses[CourseName], ""), "")</f>
        <v>WinAir Version 7</v>
      </c>
      <c r="F828" s="17">
        <v>43805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149</v>
      </c>
      <c r="C829" s="15" t="str" cm="1">
        <f t="array" ref="C829">IFERROR(_xlfn.XLOOKUP(B829, tblPeople[PersonID], tblPeople[PersonName], ""), "")</f>
        <v>Kea Kazungu</v>
      </c>
      <c r="D829" s="15" t="s">
        <v>25</v>
      </c>
      <c r="E829" s="16" t="str">
        <f>IFERROR(_xlfn.XLOOKUP(D829, tblCourses[CourseID], tblCourses[CourseName], ""), "")</f>
        <v>Pratt &amp; Whitney Canada PT6A Engine With P&amp;WC PT6A
20/ 27/ 41/ 42/ 60A/ 67D/ 112/ 114A/ 140 (Refresher)</v>
      </c>
      <c r="F829" s="17">
        <v>44488</v>
      </c>
      <c r="G829" s="17" t="str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9" s="15" t="str">
        <f ca="1">IF(OR(tblTraining[[#This Row],[Status]]="Renewed",tblTraining[[#This Row],[NextDueDate]]=""),"",tblTraining[[#This Row],[NextDueDate]]-TODAY())</f>
        <v/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0" spans="1:9" x14ac:dyDescent="0.25">
      <c r="A830" s="15">
        <f t="shared" si="12"/>
        <v>829</v>
      </c>
      <c r="B830" s="15" t="s">
        <v>149</v>
      </c>
      <c r="C830" s="15" t="str" cm="1">
        <f t="array" ref="C830">IFERROR(_xlfn.XLOOKUP(B830, tblPeople[PersonID], tblPeople[PersonName], ""), "")</f>
        <v>Kea Kazungu</v>
      </c>
      <c r="D830" s="15" t="s">
        <v>178</v>
      </c>
      <c r="E830" s="16" t="str">
        <f>IFERROR(_xlfn.XLOOKUP(D830, tblCourses[CourseID], tblCourses[CourseName], ""), "")</f>
        <v>Cessna 208 Series (Caravan) With P&amp;WC PT6A-114/ -114A/ -140 Engines (Refresher)</v>
      </c>
      <c r="F830" s="17">
        <v>44595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1" spans="1:9" x14ac:dyDescent="0.25">
      <c r="A831" s="15">
        <f t="shared" si="12"/>
        <v>830</v>
      </c>
      <c r="B831" s="15" t="s">
        <v>149</v>
      </c>
      <c r="C831" s="15" t="str" cm="1">
        <f t="array" ref="C831">IFERROR(_xlfn.XLOOKUP(B831, tblPeople[PersonID], tblPeople[PersonName], ""), "")</f>
        <v>Kea Kazungu</v>
      </c>
      <c r="D831" s="15" t="s">
        <v>232</v>
      </c>
      <c r="E831" s="16" t="str">
        <f>IFERROR(_xlfn.XLOOKUP(D831, tblCourses[CourseID], tblCourses[CourseName], ""), "")</f>
        <v>Crew Resource Management (Initial)</v>
      </c>
      <c r="F831" s="17">
        <v>43857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2" spans="1:9" x14ac:dyDescent="0.25">
      <c r="A832" s="15">
        <f t="shared" si="12"/>
        <v>831</v>
      </c>
      <c r="B832" s="15" t="s">
        <v>162</v>
      </c>
      <c r="C832" s="15" t="str" cm="1">
        <f t="array" ref="C832">IFERROR(_xlfn.XLOOKUP(B832, tblPeople[PersonID], tblPeople[PersonName], ""), "")</f>
        <v>Hannah Wambui</v>
      </c>
      <c r="D832" s="15" t="s">
        <v>24</v>
      </c>
      <c r="E832" s="16" t="str">
        <f>IFERROR(_xlfn.XLOOKUP(D832, tblCourses[CourseID], tblCourses[CourseName], ""), "")</f>
        <v>Human Factors in Aviation (Initial)</v>
      </c>
      <c r="F832" s="17">
        <v>44363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3" spans="1:9" x14ac:dyDescent="0.25">
      <c r="A833" s="15">
        <f t="shared" si="12"/>
        <v>832</v>
      </c>
      <c r="B833" s="15" t="s">
        <v>162</v>
      </c>
      <c r="C833" s="15" t="str" cm="1">
        <f t="array" ref="C833">IFERROR(_xlfn.XLOOKUP(B833, tblPeople[PersonID], tblPeople[PersonName], ""), "")</f>
        <v>Hannah Wambui</v>
      </c>
      <c r="D833" s="15" t="s">
        <v>22</v>
      </c>
      <c r="E833" s="16" t="str">
        <f>IFERROR(_xlfn.XLOOKUP(D833, tblCourses[CourseID], tblCourses[CourseName], ""), "")</f>
        <v>Human Factors in Aviation (Refresher)</v>
      </c>
      <c r="F833" s="17">
        <v>44363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4" spans="1:9" x14ac:dyDescent="0.25">
      <c r="A834" s="15">
        <f t="shared" si="12"/>
        <v>833</v>
      </c>
      <c r="B834" s="15" t="s">
        <v>162</v>
      </c>
      <c r="C834" s="15" t="str" cm="1">
        <f t="array" ref="C834">IFERROR(_xlfn.XLOOKUP(B834, tblPeople[PersonID], tblPeople[PersonName], ""), "")</f>
        <v>Hannah Wambui</v>
      </c>
      <c r="D834" s="15" t="s">
        <v>20</v>
      </c>
      <c r="E834" s="16" t="str">
        <f>IFERROR(_xlfn.XLOOKUP(D834, tblCourses[CourseID], tblCourses[CourseName], ""), "")</f>
        <v>Safety Management Systems (Initial)</v>
      </c>
      <c r="F834" s="17">
        <v>44293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5" spans="1:9" x14ac:dyDescent="0.25">
      <c r="A835" s="15">
        <f t="shared" si="12"/>
        <v>834</v>
      </c>
      <c r="B835" s="15" t="s">
        <v>117</v>
      </c>
      <c r="C835" s="15" t="str" cm="1">
        <f t="array" ref="C835">IFERROR(_xlfn.XLOOKUP(B835, tblPeople[PersonID], tblPeople[PersonName], ""), "")</f>
        <v>Mercy Etende</v>
      </c>
      <c r="D835" s="15" t="s">
        <v>24</v>
      </c>
      <c r="E835" s="16" t="str">
        <f>IFERROR(_xlfn.XLOOKUP(D835, tblCourses[CourseID], tblCourses[CourseName], ""), "")</f>
        <v>Human Factors in Aviation (Initial)</v>
      </c>
      <c r="F835" s="17">
        <v>44365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ref="A836:A899" si="13">A835+1</f>
        <v>835</v>
      </c>
      <c r="B836" s="15" t="s">
        <v>117</v>
      </c>
      <c r="C836" s="15" t="str" cm="1">
        <f t="array" ref="C836">IFERROR(_xlfn.XLOOKUP(B836, tblPeople[PersonID], tblPeople[PersonName], ""), "")</f>
        <v>Mercy Etende</v>
      </c>
      <c r="D836" s="15" t="s">
        <v>20</v>
      </c>
      <c r="E836" s="16" t="str">
        <f>IFERROR(_xlfn.XLOOKUP(D836, tblCourses[CourseID], tblCourses[CourseName], ""), "")</f>
        <v>Safety Management Systems (Initial)</v>
      </c>
      <c r="F836" s="17">
        <v>44253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113</v>
      </c>
      <c r="C837" s="15" t="str" cm="1">
        <f t="array" ref="C837">IFERROR(_xlfn.XLOOKUP(B837, tblPeople[PersonID], tblPeople[PersonName], ""), "")</f>
        <v>Ann Mwangi</v>
      </c>
      <c r="D837" s="15" t="s">
        <v>20</v>
      </c>
      <c r="E837" s="16" t="str">
        <f>IFERROR(_xlfn.XLOOKUP(D837, tblCourses[CourseID], tblCourses[CourseName], ""), "")</f>
        <v>Safety Management Systems (Initial)</v>
      </c>
      <c r="F837" s="17">
        <v>43859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113</v>
      </c>
      <c r="C838" s="15" t="str" cm="1">
        <f t="array" ref="C838">IFERROR(_xlfn.XLOOKUP(B838, tblPeople[PersonID], tblPeople[PersonName], ""), "")</f>
        <v>Ann Mwangi</v>
      </c>
      <c r="D838" s="15" t="s">
        <v>172</v>
      </c>
      <c r="E838" s="16" t="str">
        <f>IFERROR(_xlfn.XLOOKUP(D838, tblCourses[CourseID], tblCourses[CourseName], ""), "")</f>
        <v>Aviation Technical Records &amp; Stores Management (TRS)</v>
      </c>
      <c r="F838" s="17">
        <v>43434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113</v>
      </c>
      <c r="C839" s="15" t="str" cm="1">
        <f t="array" ref="C839">IFERROR(_xlfn.XLOOKUP(B839, tblPeople[PersonID], tblPeople[PersonName], ""), "")</f>
        <v>Ann Mwangi</v>
      </c>
      <c r="D839" s="15" t="s">
        <v>24</v>
      </c>
      <c r="E839" s="16" t="str">
        <f>IFERROR(_xlfn.XLOOKUP(D839, tblCourses[CourseID], tblCourses[CourseName], ""), "")</f>
        <v>Human Factors in Aviation (Initial)</v>
      </c>
      <c r="F839" s="17">
        <v>43989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156</v>
      </c>
      <c r="C840" s="15" t="str" cm="1">
        <f t="array" ref="C840">IFERROR(_xlfn.XLOOKUP(B840, tblPeople[PersonID], tblPeople[PersonName], ""), "")</f>
        <v>Stephen Mutambu</v>
      </c>
      <c r="D840" s="15" t="s">
        <v>124</v>
      </c>
      <c r="E840" s="16" t="str">
        <f>IFERROR(_xlfn.XLOOKUP(D840, tblCourses[CourseID], tblCourses[CourseName], ""), "")</f>
        <v>Aviation Security (Initial)</v>
      </c>
      <c r="F840" s="17">
        <v>44123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1" spans="1:9" x14ac:dyDescent="0.25">
      <c r="A841" s="15">
        <f t="shared" si="13"/>
        <v>840</v>
      </c>
      <c r="B841" s="15" t="s">
        <v>156</v>
      </c>
      <c r="C841" s="15" t="str" cm="1">
        <f t="array" ref="C841">IFERROR(_xlfn.XLOOKUP(B841, tblPeople[PersonID], tblPeople[PersonName], ""), "")</f>
        <v>Stephen Mutambu</v>
      </c>
      <c r="D841" s="15" t="s">
        <v>125</v>
      </c>
      <c r="E841" s="16" t="str">
        <f>IFERROR(_xlfn.XLOOKUP(D841, tblCourses[CourseID], tblCourses[CourseName], ""), "")</f>
        <v>Aviation Security (Refresher)</v>
      </c>
      <c r="F841" s="17">
        <v>46238</v>
      </c>
      <c r="G841" s="17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41" s="15">
        <f ca="1">IF(OR(tblTraining[[#This Row],[Status]]="Renewed",tblTraining[[#This Row],[NextDueDate]]=""),"",tblTraining[[#This Row],[NextDueDate]]-TODAY())</f>
        <v>683</v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2" spans="1:9" x14ac:dyDescent="0.25">
      <c r="A842" s="15">
        <f t="shared" si="13"/>
        <v>841</v>
      </c>
      <c r="B842" s="15" t="s">
        <v>208</v>
      </c>
      <c r="C842" s="15" t="str" cm="1">
        <f t="array" ref="C842">IFERROR(_xlfn.XLOOKUP(B842, tblPeople[PersonID], tblPeople[PersonName], ""), "")</f>
        <v xml:space="preserve">Edwin Kemei </v>
      </c>
      <c r="D842" s="15" t="s">
        <v>17</v>
      </c>
      <c r="E842" s="16" t="str">
        <f>IFERROR(_xlfn.XLOOKUP(D842, tblCourses[CourseID], tblCourses[CourseName], ""), "")</f>
        <v>Safety Management Systems (Refresher)</v>
      </c>
      <c r="F842" s="17">
        <v>44463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3" spans="1:9" x14ac:dyDescent="0.25">
      <c r="A843" s="15">
        <f t="shared" si="13"/>
        <v>842</v>
      </c>
      <c r="B843" s="15" t="s">
        <v>104</v>
      </c>
      <c r="C843" s="15" t="str" cm="1">
        <f t="array" ref="C843">IFERROR(_xlfn.XLOOKUP(B843, tblPeople[PersonID], tblPeople[PersonName], ""), "")</f>
        <v>Douglas Hurgins</v>
      </c>
      <c r="D843" s="15" t="s">
        <v>22</v>
      </c>
      <c r="E843" s="16" t="str">
        <f>IFERROR(_xlfn.XLOOKUP(D843, tblCourses[CourseID], tblCourses[CourseName], ""), "")</f>
        <v>Human Factors in Aviation (Refresher)</v>
      </c>
      <c r="F843" s="17">
        <v>44377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4" spans="1:9" x14ac:dyDescent="0.25">
      <c r="A844" s="15">
        <f t="shared" si="13"/>
        <v>843</v>
      </c>
      <c r="B844" s="15" t="s">
        <v>104</v>
      </c>
      <c r="C844" s="15" t="str" cm="1">
        <f t="array" ref="C844">IFERROR(_xlfn.XLOOKUP(B844, tblPeople[PersonID], tblPeople[PersonName], ""), "")</f>
        <v>Douglas Hurgins</v>
      </c>
      <c r="D844" s="15" t="s">
        <v>17</v>
      </c>
      <c r="E844" s="16" t="str">
        <f>IFERROR(_xlfn.XLOOKUP(D844, tblCourses[CourseID], tblCourses[CourseName], ""), "")</f>
        <v>Safety Management Systems (Refresher)</v>
      </c>
      <c r="F844" s="17">
        <v>44463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5" spans="1:9" x14ac:dyDescent="0.25">
      <c r="A845" s="15">
        <f t="shared" si="13"/>
        <v>844</v>
      </c>
      <c r="B845" s="15" t="s">
        <v>118</v>
      </c>
      <c r="C845" s="15" t="str" cm="1">
        <f t="array" ref="C845">IFERROR(_xlfn.XLOOKUP(B845, tblPeople[PersonID], tblPeople[PersonName], ""), "")</f>
        <v>Michael Olunga</v>
      </c>
      <c r="D845" s="15" t="s">
        <v>17</v>
      </c>
      <c r="E845" s="16" t="str">
        <f>IFERROR(_xlfn.XLOOKUP(D845, tblCourses[CourseID], tblCourses[CourseName], ""), "")</f>
        <v>Safety Management Systems (Refresher)</v>
      </c>
      <c r="F845" s="17">
        <v>44463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6" spans="1:9" x14ac:dyDescent="0.25">
      <c r="A846" s="15">
        <f t="shared" si="13"/>
        <v>845</v>
      </c>
      <c r="B846" s="15" t="s">
        <v>83</v>
      </c>
      <c r="C846" s="15" t="str" cm="1">
        <f t="array" ref="C846">IFERROR(_xlfn.XLOOKUP(B846, tblPeople[PersonID], tblPeople[PersonName], ""), "")</f>
        <v>Wycliffe Kanana</v>
      </c>
      <c r="D846" s="15" t="s">
        <v>24</v>
      </c>
      <c r="E846" s="16" t="str">
        <f>IFERROR(_xlfn.XLOOKUP(D846, tblCourses[CourseID], tblCourses[CourseName], ""), "")</f>
        <v>Human Factors in Aviation (Initial)</v>
      </c>
      <c r="F846" s="17">
        <v>43671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83</v>
      </c>
      <c r="C847" s="15" t="str" cm="1">
        <f t="array" ref="C847">IFERROR(_xlfn.XLOOKUP(B847, tblPeople[PersonID], tblPeople[PersonName], ""), "")</f>
        <v>Wycliffe Kanana</v>
      </c>
      <c r="D847" s="15" t="s">
        <v>22</v>
      </c>
      <c r="E847" s="16" t="str">
        <f>IFERROR(_xlfn.XLOOKUP(D847, tblCourses[CourseID], tblCourses[CourseName], ""), "")</f>
        <v>Human Factors in Aviation (Refresher)</v>
      </c>
      <c r="F847" s="17">
        <v>44363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8" spans="1:9" x14ac:dyDescent="0.25">
      <c r="A848" s="15">
        <f t="shared" si="13"/>
        <v>847</v>
      </c>
      <c r="B848" s="15" t="s">
        <v>88</v>
      </c>
      <c r="C848" s="15" t="str" cm="1">
        <f t="array" ref="C848">IFERROR(_xlfn.XLOOKUP(B848, tblPeople[PersonID], tblPeople[PersonName], ""), "")</f>
        <v>Michael Njihia</v>
      </c>
      <c r="D848" s="15" t="s">
        <v>24</v>
      </c>
      <c r="E848" s="16" t="str">
        <f>IFERROR(_xlfn.XLOOKUP(D848, tblCourses[CourseID], tblCourses[CourseName], ""), "")</f>
        <v>Human Factors in Aviation (Initial)</v>
      </c>
      <c r="F848" s="17">
        <v>43853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9" spans="1:9" x14ac:dyDescent="0.25">
      <c r="A849" s="15">
        <f t="shared" si="13"/>
        <v>848</v>
      </c>
      <c r="B849" s="15" t="s">
        <v>88</v>
      </c>
      <c r="C849" s="15" t="str" cm="1">
        <f t="array" ref="C849">IFERROR(_xlfn.XLOOKUP(B849, tblPeople[PersonID], tblPeople[PersonName], ""), "")</f>
        <v>Michael Njihia</v>
      </c>
      <c r="D849" s="15" t="s">
        <v>22</v>
      </c>
      <c r="E849" s="16" t="str">
        <f>IFERROR(_xlfn.XLOOKUP(D849, tblCourses[CourseID], tblCourses[CourseName], ""), "")</f>
        <v>Human Factors in Aviation (Refresher)</v>
      </c>
      <c r="F849" s="17">
        <v>44621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0" spans="1:9" x14ac:dyDescent="0.25">
      <c r="A850" s="15">
        <f t="shared" si="13"/>
        <v>849</v>
      </c>
      <c r="B850" s="15" t="s">
        <v>102</v>
      </c>
      <c r="C850" s="15" t="str" cm="1">
        <f t="array" ref="C850">IFERROR(_xlfn.XLOOKUP(B850, tblPeople[PersonID], tblPeople[PersonName], ""), "")</f>
        <v>William Mlati</v>
      </c>
      <c r="D850" s="15" t="s">
        <v>22</v>
      </c>
      <c r="E850" s="16" t="str">
        <f>IFERROR(_xlfn.XLOOKUP(D850, tblCourses[CourseID], tblCourses[CourseName], ""), "")</f>
        <v>Human Factors in Aviation (Refresher)</v>
      </c>
      <c r="F850" s="17">
        <v>44172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1" spans="1:9" x14ac:dyDescent="0.25">
      <c r="A851" s="15">
        <f t="shared" si="13"/>
        <v>850</v>
      </c>
      <c r="B851" s="15" t="s">
        <v>102</v>
      </c>
      <c r="C851" s="15" t="str" cm="1">
        <f t="array" ref="C851">IFERROR(_xlfn.XLOOKUP(B851, tblPeople[PersonID], tblPeople[PersonName], ""), "")</f>
        <v>William Mlati</v>
      </c>
      <c r="D851" s="15" t="s">
        <v>25</v>
      </c>
      <c r="E851" s="16" t="str">
        <f>IFERROR(_xlfn.XLOOKUP(D851, tblCourses[CourseID], tblCourses[CourseName], ""), "")</f>
        <v>Pratt &amp; Whitney Canada PT6A Engine With P&amp;WC PT6A
20/ 27/ 41/ 42/ 60A/ 67D/ 112/ 114A/ 140 (Refresher)</v>
      </c>
      <c r="F851" s="17">
        <v>44488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102</v>
      </c>
      <c r="C852" s="15" t="str" cm="1">
        <f t="array" ref="C852">IFERROR(_xlfn.XLOOKUP(B852, tblPeople[PersonID], tblPeople[PersonName], ""), "")</f>
        <v>William Mlati</v>
      </c>
      <c r="D852" s="15" t="s">
        <v>17</v>
      </c>
      <c r="E852" s="16" t="str">
        <f>IFERROR(_xlfn.XLOOKUP(D852, tblCourses[CourseID], tblCourses[CourseName], ""), "")</f>
        <v>Safety Management Systems (Refresher)</v>
      </c>
      <c r="F852" s="17">
        <v>44281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3" spans="1:9" x14ac:dyDescent="0.25">
      <c r="A853" s="15">
        <f t="shared" si="13"/>
        <v>852</v>
      </c>
      <c r="B853" s="15" t="s">
        <v>102</v>
      </c>
      <c r="C853" s="15" t="str" cm="1">
        <f t="array" ref="C853">IFERROR(_xlfn.XLOOKUP(B853, tblPeople[PersonID], tblPeople[PersonName], ""), "")</f>
        <v>William Mlati</v>
      </c>
      <c r="D853" s="15" t="s">
        <v>178</v>
      </c>
      <c r="E853" s="16" t="str">
        <f>IFERROR(_xlfn.XLOOKUP(D853, tblCourses[CourseID], tblCourses[CourseName], ""), "")</f>
        <v>Cessna 208 Series (Caravan) With P&amp;WC PT6A-114/ -114A/ -140 Engines (Refresher)</v>
      </c>
      <c r="F853" s="17">
        <v>43875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4" spans="1:9" x14ac:dyDescent="0.25">
      <c r="A854" s="15">
        <f t="shared" si="13"/>
        <v>853</v>
      </c>
      <c r="B854" s="15" t="s">
        <v>102</v>
      </c>
      <c r="C854" s="15" t="str" cm="1">
        <f t="array" ref="C854">IFERROR(_xlfn.XLOOKUP(B854, tblPeople[PersonID], tblPeople[PersonName], ""), "")</f>
        <v>William Mlati</v>
      </c>
      <c r="D854" s="15" t="s">
        <v>28</v>
      </c>
      <c r="E854" s="16" t="str">
        <f>IFERROR(_xlfn.XLOOKUP(D854, tblCourses[CourseID], tblCourses[CourseName], ""), "")</f>
        <v>DHC-8 100/200/300 with PWC 120/120A/121/123B/C/D/E Series Engines(Refresher)</v>
      </c>
      <c r="F854" s="17">
        <v>43847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5" spans="1:9" x14ac:dyDescent="0.25">
      <c r="A855" s="15">
        <f t="shared" si="13"/>
        <v>854</v>
      </c>
      <c r="B855" s="15" t="s">
        <v>103</v>
      </c>
      <c r="C855" s="15" t="str" cm="1">
        <f t="array" ref="C855">IFERROR(_xlfn.XLOOKUP(B855, tblPeople[PersonID], tblPeople[PersonName], ""), "")</f>
        <v>Smith Harun</v>
      </c>
      <c r="D855" s="15" t="s">
        <v>28</v>
      </c>
      <c r="E855" s="16" t="str">
        <f>IFERROR(_xlfn.XLOOKUP(D855, tblCourses[CourseID], tblCourses[CourseName], ""), "")</f>
        <v>DHC-8 100/200/300 with PWC 120/120A/121/123B/C/D/E Series Engines(Refresher)</v>
      </c>
      <c r="F855" s="17">
        <v>44407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6" spans="1:9" x14ac:dyDescent="0.25">
      <c r="A856" s="15">
        <f t="shared" si="13"/>
        <v>855</v>
      </c>
      <c r="B856" s="15" t="s">
        <v>103</v>
      </c>
      <c r="C856" s="15" t="str" cm="1">
        <f t="array" ref="C856">IFERROR(_xlfn.XLOOKUP(B856, tblPeople[PersonID], tblPeople[PersonName], ""), "")</f>
        <v>Smith Harun</v>
      </c>
      <c r="D856" s="15" t="s">
        <v>178</v>
      </c>
      <c r="E856" s="16" t="str">
        <f>IFERROR(_xlfn.XLOOKUP(D856, tblCourses[CourseID], tblCourses[CourseName], ""), "")</f>
        <v>Cessna 208 Series (Caravan) With P&amp;WC PT6A-114/ -114A/ -140 Engines (Refresher)</v>
      </c>
      <c r="F856" s="17">
        <v>43875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7" spans="1:9" x14ac:dyDescent="0.25">
      <c r="A857" s="15">
        <f t="shared" si="13"/>
        <v>856</v>
      </c>
      <c r="B857" s="15" t="s">
        <v>103</v>
      </c>
      <c r="C857" s="15" t="str" cm="1">
        <f t="array" ref="C857">IFERROR(_xlfn.XLOOKUP(B857, tblPeople[PersonID], tblPeople[PersonName], ""), "")</f>
        <v>Smith Harun</v>
      </c>
      <c r="D857" s="15" t="s">
        <v>25</v>
      </c>
      <c r="E857" s="16" t="str">
        <f>IFERROR(_xlfn.XLOOKUP(D857, tblCourses[CourseID], tblCourses[CourseName], ""), "")</f>
        <v>Pratt &amp; Whitney Canada PT6A Engine With P&amp;WC PT6A
20/ 27/ 41/ 42/ 60A/ 67D/ 112/ 114A/ 140 (Refresher)</v>
      </c>
      <c r="F857" s="17">
        <v>44421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8" spans="1:9" x14ac:dyDescent="0.25">
      <c r="A858" s="15">
        <f t="shared" si="13"/>
        <v>857</v>
      </c>
      <c r="B858" s="15" t="s">
        <v>103</v>
      </c>
      <c r="C858" s="15" t="str" cm="1">
        <f t="array" ref="C858">IFERROR(_xlfn.XLOOKUP(B858, tblPeople[PersonID], tblPeople[PersonName], ""), "")</f>
        <v>Smith Harun</v>
      </c>
      <c r="D858" s="15" t="s">
        <v>22</v>
      </c>
      <c r="E858" s="16" t="str">
        <f>IFERROR(_xlfn.XLOOKUP(D858, tblCourses[CourseID], tblCourses[CourseName], ""), "")</f>
        <v>Human Factors in Aviation (Refresher)</v>
      </c>
      <c r="F858" s="17">
        <v>44179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103</v>
      </c>
      <c r="C859" s="15" t="str" cm="1">
        <f t="array" ref="C859">IFERROR(_xlfn.XLOOKUP(B859, tblPeople[PersonID], tblPeople[PersonName], ""), "")</f>
        <v>Smith Harun</v>
      </c>
      <c r="D859" s="15" t="s">
        <v>22</v>
      </c>
      <c r="E859" s="16" t="str">
        <f>IFERROR(_xlfn.XLOOKUP(D859, tblCourses[CourseID], tblCourses[CourseName], ""), "")</f>
        <v>Human Factors in Aviation (Refresher)</v>
      </c>
      <c r="F859" s="17">
        <v>43782</v>
      </c>
      <c r="G859" s="17" t="str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9" s="15" t="str">
        <f ca="1">IF(OR(tblTraining[[#This Row],[Status]]="Renewed",tblTraining[[#This Row],[NextDueDate]]=""),"",tblTraining[[#This Row],[NextDueDate]]-TODAY())</f>
        <v/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0" spans="1:9" x14ac:dyDescent="0.25">
      <c r="A860" s="15">
        <f t="shared" si="13"/>
        <v>859</v>
      </c>
      <c r="B860" s="15" t="s">
        <v>103</v>
      </c>
      <c r="C860" s="15" t="str" cm="1">
        <f t="array" ref="C860">IFERROR(_xlfn.XLOOKUP(B860, tblPeople[PersonID], tblPeople[PersonName], ""), "")</f>
        <v>Smith Harun</v>
      </c>
      <c r="D860" s="15" t="s">
        <v>137</v>
      </c>
      <c r="E860" s="16" t="str">
        <f>IFERROR(_xlfn.XLOOKUP(D860, tblCourses[CourseID], tblCourses[CourseName], ""), "")</f>
        <v>GARMIN 1000 Avionics</v>
      </c>
      <c r="F860" s="17">
        <v>41529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1" spans="1:9" x14ac:dyDescent="0.25">
      <c r="A861" s="15">
        <f t="shared" si="13"/>
        <v>860</v>
      </c>
      <c r="B861" s="15" t="s">
        <v>82</v>
      </c>
      <c r="C861" s="15" t="str" cm="1">
        <f t="array" ref="C861">IFERROR(_xlfn.XLOOKUP(B861, tblPeople[PersonID], tblPeople[PersonName], ""), "")</f>
        <v>Philip Mwania</v>
      </c>
      <c r="D861" s="15" t="s">
        <v>28</v>
      </c>
      <c r="E861" s="16" t="str">
        <f>IFERROR(_xlfn.XLOOKUP(D861, tblCourses[CourseID], tblCourses[CourseName], ""), "")</f>
        <v>DHC-8 100/200/300 with PWC 120/120A/121/123B/C/D/E Series Engines(Refresher)</v>
      </c>
      <c r="F861" s="17">
        <v>43847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82</v>
      </c>
      <c r="C862" s="15" t="str" cm="1">
        <f t="array" ref="C862">IFERROR(_xlfn.XLOOKUP(B862, tblPeople[PersonID], tblPeople[PersonName], ""), "")</f>
        <v>Philip Mwania</v>
      </c>
      <c r="D862" s="15" t="s">
        <v>178</v>
      </c>
      <c r="E862" s="16" t="str">
        <f>IFERROR(_xlfn.XLOOKUP(D862, tblCourses[CourseID], tblCourses[CourseName], ""), "")</f>
        <v>Cessna 208 Series (Caravan) With P&amp;WC PT6A-114/ -114A/ -140 Engines (Refresher)</v>
      </c>
      <c r="F862" s="17">
        <v>43875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3" spans="1:9" x14ac:dyDescent="0.25">
      <c r="A863" s="15">
        <f t="shared" si="13"/>
        <v>862</v>
      </c>
      <c r="B863" s="15" t="s">
        <v>82</v>
      </c>
      <c r="C863" s="15" t="str" cm="1">
        <f t="array" ref="C863">IFERROR(_xlfn.XLOOKUP(B863, tblPeople[PersonID], tblPeople[PersonName], ""), "")</f>
        <v>Philip Mwania</v>
      </c>
      <c r="D863" s="15" t="s">
        <v>32</v>
      </c>
      <c r="E863" s="16" t="str">
        <f>IFERROR(_xlfn.XLOOKUP(D863, tblCourses[CourseID], tblCourses[CourseName], ""), "")</f>
        <v>Dangerous Goods Regulations (CBTA 7.3) (Initial)</v>
      </c>
      <c r="F863" s="17">
        <v>44109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4" spans="1:9" x14ac:dyDescent="0.25">
      <c r="A864" s="15">
        <f t="shared" si="13"/>
        <v>863</v>
      </c>
      <c r="B864" s="15" t="s">
        <v>82</v>
      </c>
      <c r="C864" s="15" t="str" cm="1">
        <f t="array" ref="C864">IFERROR(_xlfn.XLOOKUP(B864, tblPeople[PersonID], tblPeople[PersonName], ""), "")</f>
        <v>Philip Mwania</v>
      </c>
      <c r="D864" s="15" t="s">
        <v>22</v>
      </c>
      <c r="E864" s="16" t="str">
        <f>IFERROR(_xlfn.XLOOKUP(D864, tblCourses[CourseID], tblCourses[CourseName], ""), "")</f>
        <v>Human Factors in Aviation (Refresher)</v>
      </c>
      <c r="F864" s="17">
        <v>44206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5" spans="1:9" x14ac:dyDescent="0.25">
      <c r="A865" s="15">
        <f t="shared" si="13"/>
        <v>864</v>
      </c>
      <c r="B865" s="15" t="s">
        <v>82</v>
      </c>
      <c r="C865" s="15" t="str" cm="1">
        <f t="array" ref="C865">IFERROR(_xlfn.XLOOKUP(B865, tblPeople[PersonID], tblPeople[PersonName], ""), "")</f>
        <v>Philip Mwania</v>
      </c>
      <c r="D865" s="15" t="s">
        <v>17</v>
      </c>
      <c r="E865" s="16" t="str">
        <f>IFERROR(_xlfn.XLOOKUP(D865, tblCourses[CourseID], tblCourses[CourseName], ""), "")</f>
        <v>Safety Management Systems (Refresher)</v>
      </c>
      <c r="F865" s="17">
        <v>44281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6" spans="1:9" x14ac:dyDescent="0.25">
      <c r="A866" s="15">
        <f t="shared" si="13"/>
        <v>865</v>
      </c>
      <c r="B866" s="15" t="s">
        <v>135</v>
      </c>
      <c r="C866" s="15" t="str" cm="1">
        <f t="array" ref="C866">IFERROR(_xlfn.XLOOKUP(B866, tblPeople[PersonID], tblPeople[PersonName], ""), "")</f>
        <v>Francis Muriuki</v>
      </c>
      <c r="D866" s="15" t="s">
        <v>28</v>
      </c>
      <c r="E866" s="16" t="str">
        <f>IFERROR(_xlfn.XLOOKUP(D866, tblCourses[CourseID], tblCourses[CourseName], ""), "")</f>
        <v>DHC-8 100/200/300 with PWC 120/120A/121/123B/C/D/E Series Engines(Refresher)</v>
      </c>
      <c r="F866" s="17">
        <v>44407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135</v>
      </c>
      <c r="C867" s="15" t="str" cm="1">
        <f t="array" ref="C867">IFERROR(_xlfn.XLOOKUP(B867, tblPeople[PersonID], tblPeople[PersonName], ""), "")</f>
        <v>Francis Muriuki</v>
      </c>
      <c r="D867" s="15" t="s">
        <v>178</v>
      </c>
      <c r="E867" s="16" t="str">
        <f>IFERROR(_xlfn.XLOOKUP(D867, tblCourses[CourseID], tblCourses[CourseName], ""), "")</f>
        <v>Cessna 208 Series (Caravan) With P&amp;WC PT6A-114/ -114A/ -140 Engines (Refresher)</v>
      </c>
      <c r="F867" s="17">
        <v>44484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8" spans="1:9" x14ac:dyDescent="0.25">
      <c r="A868" s="15">
        <f t="shared" si="13"/>
        <v>867</v>
      </c>
      <c r="B868" s="15" t="s">
        <v>135</v>
      </c>
      <c r="C868" s="15" t="str" cm="1">
        <f t="array" ref="C868">IFERROR(_xlfn.XLOOKUP(B868, tblPeople[PersonID], tblPeople[PersonName], ""), "")</f>
        <v>Francis Muriuki</v>
      </c>
      <c r="D868" s="15" t="s">
        <v>25</v>
      </c>
      <c r="E868" s="16" t="str">
        <f>IFERROR(_xlfn.XLOOKUP(D868, tblCourses[CourseID], tblCourses[CourseName], ""), "")</f>
        <v>Pratt &amp; Whitney Canada PT6A Engine With P&amp;WC PT6A
20/ 27/ 41/ 42/ 60A/ 67D/ 112/ 114A/ 140 (Refresher)</v>
      </c>
      <c r="F868" s="17">
        <v>44488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9" spans="1:9" x14ac:dyDescent="0.25">
      <c r="A869" s="15">
        <f t="shared" si="13"/>
        <v>868</v>
      </c>
      <c r="B869" s="15" t="s">
        <v>135</v>
      </c>
      <c r="C869" s="15" t="str" cm="1">
        <f t="array" ref="C869">IFERROR(_xlfn.XLOOKUP(B869, tblPeople[PersonID], tblPeople[PersonName], ""), "")</f>
        <v>Francis Muriuki</v>
      </c>
      <c r="D869" s="15" t="s">
        <v>32</v>
      </c>
      <c r="E869" s="16" t="str">
        <f>IFERROR(_xlfn.XLOOKUP(D869, tblCourses[CourseID], tblCourses[CourseName], ""), "")</f>
        <v>Dangerous Goods Regulations (CBTA 7.3) (Initial)</v>
      </c>
      <c r="F869" s="17">
        <v>44123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0" spans="1:9" x14ac:dyDescent="0.25">
      <c r="A870" s="15">
        <f t="shared" si="13"/>
        <v>869</v>
      </c>
      <c r="B870" s="15" t="s">
        <v>135</v>
      </c>
      <c r="C870" s="15" t="str" cm="1">
        <f t="array" ref="C870">IFERROR(_xlfn.XLOOKUP(B870, tblPeople[PersonID], tblPeople[PersonName], ""), "")</f>
        <v>Francis Muriuki</v>
      </c>
      <c r="D870" s="15" t="s">
        <v>17</v>
      </c>
      <c r="E870" s="16" t="str">
        <f>IFERROR(_xlfn.XLOOKUP(D870, tblCourses[CourseID], tblCourses[CourseName], ""), "")</f>
        <v>Safety Management Systems (Refresher)</v>
      </c>
      <c r="F870" s="17">
        <v>44463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3"/>
        <v>870</v>
      </c>
      <c r="B871" s="15" t="s">
        <v>149</v>
      </c>
      <c r="C871" s="15" t="str" cm="1">
        <f t="array" ref="C871">IFERROR(_xlfn.XLOOKUP(B871, tblPeople[PersonID], tblPeople[PersonName], ""), "")</f>
        <v>Kea Kazungu</v>
      </c>
      <c r="D871" s="15" t="s">
        <v>17</v>
      </c>
      <c r="E871" s="16" t="str">
        <f>IFERROR(_xlfn.XLOOKUP(D871, tblCourses[CourseID], tblCourses[CourseName], ""), "")</f>
        <v>Safety Management Systems (Refresher)</v>
      </c>
      <c r="F871" s="17">
        <v>44463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156</v>
      </c>
      <c r="C872" s="15" t="str" cm="1">
        <f t="array" ref="C872">IFERROR(_xlfn.XLOOKUP(B872, tblPeople[PersonID], tblPeople[PersonName], ""), "")</f>
        <v>Stephen Mutambu</v>
      </c>
      <c r="D872" s="15" t="s">
        <v>232</v>
      </c>
      <c r="E872" s="16" t="str">
        <f>IFERROR(_xlfn.XLOOKUP(D872, tblCourses[CourseID], tblCourses[CourseName], ""), "")</f>
        <v>Crew Resource Management (Initial)</v>
      </c>
      <c r="F872" s="17">
        <v>44126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3" spans="1:9" x14ac:dyDescent="0.25">
      <c r="A873" s="15">
        <f t="shared" si="13"/>
        <v>872</v>
      </c>
      <c r="B873" s="15" t="s">
        <v>156</v>
      </c>
      <c r="C873" s="15" t="str" cm="1">
        <f t="array" ref="C873">IFERROR(_xlfn.XLOOKUP(B873, tblPeople[PersonID], tblPeople[PersonName], ""), "")</f>
        <v>Stephen Mutambu</v>
      </c>
      <c r="D873" s="15" t="s">
        <v>231</v>
      </c>
      <c r="E873" s="16" t="str">
        <f>IFERROR(_xlfn.XLOOKUP(D873, tblCourses[CourseID], tblCourses[CourseName], ""), "")</f>
        <v>Crew Resource Management (Refresher)</v>
      </c>
      <c r="F873" s="17">
        <v>44126</v>
      </c>
      <c r="G873" s="17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44856</v>
      </c>
      <c r="H873" s="15">
        <f ca="1">IF(OR(tblTraining[[#This Row],[Status]]="Renewed",tblTraining[[#This Row],[NextDueDate]]=""),"",tblTraining[[#This Row],[NextDueDate]]-TODAY())</f>
        <v>-1430</v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74" spans="1:9" x14ac:dyDescent="0.25">
      <c r="A874" s="15">
        <f t="shared" si="13"/>
        <v>873</v>
      </c>
      <c r="B874" s="15" t="s">
        <v>97</v>
      </c>
      <c r="C874" s="15" t="str" cm="1">
        <f t="array" ref="C874">IFERROR(_xlfn.XLOOKUP(B874, tblPeople[PersonID], tblPeople[PersonName], ""), "")</f>
        <v>Thomas Wambunya</v>
      </c>
      <c r="D874" s="15" t="s">
        <v>124</v>
      </c>
      <c r="E874" s="16" t="str">
        <f>IFERROR(_xlfn.XLOOKUP(D874, tblCourses[CourseID], tblCourses[CourseName], ""), "")</f>
        <v>Aviation Security (Initial)</v>
      </c>
      <c r="F874" s="17">
        <v>43203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97</v>
      </c>
      <c r="C875" s="15" t="str" cm="1">
        <f t="array" ref="C875">IFERROR(_xlfn.XLOOKUP(B875, tblPeople[PersonID], tblPeople[PersonName], ""), "")</f>
        <v>Thomas Wambunya</v>
      </c>
      <c r="D875" s="15" t="s">
        <v>125</v>
      </c>
      <c r="E875" s="16" t="str">
        <f>IFERROR(_xlfn.XLOOKUP(D875, tblCourses[CourseID], tblCourses[CourseName], ""), "")</f>
        <v>Aviation Security (Refresher)</v>
      </c>
      <c r="F875" s="17">
        <v>46238</v>
      </c>
      <c r="G875" s="17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75" s="15">
        <f ca="1">IF(OR(tblTraining[[#This Row],[Status]]="Renewed",tblTraining[[#This Row],[NextDueDate]]=""),"",tblTraining[[#This Row],[NextDueDate]]-TODAY())</f>
        <v>683</v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6" spans="1:9" x14ac:dyDescent="0.25">
      <c r="A876" s="15">
        <f t="shared" si="13"/>
        <v>875</v>
      </c>
      <c r="B876" s="15" t="s">
        <v>97</v>
      </c>
      <c r="C876" s="15" t="str" cm="1">
        <f t="array" ref="C876">IFERROR(_xlfn.XLOOKUP(B876, tblPeople[PersonID], tblPeople[PersonName], ""), "")</f>
        <v>Thomas Wambunya</v>
      </c>
      <c r="D876" s="15" t="s">
        <v>17</v>
      </c>
      <c r="E876" s="16" t="str">
        <f>IFERROR(_xlfn.XLOOKUP(D876, tblCourses[CourseID], tblCourses[CourseName], ""), "")</f>
        <v>Safety Management Systems (Refresher)</v>
      </c>
      <c r="F876" s="17">
        <v>44281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22</v>
      </c>
      <c r="E877" s="16" t="str">
        <f>IFERROR(_xlfn.XLOOKUP(D877, tblCourses[CourseID], tblCourses[CourseName], ""), "")</f>
        <v>Human Factors in Aviation (Refresher)</v>
      </c>
      <c r="F877" s="17">
        <v>43154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117</v>
      </c>
      <c r="C878" s="15" t="str" cm="1">
        <f t="array" ref="C878">IFERROR(_xlfn.XLOOKUP(B878, tblPeople[PersonID], tblPeople[PersonName], ""), "")</f>
        <v>Mercy Etende</v>
      </c>
      <c r="D878" s="15" t="s">
        <v>32</v>
      </c>
      <c r="E878" s="16" t="str">
        <f>IFERROR(_xlfn.XLOOKUP(D878, tblCourses[CourseID], tblCourses[CourseName], ""), "")</f>
        <v>Dangerous Goods Regulations (CBTA 7.3) (Initial)</v>
      </c>
      <c r="F878" s="17">
        <v>44074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9" spans="1:9" x14ac:dyDescent="0.25">
      <c r="A879" s="15">
        <f t="shared" si="13"/>
        <v>878</v>
      </c>
      <c r="B879" s="15" t="s">
        <v>135</v>
      </c>
      <c r="C879" s="15" t="str" cm="1">
        <f t="array" ref="C879">IFERROR(_xlfn.XLOOKUP(B879, tblPeople[PersonID], tblPeople[PersonName], ""), "")</f>
        <v>Francis Muriuki</v>
      </c>
      <c r="D879" s="15" t="s">
        <v>175</v>
      </c>
      <c r="E879" s="16" t="str">
        <f>IFERROR(_xlfn.XLOOKUP(D879, tblCourses[CourseID], tblCourses[CourseName], ""), "")</f>
        <v>Aircraft Maintenance Engineers' Licence</v>
      </c>
      <c r="F879" s="17">
        <v>44048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0" spans="1:9" x14ac:dyDescent="0.25">
      <c r="A880" s="15">
        <f t="shared" si="13"/>
        <v>879</v>
      </c>
      <c r="B880" s="15" t="s">
        <v>135</v>
      </c>
      <c r="C880" s="15" t="str" cm="1">
        <f t="array" ref="C880">IFERROR(_xlfn.XLOOKUP(B880, tblPeople[PersonID], tblPeople[PersonName], ""), "")</f>
        <v>Francis Muriuki</v>
      </c>
      <c r="D880" s="15" t="s">
        <v>76</v>
      </c>
      <c r="E880" s="16" t="str">
        <f>IFERROR(_xlfn.XLOOKUP(D880, tblCourses[CourseID], tblCourses[CourseName], ""), "")</f>
        <v>Fuel Tank Safety Phase 1 &amp; 2 Course (Initial)</v>
      </c>
      <c r="F880" s="17">
        <v>44610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1" spans="1:9" x14ac:dyDescent="0.25">
      <c r="A881" s="15">
        <f t="shared" si="13"/>
        <v>880</v>
      </c>
      <c r="B881" s="15" t="s">
        <v>135</v>
      </c>
      <c r="C881" s="15" t="str" cm="1">
        <f t="array" ref="C881">IFERROR(_xlfn.XLOOKUP(B881, tblPeople[PersonID], tblPeople[PersonName], ""), "")</f>
        <v>Francis Muriuki</v>
      </c>
      <c r="D881" s="15" t="s">
        <v>78</v>
      </c>
      <c r="E881" s="16" t="str">
        <f>IFERROR(_xlfn.XLOOKUP(D881, tblCourses[CourseID], tblCourses[CourseName], ""), "")</f>
        <v>DHC8 -100/-200/-300 Collins Wheels &amp; Brakes Familiarization Training (Initial)</v>
      </c>
      <c r="F881" s="17">
        <v>44392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2" spans="1:9" x14ac:dyDescent="0.25">
      <c r="A882" s="15">
        <f t="shared" si="13"/>
        <v>881</v>
      </c>
      <c r="B882" s="15" t="s">
        <v>208</v>
      </c>
      <c r="C882" s="15" t="str" cm="1">
        <f t="array" ref="C882">IFERROR(_xlfn.XLOOKUP(B882, tblPeople[PersonID], tblPeople[PersonName], ""), "")</f>
        <v xml:space="preserve">Edwin Kemei </v>
      </c>
      <c r="D882" s="15" t="s">
        <v>125</v>
      </c>
      <c r="E882" s="16" t="str">
        <f>IFERROR(_xlfn.XLOOKUP(D882, tblCourses[CourseID], tblCourses[CourseName], ""), "")</f>
        <v>Aviation Security (Refresher)</v>
      </c>
      <c r="F882" s="17">
        <v>44123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3" spans="1:9" x14ac:dyDescent="0.25">
      <c r="A883" s="15">
        <f t="shared" si="13"/>
        <v>882</v>
      </c>
      <c r="B883" s="15" t="s">
        <v>87</v>
      </c>
      <c r="C883" s="15" t="str" cm="1">
        <f t="array" ref="C883">IFERROR(_xlfn.XLOOKUP(B883, tblPeople[PersonID], tblPeople[PersonName], ""), "")</f>
        <v>Sydney Sawe</v>
      </c>
      <c r="D883" s="15" t="s">
        <v>24</v>
      </c>
      <c r="E883" s="16" t="str">
        <f>IFERROR(_xlfn.XLOOKUP(D883, tblCourses[CourseID], tblCourses[CourseName], ""), "")</f>
        <v>Human Factors in Aviation (Initial)</v>
      </c>
      <c r="F883" s="17">
        <v>45628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4" spans="1:9" x14ac:dyDescent="0.25">
      <c r="A884" s="15">
        <f t="shared" si="13"/>
        <v>883</v>
      </c>
      <c r="B884" s="15" t="s">
        <v>118</v>
      </c>
      <c r="C884" s="15" t="str" cm="1">
        <f t="array" ref="C884">IFERROR(_xlfn.XLOOKUP(B884, tblPeople[PersonID], tblPeople[PersonName], ""), "")</f>
        <v>Michael Olunga</v>
      </c>
      <c r="D884" s="15" t="s">
        <v>24</v>
      </c>
      <c r="E884" s="16" t="str">
        <f>IFERROR(_xlfn.XLOOKUP(D884, tblCourses[CourseID], tblCourses[CourseName], ""), "")</f>
        <v>Human Factors in Aviation (Initial)</v>
      </c>
      <c r="F884" s="17">
        <v>45870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5" spans="1:9" x14ac:dyDescent="0.25">
      <c r="A885" s="15">
        <f t="shared" si="13"/>
        <v>884</v>
      </c>
      <c r="B885" s="15" t="s">
        <v>101</v>
      </c>
      <c r="C885" s="15" t="str" cm="1">
        <f t="array" ref="C885">IFERROR(_xlfn.XLOOKUP(B885, tblPeople[PersonID], tblPeople[PersonName], ""), "")</f>
        <v>Paul Mzera</v>
      </c>
      <c r="D885" s="15" t="s">
        <v>24</v>
      </c>
      <c r="E885" s="16" t="str">
        <f>IFERROR(_xlfn.XLOOKUP(D885, tblCourses[CourseID], tblCourses[CourseName], ""), "")</f>
        <v>Human Factors in Aviation (Initial)</v>
      </c>
      <c r="F885" s="17">
        <v>45603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6" spans="1:9" x14ac:dyDescent="0.25">
      <c r="A886" s="15">
        <f t="shared" si="13"/>
        <v>885</v>
      </c>
      <c r="B886" s="15" t="s">
        <v>98</v>
      </c>
      <c r="C886" s="15" t="str" cm="1">
        <f t="array" ref="C886">IFERROR(_xlfn.XLOOKUP(B886, tblPeople[PersonID], tblPeople[PersonName], ""), "")</f>
        <v>Thadeus Mong’are</v>
      </c>
      <c r="D886" s="15" t="s">
        <v>20</v>
      </c>
      <c r="E886" s="16" t="str">
        <f>IFERROR(_xlfn.XLOOKUP(D886, tblCourses[CourseID], tblCourses[CourseName], ""), "")</f>
        <v>Safety Management Systems (Initial)</v>
      </c>
      <c r="F886" s="17">
        <v>45343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7" spans="1:9" x14ac:dyDescent="0.25">
      <c r="A887" s="15">
        <f t="shared" si="13"/>
        <v>886</v>
      </c>
      <c r="B887" s="15" t="s">
        <v>155</v>
      </c>
      <c r="C887" s="15" t="str" cm="1">
        <f t="array" ref="C887">IFERROR(_xlfn.XLOOKUP(B887, tblPeople[PersonID], tblPeople[PersonName], ""), "")</f>
        <v>Urbanus Muema</v>
      </c>
      <c r="D887" s="15" t="s">
        <v>20</v>
      </c>
      <c r="E887" s="16" t="str">
        <f>IFERROR(_xlfn.XLOOKUP(D887, tblCourses[CourseID], tblCourses[CourseName], ""), "")</f>
        <v>Safety Management Systems (Initial)</v>
      </c>
      <c r="F887" s="17">
        <v>45590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8" spans="1:9" x14ac:dyDescent="0.25">
      <c r="A888" s="15">
        <f t="shared" si="13"/>
        <v>887</v>
      </c>
      <c r="B888" s="15" t="s">
        <v>101</v>
      </c>
      <c r="C888" s="15" t="str" cm="1">
        <f t="array" ref="C888">IFERROR(_xlfn.XLOOKUP(B888, tblPeople[PersonID], tblPeople[PersonName], ""), "")</f>
        <v>Paul Mzera</v>
      </c>
      <c r="D888" s="15" t="s">
        <v>20</v>
      </c>
      <c r="E888" s="16" t="str">
        <f>IFERROR(_xlfn.XLOOKUP(D888, tblCourses[CourseID], tblCourses[CourseName], ""), "")</f>
        <v>Safety Management Systems (Initial)</v>
      </c>
      <c r="F888" s="17">
        <v>45750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3"/>
        <v>888</v>
      </c>
      <c r="B889" s="15" t="s">
        <v>92</v>
      </c>
      <c r="C889" s="15" t="str" cm="1">
        <f t="array" ref="C889">IFERROR(_xlfn.XLOOKUP(B889, tblPeople[PersonID], tblPeople[PersonName], ""), "")</f>
        <v>Reuben Otieno</v>
      </c>
      <c r="D889" s="15" t="s">
        <v>20</v>
      </c>
      <c r="E889" s="16" t="str">
        <f>IFERROR(_xlfn.XLOOKUP(D889, tblCourses[CourseID], tblCourses[CourseName], ""), "")</f>
        <v>Safety Management Systems (Initial)</v>
      </c>
      <c r="F889" s="17">
        <v>45379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0" spans="1:9" x14ac:dyDescent="0.25">
      <c r="A890" s="15">
        <f t="shared" si="13"/>
        <v>889</v>
      </c>
      <c r="B890" s="15" t="s">
        <v>85</v>
      </c>
      <c r="C890" s="15" t="str" cm="1">
        <f t="array" ref="C890">IFERROR(_xlfn.XLOOKUP(B890, tblPeople[PersonID], tblPeople[PersonName], ""), "")</f>
        <v>Titus Shunza</v>
      </c>
      <c r="D890" s="15" t="s">
        <v>20</v>
      </c>
      <c r="E890" s="16" t="str">
        <f>IFERROR(_xlfn.XLOOKUP(D890, tblCourses[CourseID], tblCourses[CourseName], ""), "")</f>
        <v>Safety Management Systems (Initial)</v>
      </c>
      <c r="F890" s="17">
        <v>45482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1" spans="1:9" x14ac:dyDescent="0.25">
      <c r="A891" s="15">
        <f t="shared" si="13"/>
        <v>890</v>
      </c>
      <c r="B891" s="15" t="s">
        <v>104</v>
      </c>
      <c r="C891" s="15" t="str" cm="1">
        <f t="array" ref="C891">IFERROR(_xlfn.XLOOKUP(B891, tblPeople[PersonID], tblPeople[PersonName], ""), "")</f>
        <v>Douglas Hurgins</v>
      </c>
      <c r="D891" s="15" t="s">
        <v>29</v>
      </c>
      <c r="E891" s="16" t="str">
        <f>IFERROR(_xlfn.XLOOKUP(D891, tblCourses[CourseID], tblCourses[CourseName], ""), "")</f>
        <v>DHC-8 100/200/300 with PWC 120/120A/121/123B/C/D/E Series Engines(Initial)</v>
      </c>
      <c r="F891" s="17">
        <v>45373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152</v>
      </c>
      <c r="C892" s="15" t="str" cm="1">
        <f t="array" ref="C892">IFERROR(_xlfn.XLOOKUP(B892, tblPeople[PersonID], tblPeople[PersonName], ""), "")</f>
        <v>Majid Mohamed</v>
      </c>
      <c r="D892" s="15" t="s">
        <v>177</v>
      </c>
      <c r="E892" s="16" t="str">
        <f>IFERROR(_xlfn.XLOOKUP(D892, tblCourses[CourseID], tblCourses[CourseName], ""), "")</f>
        <v>Cessna 208 Series (Caravan) With P&amp;WC PT6A-114/ -114A/ -140 Engines (Initial)</v>
      </c>
      <c r="F892" s="17">
        <v>45387</v>
      </c>
      <c r="G892" s="17" t="str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2" s="15" t="str">
        <f ca="1">IF(OR(tblTraining[[#This Row],[Status]]="Renewed",tblTraining[[#This Row],[NextDueDate]]=""),"",tblTraining[[#This Row],[NextDueDate]]-TODAY())</f>
        <v/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3" spans="1:9" x14ac:dyDescent="0.25">
      <c r="A893" s="15">
        <f t="shared" si="13"/>
        <v>892</v>
      </c>
      <c r="B893" s="15" t="s">
        <v>119</v>
      </c>
      <c r="C893" s="15" t="str" cm="1">
        <f t="array" ref="C893">IFERROR(_xlfn.XLOOKUP(B893, tblPeople[PersonID], tblPeople[PersonName], ""), "")</f>
        <v>Walter Edupu</v>
      </c>
      <c r="D893" s="15" t="s">
        <v>353</v>
      </c>
      <c r="E893" s="16" t="str">
        <f>IFERROR(_xlfn.XLOOKUP(D893, tblCourses[CourseID], tblCourses[CourseName], ""), "")</f>
        <v>Maintenance Procedures &amp; Standard Maintenance Practices (Initial)</v>
      </c>
      <c r="F893" s="17">
        <v>45627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4" spans="1:9" x14ac:dyDescent="0.25">
      <c r="A894" s="15">
        <f t="shared" si="13"/>
        <v>893</v>
      </c>
      <c r="B894" s="15" t="s">
        <v>119</v>
      </c>
      <c r="C894" s="15" t="str" cm="1">
        <f t="array" ref="C894">IFERROR(_xlfn.XLOOKUP(B894, tblPeople[PersonID], tblPeople[PersonName], ""), "")</f>
        <v>Walter Edupu</v>
      </c>
      <c r="D894" s="15" t="s">
        <v>198</v>
      </c>
      <c r="E894" s="16" t="str">
        <f>IFERROR(_xlfn.XLOOKUP(D894, tblCourses[CourseID], tblCourses[CourseName], ""), "")</f>
        <v>Maintenance Procedures &amp; Standard Maintenance Practices (Refresher)</v>
      </c>
      <c r="F894" s="17">
        <v>45627</v>
      </c>
      <c r="G894" s="17" t="str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4" s="15" t="str">
        <f ca="1">IF(OR(tblTraining[[#This Row],[Status]]="Renewed",tblTraining[[#This Row],[NextDueDate]]=""),"",tblTraining[[#This Row],[NextDueDate]]-TODAY())</f>
        <v/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5" spans="1:9" x14ac:dyDescent="0.25">
      <c r="A895" s="15">
        <f t="shared" si="13"/>
        <v>894</v>
      </c>
      <c r="B895" s="15" t="s">
        <v>92</v>
      </c>
      <c r="C895" s="15" t="str" cm="1">
        <f t="array" ref="C895">IFERROR(_xlfn.XLOOKUP(B895, tblPeople[PersonID], tblPeople[PersonName], ""), "")</f>
        <v>Reuben Otieno</v>
      </c>
      <c r="D895" s="15" t="s">
        <v>75</v>
      </c>
      <c r="E895" s="16" t="str">
        <f>IFERROR(_xlfn.XLOOKUP(D895, tblCourses[CourseID], tblCourses[CourseName], ""), "")</f>
        <v>Fuel Tank Safety Phase 1 &amp; 2 Course (Refresher)</v>
      </c>
      <c r="F895" s="17">
        <v>45404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6" spans="1:9" x14ac:dyDescent="0.25">
      <c r="A896" s="15">
        <f t="shared" si="13"/>
        <v>895</v>
      </c>
      <c r="B896" s="15" t="s">
        <v>103</v>
      </c>
      <c r="C896" s="15" t="str" cm="1">
        <f t="array" ref="C896">IFERROR(_xlfn.XLOOKUP(B896, tblPeople[PersonID], tblPeople[PersonName], ""), "")</f>
        <v>Smith Harun</v>
      </c>
      <c r="D896" s="15" t="s">
        <v>76</v>
      </c>
      <c r="E896" s="16" t="str">
        <f>IFERROR(_xlfn.XLOOKUP(D896, tblCourses[CourseID], tblCourses[CourseName], ""), "")</f>
        <v>Fuel Tank Safety Phase 1 &amp; 2 Course (Initial)</v>
      </c>
      <c r="F896" s="17">
        <v>45428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7" spans="1:9" x14ac:dyDescent="0.25">
      <c r="A897" s="15">
        <f t="shared" si="13"/>
        <v>896</v>
      </c>
      <c r="B897" s="15" t="s">
        <v>104</v>
      </c>
      <c r="C897" s="15" t="str" cm="1">
        <f t="array" ref="C897">IFERROR(_xlfn.XLOOKUP(B897, tblPeople[PersonID], tblPeople[PersonName], ""), "")</f>
        <v>Douglas Hurgins</v>
      </c>
      <c r="D897" s="15" t="s">
        <v>76</v>
      </c>
      <c r="E897" s="16" t="str">
        <f>IFERROR(_xlfn.XLOOKUP(D897, tblCourses[CourseID], tblCourses[CourseName], ""), "")</f>
        <v>Fuel Tank Safety Phase 1 &amp; 2 Course (Initial)</v>
      </c>
      <c r="F897" s="17">
        <v>45405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149</v>
      </c>
      <c r="C898" s="15" t="str" cm="1">
        <f t="array" ref="C898">IFERROR(_xlfn.XLOOKUP(B898, tblPeople[PersonID], tblPeople[PersonName], ""), "")</f>
        <v>Kea Kazungu</v>
      </c>
      <c r="D898" s="15" t="s">
        <v>76</v>
      </c>
      <c r="E898" s="16" t="str">
        <f>IFERROR(_xlfn.XLOOKUP(D898, tblCourses[CourseID], tblCourses[CourseName], ""), "")</f>
        <v>Fuel Tank Safety Phase 1 &amp; 2 Course (Initial)</v>
      </c>
      <c r="F898" s="17">
        <v>45440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9" spans="1:9" x14ac:dyDescent="0.25">
      <c r="A899" s="15">
        <f t="shared" si="13"/>
        <v>898</v>
      </c>
      <c r="B899" s="15" t="s">
        <v>105</v>
      </c>
      <c r="C899" s="15" t="str" cm="1">
        <f t="array" ref="C899">IFERROR(_xlfn.XLOOKUP(B899, tblPeople[PersonID], tblPeople[PersonName], ""), "")</f>
        <v>Fred Magotsi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45417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ref="A900:A963" si="14">A899+1</f>
        <v>899</v>
      </c>
      <c r="B900" s="15" t="s">
        <v>102</v>
      </c>
      <c r="C900" s="15" t="str" cm="1">
        <f t="array" ref="C900">IFERROR(_xlfn.XLOOKUP(B900, tblPeople[PersonID], tblPeople[PersonName], ""), "")</f>
        <v>William Mlati</v>
      </c>
      <c r="D900" s="15" t="s">
        <v>76</v>
      </c>
      <c r="E900" s="16" t="str">
        <f>IFERROR(_xlfn.XLOOKUP(D900, tblCourses[CourseID], tblCourses[CourseName], ""), "")</f>
        <v>Fuel Tank Safety Phase 1 &amp; 2 Course (Initial)</v>
      </c>
      <c r="F900" s="17">
        <v>45434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106</v>
      </c>
      <c r="C901" s="15" t="str" cm="1">
        <f t="array" ref="C901">IFERROR(_xlfn.XLOOKUP(B901, tblPeople[PersonID], tblPeople[PersonName], ""), "")</f>
        <v>James Mugo</v>
      </c>
      <c r="D901" s="15" t="s">
        <v>76</v>
      </c>
      <c r="E901" s="16" t="str">
        <f>IFERROR(_xlfn.XLOOKUP(D901, tblCourses[CourseID], tblCourses[CourseName], ""), "")</f>
        <v>Fuel Tank Safety Phase 1 &amp; 2 Course (Initial)</v>
      </c>
      <c r="F901" s="17">
        <v>45495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2" spans="1:9" x14ac:dyDescent="0.25">
      <c r="A902" s="15">
        <f t="shared" si="14"/>
        <v>901</v>
      </c>
      <c r="B902" s="15" t="s">
        <v>82</v>
      </c>
      <c r="C902" s="15" t="str" cm="1">
        <f t="array" ref="C902">IFERROR(_xlfn.XLOOKUP(B902, tblPeople[PersonID], tblPeople[PersonName], ""), "")</f>
        <v>Philip Mwania</v>
      </c>
      <c r="D902" s="15" t="s">
        <v>76</v>
      </c>
      <c r="E902" s="16" t="str">
        <f>IFERROR(_xlfn.XLOOKUP(D902, tblCourses[CourseID], tblCourses[CourseName], ""), "")</f>
        <v>Fuel Tank Safety Phase 1 &amp; 2 Course (Initial)</v>
      </c>
      <c r="F902" s="17">
        <v>45410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87</v>
      </c>
      <c r="C903" s="15" t="str" cm="1">
        <f t="array" ref="C903">IFERROR(_xlfn.XLOOKUP(B903, tblPeople[PersonID], tblPeople[PersonName], ""), "")</f>
        <v>Sydney Sawe</v>
      </c>
      <c r="D903" s="15" t="s">
        <v>76</v>
      </c>
      <c r="E903" s="16" t="str">
        <f>IFERROR(_xlfn.XLOOKUP(D903, tblCourses[CourseID], tblCourses[CourseName], ""), "")</f>
        <v>Fuel Tank Safety Phase 1 &amp; 2 Course (Initial)</v>
      </c>
      <c r="F903" s="17">
        <v>45415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97</v>
      </c>
      <c r="C904" s="15" t="str" cm="1">
        <f t="array" ref="C904">IFERROR(_xlfn.XLOOKUP(B904, tblPeople[PersonID], tblPeople[PersonName], ""), "")</f>
        <v>Thomas Wambunya</v>
      </c>
      <c r="D904" s="15" t="s">
        <v>76</v>
      </c>
      <c r="E904" s="16" t="str">
        <f>IFERROR(_xlfn.XLOOKUP(D904, tblCourses[CourseID], tblCourses[CourseName], ""), "")</f>
        <v>Fuel Tank Safety Phase 1 &amp; 2 Course (Initial)</v>
      </c>
      <c r="F904" s="17">
        <v>45418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104</v>
      </c>
      <c r="C905" s="15" t="str" cm="1">
        <f t="array" ref="C905">IFERROR(_xlfn.XLOOKUP(B905, tblPeople[PersonID], tblPeople[PersonName], ""), "")</f>
        <v>Douglas Hurgins</v>
      </c>
      <c r="D905" s="15" t="s">
        <v>78</v>
      </c>
      <c r="E905" s="16" t="str">
        <f>IFERROR(_xlfn.XLOOKUP(D905, tblCourses[CourseID], tblCourses[CourseName], ""), "")</f>
        <v>DHC8 -100/-200/-300 Collins Wheels &amp; Brakes Familiarization Training (Initial)</v>
      </c>
      <c r="F905" s="17">
        <v>45637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149</v>
      </c>
      <c r="C906" s="15" t="str" cm="1">
        <f t="array" ref="C906">IFERROR(_xlfn.XLOOKUP(B906, tblPeople[PersonID], tblPeople[PersonName], ""), "")</f>
        <v>Kea Kazungu</v>
      </c>
      <c r="D906" s="15" t="s">
        <v>78</v>
      </c>
      <c r="E906" s="16" t="str">
        <f>IFERROR(_xlfn.XLOOKUP(D906, tblCourses[CourseID], tblCourses[CourseName], ""), "")</f>
        <v>DHC8 -100/-200/-300 Collins Wheels &amp; Brakes Familiarization Training (Initial)</v>
      </c>
      <c r="F906" s="17">
        <v>45637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152</v>
      </c>
      <c r="C907" s="15" t="str" cm="1">
        <f t="array" ref="C907">IFERROR(_xlfn.XLOOKUP(B907, tblPeople[PersonID], tblPeople[PersonName], ""), "")</f>
        <v>Majid Mohamed</v>
      </c>
      <c r="D907" s="15" t="s">
        <v>78</v>
      </c>
      <c r="E907" s="16" t="str">
        <f>IFERROR(_xlfn.XLOOKUP(D907, tblCourses[CourseID], tblCourses[CourseName], ""), "")</f>
        <v>DHC8 -100/-200/-300 Collins Wheels &amp; Brakes Familiarization Training (Initial)</v>
      </c>
      <c r="F907" s="17">
        <v>45637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98</v>
      </c>
      <c r="C908" s="15" t="str" cm="1">
        <f t="array" ref="C908">IFERROR(_xlfn.XLOOKUP(B908, tblPeople[PersonID], tblPeople[PersonName], ""), "")</f>
        <v>Thadeus Mong’are</v>
      </c>
      <c r="D908" s="15" t="s">
        <v>78</v>
      </c>
      <c r="E908" s="16" t="str">
        <f>IFERROR(_xlfn.XLOOKUP(D908, tblCourses[CourseID], tblCourses[CourseName], ""), "")</f>
        <v>DHC8 -100/-200/-300 Collins Wheels &amp; Brakes Familiarization Training (Initial)</v>
      </c>
      <c r="F908" s="17">
        <v>45637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100</v>
      </c>
      <c r="C909" s="15" t="str" cm="1">
        <f t="array" ref="C909">IFERROR(_xlfn.XLOOKUP(B909, tblPeople[PersonID], tblPeople[PersonName], ""), "")</f>
        <v>John Muriithi</v>
      </c>
      <c r="D909" s="15" t="s">
        <v>78</v>
      </c>
      <c r="E909" s="16" t="str">
        <f>IFERROR(_xlfn.XLOOKUP(D909, tblCourses[CourseID], tblCourses[CourseName], ""), "")</f>
        <v>DHC8 -100/-200/-300 Collins Wheels &amp; Brakes Familiarization Training (Initial)</v>
      </c>
      <c r="F909" s="17">
        <v>45637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101</v>
      </c>
      <c r="C910" s="15" t="str" cm="1">
        <f t="array" ref="C910">IFERROR(_xlfn.XLOOKUP(B910, tblPeople[PersonID], tblPeople[PersonName], ""), "")</f>
        <v>Paul Mzera</v>
      </c>
      <c r="D910" s="15" t="s">
        <v>78</v>
      </c>
      <c r="E910" s="16" t="str">
        <f>IFERROR(_xlfn.XLOOKUP(D910, tblCourses[CourseID], tblCourses[CourseName], ""), "")</f>
        <v>DHC8 -100/-200/-300 Collins Wheels &amp; Brakes Familiarization Training (Initial)</v>
      </c>
      <c r="F910" s="17">
        <v>45637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85</v>
      </c>
      <c r="C911" s="15" t="str" cm="1">
        <f t="array" ref="C911">IFERROR(_xlfn.XLOOKUP(B911, tblPeople[PersonID], tblPeople[PersonName], ""), "")</f>
        <v>Titus Shunza</v>
      </c>
      <c r="D911" s="15" t="s">
        <v>78</v>
      </c>
      <c r="E911" s="16" t="str">
        <f>IFERROR(_xlfn.XLOOKUP(D911, tblCourses[CourseID], tblCourses[CourseName], ""), "")</f>
        <v>DHC8 -100/-200/-300 Collins Wheels &amp; Brakes Familiarization Training (Initial)</v>
      </c>
      <c r="F911" s="17">
        <v>45637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209</v>
      </c>
      <c r="C912" s="15" t="str" cm="1">
        <f t="array" ref="C912">IFERROR(_xlfn.XLOOKUP(B912, tblPeople[PersonID], tblPeople[PersonName], ""), "")</f>
        <v>Samuel Wacho</v>
      </c>
      <c r="D912" s="15" t="s">
        <v>78</v>
      </c>
      <c r="E912" s="16" t="str">
        <f>IFERROR(_xlfn.XLOOKUP(D912, tblCourses[CourseID], tblCourses[CourseName], ""), "")</f>
        <v>DHC8 -100/-200/-300 Collins Wheels &amp; Brakes Familiarization Training (Initial)</v>
      </c>
      <c r="F912" s="17">
        <v>45637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83</v>
      </c>
      <c r="C913" s="15" t="str" cm="1">
        <f t="array" ref="C913">IFERROR(_xlfn.XLOOKUP(B913, tblPeople[PersonID], tblPeople[PersonName], ""), "")</f>
        <v>Wycliffe Kanana</v>
      </c>
      <c r="D913" s="15" t="s">
        <v>32</v>
      </c>
      <c r="E913" s="16" t="str">
        <f>IFERROR(_xlfn.XLOOKUP(D913, tblCourses[CourseID], tblCourses[CourseName], ""), "")</f>
        <v>Dangerous Goods Regulations (CBTA 7.3) (Initial)</v>
      </c>
      <c r="F913" s="17">
        <v>45758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4" spans="1:9" x14ac:dyDescent="0.25">
      <c r="A914" s="15">
        <f t="shared" si="14"/>
        <v>913</v>
      </c>
      <c r="B914" s="15" t="s">
        <v>156</v>
      </c>
      <c r="C914" s="15" t="str" cm="1">
        <f t="array" ref="C914">IFERROR(_xlfn.XLOOKUP(B914, tblPeople[PersonID], tblPeople[PersonName], ""), "")</f>
        <v>Stephen Mutambu</v>
      </c>
      <c r="D914" s="15" t="s">
        <v>32</v>
      </c>
      <c r="E914" s="16" t="str">
        <f>IFERROR(_xlfn.XLOOKUP(D914, tblCourses[CourseID], tblCourses[CourseName], ""), "")</f>
        <v>Dangerous Goods Regulations (CBTA 7.3) (Initial)</v>
      </c>
      <c r="F914" s="17">
        <v>45758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5" spans="1:9" x14ac:dyDescent="0.25">
      <c r="A915" s="15">
        <f t="shared" si="14"/>
        <v>914</v>
      </c>
      <c r="B915" s="15" t="s">
        <v>98</v>
      </c>
      <c r="C915" s="15" t="str" cm="1">
        <f t="array" ref="C915">IFERROR(_xlfn.XLOOKUP(B915, tblPeople[PersonID], tblPeople[PersonName], ""), "")</f>
        <v>Thadeus Mong’are</v>
      </c>
      <c r="D915" s="15" t="s">
        <v>30</v>
      </c>
      <c r="E915" s="16" t="str">
        <f>IFERROR(_xlfn.XLOOKUP(D915, tblCourses[CourseID], tblCourses[CourseName], ""), "")</f>
        <v>Dangerous Goods Regulations (CBTA 7.3) (Refresher)</v>
      </c>
      <c r="F915" s="17">
        <v>44518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6" spans="1:9" x14ac:dyDescent="0.25">
      <c r="A916" s="15">
        <f t="shared" si="14"/>
        <v>915</v>
      </c>
      <c r="B916" s="15" t="s">
        <v>84</v>
      </c>
      <c r="C916" s="15" t="str" cm="1">
        <f t="array" ref="C916">IFERROR(_xlfn.XLOOKUP(B916, tblPeople[PersonID], tblPeople[PersonName], ""), "")</f>
        <v>Patrick Musau</v>
      </c>
      <c r="D916" s="15" t="s">
        <v>30</v>
      </c>
      <c r="E916" s="16" t="str">
        <f>IFERROR(_xlfn.XLOOKUP(D916, tblCourses[CourseID], tblCourses[CourseName], ""), "")</f>
        <v>Dangerous Goods Regulations (CBTA 7.3) (Refresher)</v>
      </c>
      <c r="F916" s="17">
        <v>44518</v>
      </c>
      <c r="G916" s="17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16" s="15">
        <f ca="1">IF(OR(tblTraining[[#This Row],[Status]]="Renewed",tblTraining[[#This Row],[NextDueDate]]=""),"",tblTraining[[#This Row],[NextDueDate]]-TODAY())</f>
        <v>-1038</v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7" spans="1:9" x14ac:dyDescent="0.25">
      <c r="A917" s="15">
        <f t="shared" si="14"/>
        <v>916</v>
      </c>
      <c r="B917" s="15" t="s">
        <v>107</v>
      </c>
      <c r="C917" s="15" t="str" cm="1">
        <f t="array" ref="C917">IFERROR(_xlfn.XLOOKUP(B917, tblPeople[PersonID], tblPeople[PersonName], ""), "")</f>
        <v>Julius Nyawira</v>
      </c>
      <c r="D917" s="15" t="s">
        <v>30</v>
      </c>
      <c r="E917" s="16" t="str">
        <f>IFERROR(_xlfn.XLOOKUP(D917, tblCourses[CourseID], tblCourses[CourseName], ""), "")</f>
        <v>Dangerous Goods Regulations (CBTA 7.3) (Refresher)</v>
      </c>
      <c r="F917" s="17">
        <v>44109</v>
      </c>
      <c r="G917" s="17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17" s="15">
        <f ca="1">IF(OR(tblTraining[[#This Row],[Status]]="Renewed",tblTraining[[#This Row],[NextDueDate]]=""),"",tblTraining[[#This Row],[NextDueDate]]-TODAY())</f>
        <v>-1447</v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18" spans="1:9" x14ac:dyDescent="0.25">
      <c r="A918" s="15">
        <f t="shared" si="14"/>
        <v>917</v>
      </c>
      <c r="B918" s="15" t="s">
        <v>112</v>
      </c>
      <c r="C918" s="15" t="str" cm="1">
        <f t="array" ref="C918">IFERROR(_xlfn.XLOOKUP(B918, tblPeople[PersonID], tblPeople[PersonName], ""), "")</f>
        <v>Patrick Mwangi</v>
      </c>
      <c r="D918" s="15" t="s">
        <v>125</v>
      </c>
      <c r="E918" s="16" t="str">
        <f>IFERROR(_xlfn.XLOOKUP(D918, tblCourses[CourseID], tblCourses[CourseName], ""), "")</f>
        <v>Aviation Security (Refresher)</v>
      </c>
      <c r="F918" s="17">
        <v>45716</v>
      </c>
      <c r="G918" s="17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18" s="15">
        <f ca="1">IF(OR(tblTraining[[#This Row],[Status]]="Renewed",tblTraining[[#This Row],[NextDueDate]]=""),"",tblTraining[[#This Row],[NextDueDate]]-TODAY())</f>
        <v>160</v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103</v>
      </c>
      <c r="C919" s="15" t="str" cm="1">
        <f t="array" ref="C919">IFERROR(_xlfn.XLOOKUP(B919, tblPeople[PersonID], tblPeople[PersonName], ""), "")</f>
        <v>Smith Harun</v>
      </c>
      <c r="D919" s="15" t="s">
        <v>382</v>
      </c>
      <c r="E919" s="16" t="str">
        <f>IFERROR(_xlfn.XLOOKUP(D919, tblCourses[CourseID], tblCourses[CourseName], ""), "")</f>
        <v>DHC-8-400 Series with PWC 150A Engines (Initial)</v>
      </c>
      <c r="F919" s="17">
        <v>45905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103</v>
      </c>
      <c r="C920" s="15" t="str" cm="1">
        <f t="array" ref="C920">IFERROR(_xlfn.XLOOKUP(B920, tblPeople[PersonID], tblPeople[PersonName], ""), "")</f>
        <v>Smith Harun</v>
      </c>
      <c r="D920" s="15" t="s">
        <v>383</v>
      </c>
      <c r="E920" s="16" t="str">
        <f>IFERROR(_xlfn.XLOOKUP(D920, tblCourses[CourseID], tblCourses[CourseName], ""), "")</f>
        <v>DHC-8-400 Series with PWC 150A Engines (Refresher)</v>
      </c>
      <c r="F920" s="17">
        <v>45905</v>
      </c>
      <c r="G920" s="17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0" s="15">
        <f ca="1">IF(OR(tblTraining[[#This Row],[Status]]="Renewed",tblTraining[[#This Row],[NextDueDate]]=""),"",tblTraining[[#This Row],[NextDueDate]]-TODAY())</f>
        <v>349</v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95</v>
      </c>
      <c r="C921" s="15" t="str" cm="1">
        <f t="array" ref="C921">IFERROR(_xlfn.XLOOKUP(B921, tblPeople[PersonID], tblPeople[PersonName], ""), "")</f>
        <v>Walter Kibet</v>
      </c>
      <c r="D921" s="15" t="s">
        <v>382</v>
      </c>
      <c r="E921" s="16" t="str">
        <f>IFERROR(_xlfn.XLOOKUP(D921, tblCourses[CourseID], tblCourses[CourseName], ""), "")</f>
        <v>DHC-8-400 Series with PWC 150A Engines (Initial)</v>
      </c>
      <c r="F921" s="17">
        <v>45905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95</v>
      </c>
      <c r="C922" s="15" t="str" cm="1">
        <f t="array" ref="C922">IFERROR(_xlfn.XLOOKUP(B922, tblPeople[PersonID], tblPeople[PersonName], ""), "")</f>
        <v>Walter Kibet</v>
      </c>
      <c r="D922" s="15" t="s">
        <v>383</v>
      </c>
      <c r="E922" s="16" t="str">
        <f>IFERROR(_xlfn.XLOOKUP(D922, tblCourses[CourseID], tblCourses[CourseName], ""), "")</f>
        <v>DHC-8-400 Series with PWC 150A Engines (Refresher)</v>
      </c>
      <c r="F922" s="17">
        <v>45905</v>
      </c>
      <c r="G922" s="17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2" s="15">
        <f ca="1">IF(OR(tblTraining[[#This Row],[Status]]="Renewed",tblTraining[[#This Row],[NextDueDate]]=""),"",tblTraining[[#This Row],[NextDueDate]]-TODAY())</f>
        <v>349</v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102</v>
      </c>
      <c r="C923" s="15" t="str" cm="1">
        <f t="array" ref="C923">IFERROR(_xlfn.XLOOKUP(B923, tblPeople[PersonID], tblPeople[PersonName], ""), "")</f>
        <v>William Mlati</v>
      </c>
      <c r="D923" s="15" t="s">
        <v>382</v>
      </c>
      <c r="E923" s="16" t="str">
        <f>IFERROR(_xlfn.XLOOKUP(D923, tblCourses[CourseID], tblCourses[CourseName], ""), "")</f>
        <v>DHC-8-400 Series with PWC 150A Engines (Initial)</v>
      </c>
      <c r="F923" s="17">
        <v>45905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102</v>
      </c>
      <c r="C924" s="15" t="str" cm="1">
        <f t="array" ref="C924">IFERROR(_xlfn.XLOOKUP(B924, tblPeople[PersonID], tblPeople[PersonName], ""), "")</f>
        <v>William Mlati</v>
      </c>
      <c r="D924" s="15" t="s">
        <v>383</v>
      </c>
      <c r="E924" s="16" t="str">
        <f>IFERROR(_xlfn.XLOOKUP(D924, tblCourses[CourseID], tblCourses[CourseName], ""), "")</f>
        <v>DHC-8-400 Series with PWC 150A Engines (Refresher)</v>
      </c>
      <c r="F924" s="17">
        <v>45905</v>
      </c>
      <c r="G924" s="17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4" s="15">
        <f ca="1">IF(OR(tblTraining[[#This Row],[Status]]="Renewed",tblTraining[[#This Row],[NextDueDate]]=""),"",tblTraining[[#This Row],[NextDueDate]]-TODAY())</f>
        <v>349</v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100</v>
      </c>
      <c r="C925" s="15" t="str" cm="1">
        <f t="array" ref="C925">IFERROR(_xlfn.XLOOKUP(B925, tblPeople[PersonID], tblPeople[PersonName], ""), "")</f>
        <v>John Muriithi</v>
      </c>
      <c r="D925" s="15" t="s">
        <v>382</v>
      </c>
      <c r="E925" s="16" t="str">
        <f>IFERROR(_xlfn.XLOOKUP(D925, tblCourses[CourseID], tblCourses[CourseName], ""), "")</f>
        <v>DHC-8-400 Series with PWC 150A Engines (Initial)</v>
      </c>
      <c r="F925" s="17">
        <v>45905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100</v>
      </c>
      <c r="C926" s="15" t="str" cm="1">
        <f t="array" ref="C926">IFERROR(_xlfn.XLOOKUP(B926, tblPeople[PersonID], tblPeople[PersonName], ""), "")</f>
        <v>John Muriithi</v>
      </c>
      <c r="D926" s="15" t="s">
        <v>383</v>
      </c>
      <c r="E926" s="16" t="str">
        <f>IFERROR(_xlfn.XLOOKUP(D926, tblCourses[CourseID], tblCourses[CourseName], ""), "")</f>
        <v>DHC-8-400 Series with PWC 150A Engines (Refresher)</v>
      </c>
      <c r="F926" s="17">
        <v>45905</v>
      </c>
      <c r="G926" s="17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6" s="15">
        <f ca="1">IF(OR(tblTraining[[#This Row],[Status]]="Renewed",tblTraining[[#This Row],[NextDueDate]]=""),"",tblTraining[[#This Row],[NextDueDate]]-TODAY())</f>
        <v>349</v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135</v>
      </c>
      <c r="C927" s="15" t="str" cm="1">
        <f t="array" ref="C927">IFERROR(_xlfn.XLOOKUP(B927, tblPeople[PersonID], tblPeople[PersonName], ""), "")</f>
        <v>Francis Muriuki</v>
      </c>
      <c r="D927" s="15" t="s">
        <v>382</v>
      </c>
      <c r="E927" s="16" t="str">
        <f>IFERROR(_xlfn.XLOOKUP(D927, tblCourses[CourseID], tblCourses[CourseName], ""), "")</f>
        <v>DHC-8-400 Series with PWC 150A Engines (Initial)</v>
      </c>
      <c r="F927" s="17">
        <v>45905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135</v>
      </c>
      <c r="C928" s="15" t="str" cm="1">
        <f t="array" ref="C928">IFERROR(_xlfn.XLOOKUP(B928, tblPeople[PersonID], tblPeople[PersonName], ""), "")</f>
        <v>Francis Muriuki</v>
      </c>
      <c r="D928" s="15" t="s">
        <v>383</v>
      </c>
      <c r="E928" s="16" t="str">
        <f>IFERROR(_xlfn.XLOOKUP(D928, tblCourses[CourseID], tblCourses[CourseName], ""), "")</f>
        <v>DHC-8-400 Series with PWC 150A Engines (Refresher)</v>
      </c>
      <c r="F928" s="17">
        <v>45905</v>
      </c>
      <c r="G928" s="17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28" s="15">
        <f ca="1">IF(OR(tblTraining[[#This Row],[Status]]="Renewed",tblTraining[[#This Row],[NextDueDate]]=""),"",tblTraining[[#This Row],[NextDueDate]]-TODAY())</f>
        <v>349</v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104</v>
      </c>
      <c r="C929" s="15" t="str" cm="1">
        <f t="array" ref="C929">IFERROR(_xlfn.XLOOKUP(B929, tblPeople[PersonID], tblPeople[PersonName], ""), "")</f>
        <v>Douglas Hurgins</v>
      </c>
      <c r="D929" s="15" t="s">
        <v>175</v>
      </c>
      <c r="E929" s="16" t="str">
        <f>IFERROR(_xlfn.XLOOKUP(D929, tblCourses[CourseID], tblCourses[CourseName], ""), "")</f>
        <v>Aircraft Maintenance Engineers' Licence</v>
      </c>
      <c r="F929" s="17">
        <v>45945</v>
      </c>
      <c r="G929" s="17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29" s="15">
        <f ca="1">IF(OR(tblTraining[[#This Row],[Status]]="Renewed",tblTraining[[#This Row],[NextDueDate]]=""),"",tblTraining[[#This Row],[NextDueDate]]-TODAY())</f>
        <v>389</v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98</v>
      </c>
      <c r="C930" s="15" t="str" cm="1">
        <f t="array" ref="C930">IFERROR(_xlfn.XLOOKUP(B930, tblPeople[PersonID], tblPeople[PersonName], ""), "")</f>
        <v>Thadeus Mong’are</v>
      </c>
      <c r="D930" s="15" t="s">
        <v>76</v>
      </c>
      <c r="E930" s="16" t="str">
        <f>IFERROR(_xlfn.XLOOKUP(D930, tblCourses[CourseID], tblCourses[CourseName], ""), "")</f>
        <v>Fuel Tank Safety Phase 1 &amp; 2 Course (Initial)</v>
      </c>
      <c r="F930" s="17">
        <v>44626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84</v>
      </c>
      <c r="C931" s="15" t="str" cm="1">
        <f t="array" ref="C931">IFERROR(_xlfn.XLOOKUP(B931, tblPeople[PersonID], tblPeople[PersonName], ""), "")</f>
        <v>Patrick Musau</v>
      </c>
      <c r="D931" s="15" t="s">
        <v>22</v>
      </c>
      <c r="E931" s="16" t="str">
        <f>IFERROR(_xlfn.XLOOKUP(D931, tblCourses[CourseID], tblCourses[CourseName], ""), "")</f>
        <v>Human Factors in Aviation (Refresher)</v>
      </c>
      <c r="F931" s="17">
        <v>45895</v>
      </c>
      <c r="G931" s="17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31" s="15">
        <f ca="1">IF(OR(tblTraining[[#This Row],[Status]]="Renewed",tblTraining[[#This Row],[NextDueDate]]=""),"",tblTraining[[#This Row],[NextDueDate]]-TODAY())</f>
        <v>339</v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104</v>
      </c>
      <c r="C932" s="15" t="str" cm="1">
        <f t="array" ref="C932">IFERROR(_xlfn.XLOOKUP(B932, tblPeople[PersonID], tblPeople[PersonName], ""), "")</f>
        <v>Douglas Hurgins</v>
      </c>
      <c r="D932" s="15" t="s">
        <v>177</v>
      </c>
      <c r="E932" s="16" t="str">
        <f>IFERROR(_xlfn.XLOOKUP(D932, tblCourses[CourseID], tblCourses[CourseName], ""), "")</f>
        <v>Cessna 208 Series (Caravan) With P&amp;WC PT6A-114/ -114A/ -140 Engines (Initial)</v>
      </c>
      <c r="F932" s="17">
        <v>46045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104</v>
      </c>
      <c r="C933" s="15" t="str" cm="1">
        <f t="array" ref="C933">IFERROR(_xlfn.XLOOKUP(B933, tblPeople[PersonID], tblPeople[PersonName], ""), "")</f>
        <v>Douglas Hurgins</v>
      </c>
      <c r="D933" s="15" t="s">
        <v>178</v>
      </c>
      <c r="E933" s="16" t="str">
        <f>IFERROR(_xlfn.XLOOKUP(D933, tblCourses[CourseID], tblCourses[CourseName], ""), "")</f>
        <v>Cessna 208 Series (Caravan) With P&amp;WC PT6A-114/ -114A/ -140 Engines (Refresher)</v>
      </c>
      <c r="F933" s="17">
        <v>46045</v>
      </c>
      <c r="G933" s="17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3" s="15">
        <f ca="1">IF(OR(tblTraining[[#This Row],[Status]]="Renewed",tblTraining[[#This Row],[NextDueDate]]=""),"",tblTraining[[#This Row],[NextDueDate]]-TODAY())</f>
        <v>489</v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98</v>
      </c>
      <c r="C934" s="15" t="str" cm="1">
        <f t="array" ref="C934">IFERROR(_xlfn.XLOOKUP(B934, tblPeople[PersonID], tblPeople[PersonName], ""), "")</f>
        <v>Thadeus Mong’are</v>
      </c>
      <c r="D934" s="15" t="s">
        <v>177</v>
      </c>
      <c r="E934" s="16" t="str">
        <f>IFERROR(_xlfn.XLOOKUP(D934, tblCourses[CourseID], tblCourses[CourseName], ""), "")</f>
        <v>Cessna 208 Series (Caravan) With P&amp;WC PT6A-114/ -114A/ -140 Engines (Initial)</v>
      </c>
      <c r="F934" s="17">
        <v>46045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5" spans="1:9" x14ac:dyDescent="0.25">
      <c r="A935" s="15">
        <f t="shared" si="14"/>
        <v>934</v>
      </c>
      <c r="B935" s="15" t="s">
        <v>98</v>
      </c>
      <c r="C935" s="15" t="str" cm="1">
        <f t="array" ref="C935">IFERROR(_xlfn.XLOOKUP(B935, tblPeople[PersonID], tblPeople[PersonName], ""), "")</f>
        <v>Thadeus Mong’are</v>
      </c>
      <c r="D935" s="15" t="s">
        <v>178</v>
      </c>
      <c r="E935" s="16" t="str">
        <f>IFERROR(_xlfn.XLOOKUP(D935, tblCourses[CourseID], tblCourses[CourseName], ""), "")</f>
        <v>Cessna 208 Series (Caravan) With P&amp;WC PT6A-114/ -114A/ -140 Engines (Refresher)</v>
      </c>
      <c r="F935" s="17">
        <v>46045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35" s="15">
        <f ca="1">IF(OR(tblTraining[[#This Row],[Status]]="Renewed",tblTraining[[#This Row],[NextDueDate]]=""),"",tblTraining[[#This Row],[NextDueDate]]-TODAY())</f>
        <v>489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6" spans="1:9" x14ac:dyDescent="0.25">
      <c r="A936" s="15">
        <f t="shared" si="14"/>
        <v>935</v>
      </c>
      <c r="B936" s="15" t="s">
        <v>85</v>
      </c>
      <c r="C936" s="15" t="str" cm="1">
        <f t="array" ref="C936">IFERROR(_xlfn.XLOOKUP(B936, tblPeople[PersonID], tblPeople[PersonName], ""), "")</f>
        <v>Titus Shunza</v>
      </c>
      <c r="D936" s="15" t="s">
        <v>22</v>
      </c>
      <c r="E936" s="16" t="str">
        <f>IFERROR(_xlfn.XLOOKUP(D936, tblCourses[CourseID], tblCourses[CourseName], ""), "")</f>
        <v>Human Factors in Aviation (Refresher)</v>
      </c>
      <c r="F936" s="17">
        <v>46069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36" s="15">
        <f ca="1">IF(OR(tblTraining[[#This Row],[Status]]="Renewed",tblTraining[[#This Row],[NextDueDate]]=""),"",tblTraining[[#This Row],[NextDueDate]]-TODAY())</f>
        <v>513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7" spans="1:9" x14ac:dyDescent="0.25">
      <c r="A937" s="15">
        <f t="shared" si="14"/>
        <v>936</v>
      </c>
      <c r="B937" s="15" t="s">
        <v>103</v>
      </c>
      <c r="C937" s="15" t="str" cm="1">
        <f t="array" ref="C937">IFERROR(_xlfn.XLOOKUP(B937, tblPeople[PersonID], tblPeople[PersonName], ""), "")</f>
        <v>Smith Harun</v>
      </c>
      <c r="D937" s="15" t="s">
        <v>178</v>
      </c>
      <c r="E937" s="16" t="str">
        <f>IFERROR(_xlfn.XLOOKUP(D937, tblCourses[CourseID], tblCourses[CourseName], ""), "")</f>
        <v>Cessna 208 Series (Caravan) With P&amp;WC PT6A-114/ -114A/ -140 Engines (Refresher)</v>
      </c>
      <c r="F937" s="17">
        <v>46059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7" s="15">
        <f ca="1">IF(OR(tblTraining[[#This Row],[Status]]="Renewed",tblTraining[[#This Row],[NextDueDate]]=""),"",tblTraining[[#This Row],[NextDueDate]]-TODAY())</f>
        <v>503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>
        <f t="shared" si="14"/>
        <v>937</v>
      </c>
      <c r="B938" s="15" t="s">
        <v>149</v>
      </c>
      <c r="C938" s="15" t="str" cm="1">
        <f t="array" ref="C938">IFERROR(_xlfn.XLOOKUP(B938, tblPeople[PersonID], tblPeople[PersonName], ""), "")</f>
        <v>Kea Kazungu</v>
      </c>
      <c r="D938" s="15" t="s">
        <v>178</v>
      </c>
      <c r="E938" s="16" t="str">
        <f>IFERROR(_xlfn.XLOOKUP(D938, tblCourses[CourseID], tblCourses[CourseName], ""), "")</f>
        <v>Cessna 208 Series (Caravan) With P&amp;WC PT6A-114/ -114A/ -140 Engines (Refresher)</v>
      </c>
      <c r="F938" s="17">
        <v>46059</v>
      </c>
      <c r="G938" s="17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8" s="15">
        <f ca="1">IF(OR(tblTraining[[#This Row],[Status]]="Renewed",tblTraining[[#This Row],[NextDueDate]]=""),"",tblTraining[[#This Row],[NextDueDate]]-TODAY())</f>
        <v>503</v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>
        <f t="shared" si="14"/>
        <v>938</v>
      </c>
      <c r="B939" s="15" t="s">
        <v>102</v>
      </c>
      <c r="C939" s="15" t="str" cm="1">
        <f t="array" ref="C939">IFERROR(_xlfn.XLOOKUP(B939, tblPeople[PersonID], tblPeople[PersonName], ""), "")</f>
        <v>William Mlati</v>
      </c>
      <c r="D939" s="15" t="s">
        <v>178</v>
      </c>
      <c r="E939" s="16" t="str">
        <f>IFERROR(_xlfn.XLOOKUP(D939, tblCourses[CourseID], tblCourses[CourseName], ""), "")</f>
        <v>Cessna 208 Series (Caravan) With P&amp;WC PT6A-114/ -114A/ -140 Engines (Refresher)</v>
      </c>
      <c r="F939" s="17">
        <v>46059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39" s="15">
        <f ca="1">IF(OR(tblTraining[[#This Row],[Status]]="Renewed",tblTraining[[#This Row],[NextDueDate]]=""),"",tblTraining[[#This Row],[NextDueDate]]-TODAY())</f>
        <v>503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>
        <f t="shared" si="14"/>
        <v>939</v>
      </c>
      <c r="B940" s="15" t="s">
        <v>82</v>
      </c>
      <c r="C940" s="15" t="str" cm="1">
        <f t="array" ref="C940">IFERROR(_xlfn.XLOOKUP(B940, tblPeople[PersonID], tblPeople[PersonName], ""), "")</f>
        <v>Philip Mwania</v>
      </c>
      <c r="D940" s="15" t="s">
        <v>178</v>
      </c>
      <c r="E940" s="16" t="str">
        <f>IFERROR(_xlfn.XLOOKUP(D940, tblCourses[CourseID], tblCourses[CourseName], ""), "")</f>
        <v>Cessna 208 Series (Caravan) With P&amp;WC PT6A-114/ -114A/ -140 Engines (Refresher)</v>
      </c>
      <c r="F940" s="17">
        <v>46059</v>
      </c>
      <c r="G940" s="17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40" s="15">
        <f ca="1">IF(OR(tblTraining[[#This Row],[Status]]="Renewed",tblTraining[[#This Row],[NextDueDate]]=""),"",tblTraining[[#This Row],[NextDueDate]]-TODAY())</f>
        <v>503</v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85</v>
      </c>
      <c r="C941" s="15" t="str" cm="1">
        <f t="array" ref="C941">IFERROR(_xlfn.XLOOKUP(B941, tblPeople[PersonID], tblPeople[PersonName], ""), "")</f>
        <v>Titus Shunza</v>
      </c>
      <c r="D941" s="15" t="s">
        <v>178</v>
      </c>
      <c r="E941" s="16" t="str">
        <f>IFERROR(_xlfn.XLOOKUP(D941, tblCourses[CourseID], tblCourses[CourseName], ""), "")</f>
        <v>Cessna 208 Series (Caravan) With P&amp;WC PT6A-114/ -114A/ -140 Engines (Refresher)</v>
      </c>
      <c r="F941" s="17">
        <v>46059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41" s="15">
        <f ca="1">IF(OR(tblTraining[[#This Row],[Status]]="Renewed",tblTraining[[#This Row],[NextDueDate]]=""),"",tblTraining[[#This Row],[NextDueDate]]-TODAY())</f>
        <v>503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149</v>
      </c>
      <c r="C942" s="15" t="str" cm="1">
        <f t="array" ref="C942">IFERROR(_xlfn.XLOOKUP(B942, tblPeople[PersonID], tblPeople[PersonName], ""), "")</f>
        <v>Kea Kazungu</v>
      </c>
      <c r="D942" s="15" t="s">
        <v>28</v>
      </c>
      <c r="E942" s="16" t="str">
        <f>IFERROR(_xlfn.XLOOKUP(D942, tblCourses[CourseID], tblCourses[CourseName], ""), "")</f>
        <v>DHC-8 100/200/300 with PWC 120/120A/121/123B/C/D/E Series Engines(Refresher)</v>
      </c>
      <c r="F942" s="17">
        <v>46038</v>
      </c>
      <c r="G942" s="17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2" s="15">
        <f ca="1">IF(OR(tblTraining[[#This Row],[Status]]="Renewed",tblTraining[[#This Row],[NextDueDate]]=""),"",tblTraining[[#This Row],[NextDueDate]]-TODAY())</f>
        <v>482</v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102</v>
      </c>
      <c r="C943" s="15" t="str" cm="1">
        <f t="array" ref="C943">IFERROR(_xlfn.XLOOKUP(B943, tblPeople[PersonID], tblPeople[PersonName], ""), "")</f>
        <v>William Mlati</v>
      </c>
      <c r="D943" s="15" t="s">
        <v>28</v>
      </c>
      <c r="E943" s="16" t="str">
        <f>IFERROR(_xlfn.XLOOKUP(D943, tblCourses[CourseID], tblCourses[CourseName], ""), "")</f>
        <v>DHC-8 100/200/300 with PWC 120/120A/121/123B/C/D/E Series Engines(Refresher)</v>
      </c>
      <c r="F943" s="17">
        <v>46038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3" s="15">
        <f ca="1">IF(OR(tblTraining[[#This Row],[Status]]="Renewed",tblTraining[[#This Row],[NextDueDate]]=""),"",tblTraining[[#This Row],[NextDueDate]]-TODAY())</f>
        <v>482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82</v>
      </c>
      <c r="C944" s="15" t="str" cm="1">
        <f t="array" ref="C944">IFERROR(_xlfn.XLOOKUP(B944, tblPeople[PersonID], tblPeople[PersonName], ""), "")</f>
        <v>Philip Mwania</v>
      </c>
      <c r="D944" s="15" t="s">
        <v>28</v>
      </c>
      <c r="E944" s="16" t="str">
        <f>IFERROR(_xlfn.XLOOKUP(D944, tblCourses[CourseID], tblCourses[CourseName], ""), "")</f>
        <v>DHC-8 100/200/300 with PWC 120/120A/121/123B/C/D/E Series Engines(Refresher)</v>
      </c>
      <c r="F944" s="17">
        <v>46038</v>
      </c>
      <c r="G944" s="17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44" s="15">
        <f ca="1">IF(OR(tblTraining[[#This Row],[Status]]="Renewed",tblTraining[[#This Row],[NextDueDate]]=""),"",tblTraining[[#This Row],[NextDueDate]]-TODAY())</f>
        <v>482</v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135</v>
      </c>
      <c r="C945" s="15" t="str" cm="1">
        <f t="array" ref="C945">IFERROR(_xlfn.XLOOKUP(B945, tblPeople[PersonID], tblPeople[PersonName], ""), "")</f>
        <v>Francis Muriuki</v>
      </c>
      <c r="D945" s="15" t="s">
        <v>22</v>
      </c>
      <c r="E945" s="16" t="str">
        <f>IFERROR(_xlfn.XLOOKUP(D945, tblCourses[CourseID], tblCourses[CourseName], ""), "")</f>
        <v>Human Factors in Aviation (Refresher)</v>
      </c>
      <c r="F945" s="17">
        <v>46071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45" s="15">
        <f ca="1">IF(OR(tblTraining[[#This Row],[Status]]="Renewed",tblTraining[[#This Row],[NextDueDate]]=""),"",tblTraining[[#This Row],[NextDueDate]]-TODAY())</f>
        <v>515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121</v>
      </c>
      <c r="C946" s="15" t="str" cm="1">
        <f t="array" ref="C946">IFERROR(_xlfn.XLOOKUP(B946, tblPeople[PersonID], tblPeople[PersonName], ""), "")</f>
        <v>Chrispus King'ori</v>
      </c>
      <c r="D946" s="15" t="s">
        <v>76</v>
      </c>
      <c r="E946" s="16" t="str">
        <f>IFERROR(_xlfn.XLOOKUP(D946, tblCourses[CourseID], tblCourses[CourseName], ""), "")</f>
        <v>Fuel Tank Safety Phase 1 &amp; 2 Course (Initial)</v>
      </c>
      <c r="F946" s="17">
        <v>45977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121</v>
      </c>
      <c r="C947" s="15" t="str" cm="1">
        <f t="array" ref="C947">IFERROR(_xlfn.XLOOKUP(B947, tblPeople[PersonID], tblPeople[PersonName], ""), "")</f>
        <v>Chrispus King'ori</v>
      </c>
      <c r="D947" s="15" t="s">
        <v>75</v>
      </c>
      <c r="E947" s="16" t="str">
        <f>IFERROR(_xlfn.XLOOKUP(D947, tblCourses[CourseID], tblCourses[CourseName], ""), "")</f>
        <v>Fuel Tank Safety Phase 1 &amp; 2 Course (Refresher)</v>
      </c>
      <c r="F947" s="17">
        <v>45977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47" s="15">
        <f ca="1">IF(OR(tblTraining[[#This Row],[Status]]="Renewed",tblTraining[[#This Row],[NextDueDate]]=""),"",tblTraining[[#This Row],[NextDueDate]]-TODAY())</f>
        <v>421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210</v>
      </c>
      <c r="C948" s="15" t="str" cm="1">
        <f t="array" ref="C948">IFERROR(_xlfn.XLOOKUP(B948, tblPeople[PersonID], tblPeople[PersonName], ""), "")</f>
        <v>John Kihara</v>
      </c>
      <c r="D948" s="15" t="s">
        <v>76</v>
      </c>
      <c r="E948" s="16" t="str">
        <f>IFERROR(_xlfn.XLOOKUP(D948, tblCourses[CourseID], tblCourses[CourseName], ""), "")</f>
        <v>Fuel Tank Safety Phase 1 &amp; 2 Course (Initial)</v>
      </c>
      <c r="F948" s="17">
        <v>45968</v>
      </c>
      <c r="G948" s="17" t="str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8" s="15" t="str">
        <f ca="1">IF(OR(tblTraining[[#This Row],[Status]]="Renewed",tblTraining[[#This Row],[NextDueDate]]=""),"",tblTraining[[#This Row],[NextDueDate]]-TODAY())</f>
        <v/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210</v>
      </c>
      <c r="C949" s="15" t="str" cm="1">
        <f t="array" ref="C949">IFERROR(_xlfn.XLOOKUP(B949, tblPeople[PersonID], tblPeople[PersonName], ""), "")</f>
        <v>John Kihara</v>
      </c>
      <c r="D949" s="15" t="s">
        <v>75</v>
      </c>
      <c r="E949" s="16" t="str">
        <f>IFERROR(_xlfn.XLOOKUP(D949, tblCourses[CourseID], tblCourses[CourseName], ""), "")</f>
        <v>Fuel Tank Safety Phase 1 &amp; 2 Course (Refresher)</v>
      </c>
      <c r="F949" s="17">
        <v>45968</v>
      </c>
      <c r="G949" s="17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49" s="15">
        <f ca="1">IF(OR(tblTraining[[#This Row],[Status]]="Renewed",tblTraining[[#This Row],[NextDueDate]]=""),"",tblTraining[[#This Row],[NextDueDate]]-TODAY())</f>
        <v>412</v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120</v>
      </c>
      <c r="C950" s="15" t="str" cm="1">
        <f t="array" ref="C950">IFERROR(_xlfn.XLOOKUP(B950, tblPeople[PersonID], tblPeople[PersonName], ""), "")</f>
        <v>Churchill Bil</v>
      </c>
      <c r="D950" s="15" t="s">
        <v>76</v>
      </c>
      <c r="E950" s="16" t="str">
        <f>IFERROR(_xlfn.XLOOKUP(D950, tblCourses[CourseID], tblCourses[CourseName], ""), "")</f>
        <v>Fuel Tank Safety Phase 1 &amp; 2 Course (Initial)</v>
      </c>
      <c r="F950" s="17">
        <v>45950</v>
      </c>
      <c r="G950" s="17" t="str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0" s="15" t="str">
        <f ca="1">IF(OR(tblTraining[[#This Row],[Status]]="Renewed",tblTraining[[#This Row],[NextDueDate]]=""),"",tblTraining[[#This Row],[NextDueDate]]-TODAY())</f>
        <v/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120</v>
      </c>
      <c r="C951" s="15" t="str" cm="1">
        <f t="array" ref="C951">IFERROR(_xlfn.XLOOKUP(B951, tblPeople[PersonID], tblPeople[PersonName], ""), "")</f>
        <v>Churchill Bil</v>
      </c>
      <c r="D951" s="15" t="s">
        <v>75</v>
      </c>
      <c r="E951" s="16" t="str">
        <f>IFERROR(_xlfn.XLOOKUP(D951, tblCourses[CourseID], tblCourses[CourseName], ""), "")</f>
        <v>Fuel Tank Safety Phase 1 &amp; 2 Course (Refresher)</v>
      </c>
      <c r="F951" s="17">
        <v>45950</v>
      </c>
      <c r="G951" s="17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51" s="15">
        <f ca="1">IF(OR(tblTraining[[#This Row],[Status]]="Renewed",tblTraining[[#This Row],[NextDueDate]]=""),"",tblTraining[[#This Row],[NextDueDate]]-TODAY())</f>
        <v>394</v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390</v>
      </c>
      <c r="C952" s="15" t="str" cm="1">
        <f t="array" ref="C952">IFERROR(_xlfn.XLOOKUP(B952, tblPeople[PersonID], tblPeople[PersonName], ""), "")</f>
        <v>Benson Gitahi</v>
      </c>
      <c r="D952" s="15" t="s">
        <v>76</v>
      </c>
      <c r="E952" s="16" t="str">
        <f>IFERROR(_xlfn.XLOOKUP(D952, tblCourses[CourseID], tblCourses[CourseName], ""), "")</f>
        <v>Fuel Tank Safety Phase 1 &amp; 2 Course (Initial)</v>
      </c>
      <c r="F952" s="17">
        <v>46072</v>
      </c>
      <c r="G952" s="17" t="str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2" s="15" t="str">
        <f ca="1">IF(OR(tblTraining[[#This Row],[Status]]="Renewed",tblTraining[[#This Row],[NextDueDate]]=""),"",tblTraining[[#This Row],[NextDueDate]]-TODAY())</f>
        <v/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390</v>
      </c>
      <c r="C953" s="15" t="str" cm="1">
        <f t="array" ref="C953">IFERROR(_xlfn.XLOOKUP(B953, tblPeople[PersonID], tblPeople[PersonName], ""), "")</f>
        <v>Benson Gitahi</v>
      </c>
      <c r="D953" s="15" t="s">
        <v>75</v>
      </c>
      <c r="E953" s="16" t="str">
        <f>IFERROR(_xlfn.XLOOKUP(D953, tblCourses[CourseID], tblCourses[CourseName], ""), "")</f>
        <v>Fuel Tank Safety Phase 1 &amp; 2 Course (Refresher)</v>
      </c>
      <c r="F953" s="17">
        <v>46072</v>
      </c>
      <c r="G953" s="17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53" s="15">
        <f ca="1">IF(OR(tblTraining[[#This Row],[Status]]="Renewed",tblTraining[[#This Row],[NextDueDate]]=""),"",tblTraining[[#This Row],[NextDueDate]]-TODAY())</f>
        <v>516</v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89</v>
      </c>
      <c r="C954" s="15" t="str" cm="1">
        <f t="array" ref="C954">IFERROR(_xlfn.XLOOKUP(B954, tblPeople[PersonID], tblPeople[PersonName], ""), "")</f>
        <v>Elina Guda</v>
      </c>
      <c r="D954" s="15" t="s">
        <v>198</v>
      </c>
      <c r="E954" s="16" t="str">
        <f>IFERROR(_xlfn.XLOOKUP(D954, tblCourses[CourseID], tblCourses[CourseName], ""), "")</f>
        <v>Maintenance Procedures &amp; Standard Maintenance Practices (Refresher)</v>
      </c>
      <c r="F954" s="17">
        <v>46073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4" s="15">
        <f ca="1">IF(OR(tblTraining[[#This Row],[Status]]="Renewed",tblTraining[[#This Row],[NextDueDate]]=""),"",tblTraining[[#This Row],[NextDueDate]]-TODAY())</f>
        <v>517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103</v>
      </c>
      <c r="C955" s="15" t="str" cm="1">
        <f t="array" ref="C955">IFERROR(_xlfn.XLOOKUP(B955, tblPeople[PersonID], tblPeople[PersonName], ""), "")</f>
        <v>Smith Harun</v>
      </c>
      <c r="D955" s="15" t="s">
        <v>198</v>
      </c>
      <c r="E955" s="16" t="str">
        <f>IFERROR(_xlfn.XLOOKUP(D955, tblCourses[CourseID], tblCourses[CourseName], ""), "")</f>
        <v>Maintenance Procedures &amp; Standard Maintenance Practices (Refresher)</v>
      </c>
      <c r="F955" s="17">
        <v>46073</v>
      </c>
      <c r="G955" s="17" t="str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5" s="15" t="str">
        <f ca="1">IF(OR(tblTraining[[#This Row],[Status]]="Renewed",tblTraining[[#This Row],[NextDueDate]]=""),"",tblTraining[[#This Row],[NextDueDate]]-TODAY())</f>
        <v/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56" spans="1:9" x14ac:dyDescent="0.25">
      <c r="A956" s="15">
        <f t="shared" si="14"/>
        <v>955</v>
      </c>
      <c r="B956" s="15" t="s">
        <v>104</v>
      </c>
      <c r="C956" s="15" t="str" cm="1">
        <f t="array" ref="C956">IFERROR(_xlfn.XLOOKUP(B956, tblPeople[PersonID], tblPeople[PersonName], ""), "")</f>
        <v>Douglas Hurgins</v>
      </c>
      <c r="D956" s="15" t="s">
        <v>198</v>
      </c>
      <c r="E956" s="16" t="str">
        <f>IFERROR(_xlfn.XLOOKUP(D956, tblCourses[CourseID], tblCourses[CourseName], ""), "")</f>
        <v>Maintenance Procedures &amp; Standard Maintenance Practices (Refresher)</v>
      </c>
      <c r="F956" s="17">
        <v>46073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6" s="15">
        <f ca="1">IF(OR(tblTraining[[#This Row],[Status]]="Renewed",tblTraining[[#This Row],[NextDueDate]]=""),"",tblTraining[[#This Row],[NextDueDate]]-TODAY())</f>
        <v>517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105</v>
      </c>
      <c r="C957" s="15" t="str" cm="1">
        <f t="array" ref="C957">IFERROR(_xlfn.XLOOKUP(B957, tblPeople[PersonID], tblPeople[PersonName], ""), "")</f>
        <v>Fred Magotsi</v>
      </c>
      <c r="D957" s="15" t="s">
        <v>198</v>
      </c>
      <c r="E957" s="16" t="str">
        <f>IFERROR(_xlfn.XLOOKUP(D957, tblCourses[CourseID], tblCourses[CourseName], ""), "")</f>
        <v>Maintenance Procedures &amp; Standard Maintenance Practices (Refresher)</v>
      </c>
      <c r="F957" s="17">
        <v>46073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7" s="15">
        <f ca="1">IF(OR(tblTraining[[#This Row],[Status]]="Renewed",tblTraining[[#This Row],[NextDueDate]]=""),"",tblTraining[[#This Row],[NextDueDate]]-TODAY())</f>
        <v>517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102</v>
      </c>
      <c r="C958" s="15" t="str" cm="1">
        <f t="array" ref="C958">IFERROR(_xlfn.XLOOKUP(B958, tblPeople[PersonID], tblPeople[PersonName], ""), "")</f>
        <v>William Mlati</v>
      </c>
      <c r="D958" s="15" t="s">
        <v>198</v>
      </c>
      <c r="E958" s="16" t="str">
        <f>IFERROR(_xlfn.XLOOKUP(D958, tblCourses[CourseID], tblCourses[CourseName], ""), "")</f>
        <v>Maintenance Procedures &amp; Standard Maintenance Practices (Refresher)</v>
      </c>
      <c r="F958" s="17">
        <v>46073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8" s="15">
        <f ca="1">IF(OR(tblTraining[[#This Row],[Status]]="Renewed",tblTraining[[#This Row],[NextDueDate]]=""),"",tblTraining[[#This Row],[NextDueDate]]-TODAY())</f>
        <v>517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152</v>
      </c>
      <c r="C959" s="15" t="str" cm="1">
        <f t="array" ref="C959">IFERROR(_xlfn.XLOOKUP(B959, tblPeople[PersonID], tblPeople[PersonName], ""), "")</f>
        <v>Majid Mohamed</v>
      </c>
      <c r="D959" s="15" t="s">
        <v>198</v>
      </c>
      <c r="E959" s="16" t="str">
        <f>IFERROR(_xlfn.XLOOKUP(D959, tblCourses[CourseID], tblCourses[CourseName], ""), "")</f>
        <v>Maintenance Procedures &amp; Standard Maintenance Practices (Refresher)</v>
      </c>
      <c r="F959" s="17">
        <v>46073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59" s="15">
        <f ca="1">IF(OR(tblTraining[[#This Row],[Status]]="Renewed",tblTraining[[#This Row],[NextDueDate]]=""),"",tblTraining[[#This Row],[NextDueDate]]-TODAY())</f>
        <v>517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100</v>
      </c>
      <c r="C960" s="15" t="str" cm="1">
        <f t="array" ref="C960">IFERROR(_xlfn.XLOOKUP(B960, tblPeople[PersonID], tblPeople[PersonName], ""), "")</f>
        <v>John Muriithi</v>
      </c>
      <c r="D960" s="15" t="s">
        <v>198</v>
      </c>
      <c r="E960" s="16" t="str">
        <f>IFERROR(_xlfn.XLOOKUP(D960, tblCourses[CourseID], tblCourses[CourseName], ""), "")</f>
        <v>Maintenance Procedures &amp; Standard Maintenance Practices (Refresher)</v>
      </c>
      <c r="F960" s="17">
        <v>46073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0" s="15">
        <f ca="1">IF(OR(tblTraining[[#This Row],[Status]]="Renewed",tblTraining[[#This Row],[NextDueDate]]=""),"",tblTraining[[#This Row],[NextDueDate]]-TODAY())</f>
        <v>517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135</v>
      </c>
      <c r="C961" s="15" t="str" cm="1">
        <f t="array" ref="C961">IFERROR(_xlfn.XLOOKUP(B961, tblPeople[PersonID], tblPeople[PersonName], ""), "")</f>
        <v>Francis Muriuki</v>
      </c>
      <c r="D961" s="15" t="s">
        <v>198</v>
      </c>
      <c r="E961" s="16" t="str">
        <f>IFERROR(_xlfn.XLOOKUP(D961, tblCourses[CourseID], tblCourses[CourseName], ""), "")</f>
        <v>Maintenance Procedures &amp; Standard Maintenance Practices (Refresher)</v>
      </c>
      <c r="F961" s="17">
        <v>46073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1" s="15">
        <f ca="1">IF(OR(tblTraining[[#This Row],[Status]]="Renewed",tblTraining[[#This Row],[NextDueDate]]=""),"",tblTraining[[#This Row],[NextDueDate]]-TODAY())</f>
        <v>517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156</v>
      </c>
      <c r="C962" s="15" t="str" cm="1">
        <f t="array" ref="C962">IFERROR(_xlfn.XLOOKUP(B962, tblPeople[PersonID], tblPeople[PersonName], ""), "")</f>
        <v>Stephen Mutambu</v>
      </c>
      <c r="D962" s="15" t="s">
        <v>198</v>
      </c>
      <c r="E962" s="16" t="str">
        <f>IFERROR(_xlfn.XLOOKUP(D962, tblCourses[CourseID], tblCourses[CourseName], ""), "")</f>
        <v>Maintenance Procedures &amp; Standard Maintenance Practices (Refresher)</v>
      </c>
      <c r="F962" s="17">
        <v>46073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2" s="15">
        <f ca="1">IF(OR(tblTraining[[#This Row],[Status]]="Renewed",tblTraining[[#This Row],[NextDueDate]]=""),"",tblTraining[[#This Row],[NextDueDate]]-TODAY())</f>
        <v>517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94</v>
      </c>
      <c r="C963" s="15" t="str" cm="1">
        <f t="array" ref="C963">IFERROR(_xlfn.XLOOKUP(B963, tblPeople[PersonID], tblPeople[PersonName], ""), "")</f>
        <v>Moses Musyoka</v>
      </c>
      <c r="D963" s="15" t="s">
        <v>198</v>
      </c>
      <c r="E963" s="16" t="str">
        <f>IFERROR(_xlfn.XLOOKUP(D963, tblCourses[CourseID], tblCourses[CourseName], ""), "")</f>
        <v>Maintenance Procedures &amp; Standard Maintenance Practices (Refresher)</v>
      </c>
      <c r="F963" s="17">
        <v>46073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3" s="15">
        <f ca="1">IF(OR(tblTraining[[#This Row],[Status]]="Renewed",tblTraining[[#This Row],[NextDueDate]]=""),"",tblTraining[[#This Row],[NextDueDate]]-TODAY())</f>
        <v>517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101</v>
      </c>
      <c r="C964" s="15" t="str" cm="1">
        <f t="array" ref="C964">IFERROR(_xlfn.XLOOKUP(B964, tblPeople[PersonID], tblPeople[PersonName], ""), "")</f>
        <v>Paul Mzera</v>
      </c>
      <c r="D964" s="15" t="s">
        <v>198</v>
      </c>
      <c r="E964" s="16" t="str">
        <f>IFERROR(_xlfn.XLOOKUP(D964, tblCourses[CourseID], tblCourses[CourseName], ""), "")</f>
        <v>Maintenance Procedures &amp; Standard Maintenance Practices (Refresher)</v>
      </c>
      <c r="F964" s="17">
        <v>46073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4" s="15">
        <f ca="1">IF(OR(tblTraining[[#This Row],[Status]]="Renewed",tblTraining[[#This Row],[NextDueDate]]=""),"",tblTraining[[#This Row],[NextDueDate]]-TODAY())</f>
        <v>517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118</v>
      </c>
      <c r="C965" s="15" t="str" cm="1">
        <f t="array" ref="C965">IFERROR(_xlfn.XLOOKUP(B965, tblPeople[PersonID], tblPeople[PersonName], ""), "")</f>
        <v>Michael Olunga</v>
      </c>
      <c r="D965" s="15" t="s">
        <v>198</v>
      </c>
      <c r="E965" s="16" t="str">
        <f>IFERROR(_xlfn.XLOOKUP(D965, tblCourses[CourseID], tblCourses[CourseName], ""), "")</f>
        <v>Maintenance Procedures &amp; Standard Maintenance Practices (Refresher)</v>
      </c>
      <c r="F965" s="17">
        <v>46073</v>
      </c>
      <c r="G965" s="17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5" s="15">
        <f ca="1">IF(OR(tblTraining[[#This Row],[Status]]="Renewed",tblTraining[[#This Row],[NextDueDate]]=""),"",tblTraining[[#This Row],[NextDueDate]]-TODAY())</f>
        <v>517</v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92</v>
      </c>
      <c r="C966" s="15" t="str" cm="1">
        <f t="array" ref="C966">IFERROR(_xlfn.XLOOKUP(B966, tblPeople[PersonID], tblPeople[PersonName], ""), "")</f>
        <v>Reuben Otieno</v>
      </c>
      <c r="D966" s="15" t="s">
        <v>198</v>
      </c>
      <c r="E966" s="16" t="str">
        <f>IFERROR(_xlfn.XLOOKUP(D966, tblCourses[CourseID], tblCourses[CourseName], ""), "")</f>
        <v>Maintenance Procedures &amp; Standard Maintenance Practices (Refresher)</v>
      </c>
      <c r="F966" s="17">
        <v>46073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6" s="15">
        <f ca="1">IF(OR(tblTraining[[#This Row],[Status]]="Renewed",tblTraining[[#This Row],[NextDueDate]]=""),"",tblTraining[[#This Row],[NextDueDate]]-TODAY())</f>
        <v>517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93</v>
      </c>
      <c r="C967" s="15" t="str" cm="1">
        <f t="array" ref="C967">IFERROR(_xlfn.XLOOKUP(B967, tblPeople[PersonID], tblPeople[PersonName], ""), "")</f>
        <v>Stephen Tunje</v>
      </c>
      <c r="D967" s="15" t="s">
        <v>198</v>
      </c>
      <c r="E967" s="16" t="str">
        <f>IFERROR(_xlfn.XLOOKUP(D967, tblCourses[CourseID], tblCourses[CourseName], ""), "")</f>
        <v>Maintenance Procedures &amp; Standard Maintenance Practices (Refresher)</v>
      </c>
      <c r="F967" s="17">
        <v>46073</v>
      </c>
      <c r="G967" s="17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7" s="15">
        <f ca="1">IF(OR(tblTraining[[#This Row],[Status]]="Renewed",tblTraining[[#This Row],[NextDueDate]]=""),"",tblTraining[[#This Row],[NextDueDate]]-TODAY())</f>
        <v>517</v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162</v>
      </c>
      <c r="C968" s="15" t="str" cm="1">
        <f t="array" ref="C968">IFERROR(_xlfn.XLOOKUP(B968, tblPeople[PersonID], tblPeople[PersonName], ""), "")</f>
        <v>Hannah Wambui</v>
      </c>
      <c r="D968" s="15" t="s">
        <v>198</v>
      </c>
      <c r="E968" s="16" t="str">
        <f>IFERROR(_xlfn.XLOOKUP(D968, tblCourses[CourseID], tblCourses[CourseName], ""), "")</f>
        <v>Maintenance Procedures &amp; Standard Maintenance Practices (Refresher)</v>
      </c>
      <c r="F968" s="17">
        <v>46073</v>
      </c>
      <c r="G968" s="17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68" s="15">
        <f ca="1">IF(OR(tblTraining[[#This Row],[Status]]="Renewed",tblTraining[[#This Row],[NextDueDate]]=""),"",tblTraining[[#This Row],[NextDueDate]]-TODAY())</f>
        <v>517</v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156</v>
      </c>
      <c r="C969" s="15" t="str" cm="1">
        <f t="array" ref="C969">IFERROR(_xlfn.XLOOKUP(B969, tblPeople[PersonID], tblPeople[PersonName], ""), "")</f>
        <v>Stephen Mutambu</v>
      </c>
      <c r="D969" s="15" t="s">
        <v>181</v>
      </c>
      <c r="E969" s="16" t="str">
        <f>IFERROR(_xlfn.XLOOKUP(D969, tblCourses[CourseID], tblCourses[CourseName], ""), "")</f>
        <v>Leadership &amp; Management</v>
      </c>
      <c r="F969" s="17">
        <v>46045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268</v>
      </c>
      <c r="C970" s="15" t="str" cm="1">
        <f t="array" ref="C970">IFERROR(_xlfn.XLOOKUP(B970, tblPeople[PersonID], tblPeople[PersonName], ""), "")</f>
        <v>Dorine Edna</v>
      </c>
      <c r="D970" s="15" t="s">
        <v>401</v>
      </c>
      <c r="E970" s="16" t="str">
        <f>IFERROR(_xlfn.XLOOKUP(D970, tblCourses[CourseID], tblCourses[CourseName], ""), "")</f>
        <v>Records Management</v>
      </c>
      <c r="F970" s="17">
        <v>45989</v>
      </c>
      <c r="G970" s="17" t="str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0" s="15" t="str">
        <f ca="1">IF(OR(tblTraining[[#This Row],[Status]]="Renewed",tblTraining[[#This Row],[NextDueDate]]=""),"",tblTraining[[#This Row],[NextDueDate]]-TODAY())</f>
        <v/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119</v>
      </c>
      <c r="C971" s="15" t="str" cm="1">
        <f t="array" ref="C971">IFERROR(_xlfn.XLOOKUP(B971, tblPeople[PersonID], tblPeople[PersonName], ""), "")</f>
        <v>Walter Edupu</v>
      </c>
      <c r="D971" s="15" t="s">
        <v>401</v>
      </c>
      <c r="E971" s="16" t="str">
        <f>IFERROR(_xlfn.XLOOKUP(D971, tblCourses[CourseID], tblCourses[CourseName], ""), "")</f>
        <v>Records Management</v>
      </c>
      <c r="F971" s="17">
        <v>45989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89</v>
      </c>
      <c r="C972" s="15" t="str" cm="1">
        <f t="array" ref="C972">IFERROR(_xlfn.XLOOKUP(B972, tblPeople[PersonID], tblPeople[PersonName], ""), "")</f>
        <v>Elina Guda</v>
      </c>
      <c r="D972" s="15" t="s">
        <v>401</v>
      </c>
      <c r="E972" s="16" t="str">
        <f>IFERROR(_xlfn.XLOOKUP(D972, tblCourses[CourseID], tblCourses[CourseName], ""), "")</f>
        <v>Records Management</v>
      </c>
      <c r="F972" s="17">
        <v>45989</v>
      </c>
      <c r="G972" s="17" t="str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2" s="15" t="str">
        <f ca="1">IF(OR(tblTraining[[#This Row],[Status]]="Renewed",tblTraining[[#This Row],[NextDueDate]]=""),"",tblTraining[[#This Row],[NextDueDate]]-TODAY())</f>
        <v/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402</v>
      </c>
      <c r="C973" s="15" t="str" cm="1">
        <f t="array" ref="C973">IFERROR(_xlfn.XLOOKUP(B973, tblPeople[PersonID], tblPeople[PersonName], ""), "")</f>
        <v>Venessa Ikileng'</v>
      </c>
      <c r="D973" s="15" t="s">
        <v>401</v>
      </c>
      <c r="E973" s="16" t="str">
        <f>IFERROR(_xlfn.XLOOKUP(D973, tblCourses[CourseID], tblCourses[CourseName], ""), "")</f>
        <v>Records Management</v>
      </c>
      <c r="F973" s="17">
        <v>45989</v>
      </c>
      <c r="G973" s="17" t="str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3" s="15" t="str">
        <f ca="1">IF(OR(tblTraining[[#This Row],[Status]]="Renewed",tblTraining[[#This Row],[NextDueDate]]=""),"",tblTraining[[#This Row],[NextDueDate]]-TODAY())</f>
        <v/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403</v>
      </c>
      <c r="C974" s="15" t="str" cm="1">
        <f t="array" ref="C974">IFERROR(_xlfn.XLOOKUP(B974, tblPeople[PersonID], tblPeople[PersonName], ""), "")</f>
        <v>Prudence Muhami</v>
      </c>
      <c r="D974" s="15" t="s">
        <v>401</v>
      </c>
      <c r="E974" s="16" t="str">
        <f>IFERROR(_xlfn.XLOOKUP(D974, tblCourses[CourseID], tblCourses[CourseName], ""), "")</f>
        <v>Records Management</v>
      </c>
      <c r="F974" s="17">
        <v>45989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5" spans="1:9" x14ac:dyDescent="0.25">
      <c r="A975" s="15">
        <f t="shared" si="15"/>
        <v>974</v>
      </c>
      <c r="B975" s="15" t="s">
        <v>156</v>
      </c>
      <c r="C975" s="15" t="str" cm="1">
        <f t="array" ref="C975">IFERROR(_xlfn.XLOOKUP(B975, tblPeople[PersonID], tblPeople[PersonName], ""), "")</f>
        <v>Stephen Mutambu</v>
      </c>
      <c r="D975" s="15" t="s">
        <v>401</v>
      </c>
      <c r="E975" s="16" t="str">
        <f>IFERROR(_xlfn.XLOOKUP(D975, tblCourses[CourseID], tblCourses[CourseName], ""), "")</f>
        <v>Records Management</v>
      </c>
      <c r="F975" s="17">
        <v>45989</v>
      </c>
      <c r="G975" s="17" t="str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5" s="15" t="str">
        <f ca="1">IF(OR(tblTraining[[#This Row],[Status]]="Renewed",tblTraining[[#This Row],[NextDueDate]]=""),"",tblTraining[[#This Row],[NextDueDate]]-TODAY())</f>
        <v/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153</v>
      </c>
      <c r="C976" s="15" t="str" cm="1">
        <f t="array" ref="C976">IFERROR(_xlfn.XLOOKUP(B976, tblPeople[PersonID], tblPeople[PersonName], ""), "")</f>
        <v>Judith Wandera</v>
      </c>
      <c r="D976" s="15" t="s">
        <v>401</v>
      </c>
      <c r="E976" s="16" t="str">
        <f>IFERROR(_xlfn.XLOOKUP(D976, tblCourses[CourseID], tblCourses[CourseName], ""), "")</f>
        <v>Records Management</v>
      </c>
      <c r="F976" s="17">
        <v>45989</v>
      </c>
      <c r="G976" s="17" t="str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6" s="15" t="str">
        <f ca="1">IF(OR(tblTraining[[#This Row],[Status]]="Renewed",tblTraining[[#This Row],[NextDueDate]]=""),"",tblTraining[[#This Row],[NextDueDate]]-TODAY())</f>
        <v/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406</v>
      </c>
      <c r="C977" s="15" t="str" cm="1">
        <f t="array" ref="C977">IFERROR(_xlfn.XLOOKUP(B977, tblPeople[PersonID], tblPeople[PersonName], ""), "")</f>
        <v>James Muisyo</v>
      </c>
      <c r="D977" s="15" t="s">
        <v>405</v>
      </c>
      <c r="E977" s="16" t="str">
        <f>IFERROR(_xlfn.XLOOKUP(D977, tblCourses[CourseID], tblCourses[CourseName], ""), "")</f>
        <v>Aviation Documentation Management and Control</v>
      </c>
      <c r="F977" s="17">
        <v>46080</v>
      </c>
      <c r="G977" s="17" t="str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7" s="15" t="str">
        <f ca="1">IF(OR(tblTraining[[#This Row],[Status]]="Renewed",tblTraining[[#This Row],[NextDueDate]]=""),"",tblTraining[[#This Row],[NextDueDate]]-TODAY())</f>
        <v/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>
        <f t="shared" si="15"/>
        <v>977</v>
      </c>
      <c r="B978" s="15" t="s">
        <v>85</v>
      </c>
      <c r="C978" s="15" t="str" cm="1">
        <f t="array" ref="C978">IFERROR(_xlfn.XLOOKUP(B978, tblPeople[PersonID], tblPeople[PersonName], ""), "")</f>
        <v>Titus Shunza</v>
      </c>
      <c r="D978" s="15" t="s">
        <v>405</v>
      </c>
      <c r="E978" s="16" t="str">
        <f>IFERROR(_xlfn.XLOOKUP(D978, tblCourses[CourseID], tblCourses[CourseName], ""), "")</f>
        <v>Aviation Documentation Management and Control</v>
      </c>
      <c r="F978" s="17">
        <v>46080</v>
      </c>
      <c r="G978" s="17" t="str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8" s="15" t="str">
        <f ca="1">IF(OR(tblTraining[[#This Row],[Status]]="Renewed",tblTraining[[#This Row],[NextDueDate]]=""),"",tblTraining[[#This Row],[NextDueDate]]-TODAY())</f>
        <v/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103</v>
      </c>
      <c r="C979" s="15" t="str" cm="1">
        <f t="array" ref="C979">IFERROR(_xlfn.XLOOKUP(B979, tblPeople[PersonID], tblPeople[PersonName], ""), "")</f>
        <v>Smith Harun</v>
      </c>
      <c r="D979" s="15" t="s">
        <v>25</v>
      </c>
      <c r="E979" s="16" t="str">
        <f>IFERROR(_xlfn.XLOOKUP(D979, tblCourses[CourseID], tblCourses[CourseName], ""), "")</f>
        <v>Pratt &amp; Whitney Canada PT6A Engine With P&amp;WC PT6A
20/ 27/ 41/ 42/ 60A/ 67D/ 112/ 114A/ 140 (Refresher)</v>
      </c>
      <c r="F979" s="17">
        <v>46059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79" s="15">
        <f ca="1">IF(OR(tblTraining[[#This Row],[Status]]="Renewed",tblTraining[[#This Row],[NextDueDate]]=""),"",tblTraining[[#This Row],[NextDueDate]]-TODAY())</f>
        <v>503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149</v>
      </c>
      <c r="C980" s="15" t="str" cm="1">
        <f t="array" ref="C980">IFERROR(_xlfn.XLOOKUP(B980, tblPeople[PersonID], tblPeople[PersonName], ""), "")</f>
        <v>Kea Kazungu</v>
      </c>
      <c r="D980" s="15" t="s">
        <v>25</v>
      </c>
      <c r="E980" s="16" t="str">
        <f>IFERROR(_xlfn.XLOOKUP(D980, tblCourses[CourseID], tblCourses[CourseName], ""), "")</f>
        <v>Pratt &amp; Whitney Canada PT6A Engine With P&amp;WC PT6A
20/ 27/ 41/ 42/ 60A/ 67D/ 112/ 114A/ 140 (Refresher)</v>
      </c>
      <c r="F980" s="17">
        <v>46059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0" s="15">
        <f ca="1">IF(OR(tblTraining[[#This Row],[Status]]="Renewed",tblTraining[[#This Row],[NextDueDate]]=""),"",tblTraining[[#This Row],[NextDueDate]]-TODAY())</f>
        <v>503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102</v>
      </c>
      <c r="C981" s="15" t="str" cm="1">
        <f t="array" ref="C981">IFERROR(_xlfn.XLOOKUP(B981, tblPeople[PersonID], tblPeople[PersonName], ""), "")</f>
        <v>William Mlati</v>
      </c>
      <c r="D981" s="15" t="s">
        <v>25</v>
      </c>
      <c r="E981" s="16" t="str">
        <f>IFERROR(_xlfn.XLOOKUP(D981, tblCourses[CourseID], tblCourses[CourseName], ""), "")</f>
        <v>Pratt &amp; Whitney Canada PT6A Engine With P&amp;WC PT6A
20/ 27/ 41/ 42/ 60A/ 67D/ 112/ 114A/ 140 (Refresher)</v>
      </c>
      <c r="F981" s="17">
        <v>46059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1" s="15">
        <f ca="1">IF(OR(tblTraining[[#This Row],[Status]]="Renewed",tblTraining[[#This Row],[NextDueDate]]=""),"",tblTraining[[#This Row],[NextDueDate]]-TODAY())</f>
        <v>503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82</v>
      </c>
      <c r="C982" s="15" t="str" cm="1">
        <f t="array" ref="C982">IFERROR(_xlfn.XLOOKUP(B982, tblPeople[PersonID], tblPeople[PersonName], ""), "")</f>
        <v>Philip Mwania</v>
      </c>
      <c r="D982" s="15" t="s">
        <v>25</v>
      </c>
      <c r="E982" s="16" t="str">
        <f>IFERROR(_xlfn.XLOOKUP(D982, tblCourses[CourseID], tblCourses[CourseName], ""), "")</f>
        <v>Pratt &amp; Whitney Canada PT6A Engine With P&amp;WC PT6A
20/ 27/ 41/ 42/ 60A/ 67D/ 112/ 114A/ 140 (Refresher)</v>
      </c>
      <c r="F982" s="17">
        <v>46059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2" s="15">
        <f ca="1">IF(OR(tblTraining[[#This Row],[Status]]="Renewed",tblTraining[[#This Row],[NextDueDate]]=""),"",tblTraining[[#This Row],[NextDueDate]]-TODAY())</f>
        <v>503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85</v>
      </c>
      <c r="C983" s="15" t="str" cm="1">
        <f t="array" ref="C983">IFERROR(_xlfn.XLOOKUP(B983, tblPeople[PersonID], tblPeople[PersonName], ""), "")</f>
        <v>Titus Shunza</v>
      </c>
      <c r="D983" s="15" t="s">
        <v>25</v>
      </c>
      <c r="E983" s="16" t="str">
        <f>IFERROR(_xlfn.XLOOKUP(D983, tblCourses[CourseID], tblCourses[CourseName], ""), "")</f>
        <v>Pratt &amp; Whitney Canada PT6A Engine With P&amp;WC PT6A
20/ 27/ 41/ 42/ 60A/ 67D/ 112/ 114A/ 140 (Refresher)</v>
      </c>
      <c r="F983" s="17">
        <v>46059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83" s="15">
        <f ca="1">IF(OR(tblTraining[[#This Row],[Status]]="Renewed",tblTraining[[#This Row],[NextDueDate]]=""),"",tblTraining[[#This Row],[NextDueDate]]-TODAY())</f>
        <v>503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402</v>
      </c>
      <c r="C984" s="15" t="str" cm="1">
        <f t="array" ref="C984">IFERROR(_xlfn.XLOOKUP(B984, tblPeople[PersonID], tblPeople[PersonName], ""), "")</f>
        <v>Venessa Ikileng'</v>
      </c>
      <c r="D984" s="15" t="s">
        <v>400</v>
      </c>
      <c r="E984" s="16" t="str">
        <f>IFERROR(_xlfn.XLOOKUP(D984, tblCourses[CourseID], tblCourses[CourseName], ""), "")</f>
        <v>Maintenance Planning &amp; Production Control</v>
      </c>
      <c r="F984" s="17">
        <v>45996</v>
      </c>
      <c r="G984" s="17" t="str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4" s="15" t="str">
        <f ca="1">IF(OR(tblTraining[[#This Row],[Status]]="Renewed",tblTraining[[#This Row],[NextDueDate]]=""),"",tblTraining[[#This Row],[NextDueDate]]-TODAY())</f>
        <v/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153</v>
      </c>
      <c r="C985" s="15" t="str" cm="1">
        <f t="array" ref="C985">IFERROR(_xlfn.XLOOKUP(B985, tblPeople[PersonID], tblPeople[PersonName], ""), "")</f>
        <v>Judith Wandera</v>
      </c>
      <c r="D985" s="15" t="s">
        <v>400</v>
      </c>
      <c r="E985" s="16" t="str">
        <f>IFERROR(_xlfn.XLOOKUP(D985, tblCourses[CourseID], tblCourses[CourseName], ""), "")</f>
        <v>Maintenance Planning &amp; Production Control</v>
      </c>
      <c r="F985" s="17">
        <v>45996</v>
      </c>
      <c r="G985" s="17" t="str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5" s="15" t="str">
        <f ca="1">IF(OR(tblTraining[[#This Row],[Status]]="Renewed",tblTraining[[#This Row],[NextDueDate]]=""),"",tblTraining[[#This Row],[NextDueDate]]-TODAY())</f>
        <v/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6" spans="1:9" x14ac:dyDescent="0.25">
      <c r="A986" s="15">
        <f t="shared" si="15"/>
        <v>985</v>
      </c>
      <c r="B986" s="15" t="s">
        <v>268</v>
      </c>
      <c r="C986" s="15" t="str" cm="1">
        <f t="array" ref="C986">IFERROR(_xlfn.XLOOKUP(B986, tblPeople[PersonID], tblPeople[PersonName], ""), "")</f>
        <v>Dorine Edna</v>
      </c>
      <c r="D986" s="15" t="s">
        <v>400</v>
      </c>
      <c r="E986" s="16" t="str">
        <f>IFERROR(_xlfn.XLOOKUP(D986, tblCourses[CourseID], tblCourses[CourseName], ""), "")</f>
        <v>Maintenance Planning &amp; Production Control</v>
      </c>
      <c r="F986" s="17">
        <v>45996</v>
      </c>
      <c r="G986" s="17" t="str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6" s="15" t="str">
        <f ca="1">IF(OR(tblTraining[[#This Row],[Status]]="Renewed",tblTraining[[#This Row],[NextDueDate]]=""),"",tblTraining[[#This Row],[NextDueDate]]-TODAY())</f>
        <v/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119</v>
      </c>
      <c r="C987" s="15" t="str" cm="1">
        <f t="array" ref="C987">IFERROR(_xlfn.XLOOKUP(B987, tblPeople[PersonID], tblPeople[PersonName], ""), "")</f>
        <v>Walter Edupu</v>
      </c>
      <c r="D987" s="15" t="s">
        <v>400</v>
      </c>
      <c r="E987" s="16" t="str">
        <f>IFERROR(_xlfn.XLOOKUP(D987, tblCourses[CourseID], tblCourses[CourseName], ""), "")</f>
        <v>Maintenance Planning &amp; Production Control</v>
      </c>
      <c r="F987" s="17">
        <v>45996</v>
      </c>
      <c r="G987" s="17" t="str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7" s="15" t="str">
        <f ca="1">IF(OR(tblTraining[[#This Row],[Status]]="Renewed",tblTraining[[#This Row],[NextDueDate]]=""),"",tblTraining[[#This Row],[NextDueDate]]-TODAY())</f>
        <v/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89</v>
      </c>
      <c r="C988" s="15" t="str" cm="1">
        <f t="array" ref="C988">IFERROR(_xlfn.XLOOKUP(B988, tblPeople[PersonID], tblPeople[PersonName], ""), "")</f>
        <v>Elina Guda</v>
      </c>
      <c r="D988" s="15" t="s">
        <v>400</v>
      </c>
      <c r="E988" s="16" t="str">
        <f>IFERROR(_xlfn.XLOOKUP(D988, tblCourses[CourseID], tblCourses[CourseName], ""), "")</f>
        <v>Maintenance Planning &amp; Production Control</v>
      </c>
      <c r="F988" s="17">
        <v>45996</v>
      </c>
      <c r="G988" s="17" t="str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8" s="15" t="str">
        <f ca="1">IF(OR(tblTraining[[#This Row],[Status]]="Renewed",tblTraining[[#This Row],[NextDueDate]]=""),"",tblTraining[[#This Row],[NextDueDate]]-TODAY())</f>
        <v/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>
        <f t="shared" si="15"/>
        <v>988</v>
      </c>
      <c r="B989" s="15" t="s">
        <v>403</v>
      </c>
      <c r="C989" s="15" t="str" cm="1">
        <f t="array" ref="C989">IFERROR(_xlfn.XLOOKUP(B989, tblPeople[PersonID], tblPeople[PersonName], ""), "")</f>
        <v>Prudence Muhami</v>
      </c>
      <c r="D989" s="15" t="s">
        <v>400</v>
      </c>
      <c r="E989" s="16" t="str">
        <f>IFERROR(_xlfn.XLOOKUP(D989, tblCourses[CourseID], tblCourses[CourseName], ""), "")</f>
        <v>Maintenance Planning &amp; Production Control</v>
      </c>
      <c r="F989" s="17">
        <v>45996</v>
      </c>
      <c r="G989" s="17" t="str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9" s="15" t="str">
        <f ca="1">IF(OR(tblTraining[[#This Row],[Status]]="Renewed",tblTraining[[#This Row],[NextDueDate]]=""),"",tblTraining[[#This Row],[NextDueDate]]-TODAY())</f>
        <v/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117</v>
      </c>
      <c r="C990" s="15" t="str" cm="1">
        <f t="array" ref="C990">IFERROR(_xlfn.XLOOKUP(B990, tblPeople[PersonID], tblPeople[PersonName], ""), "")</f>
        <v>Mercy Etende</v>
      </c>
      <c r="D990" s="15" t="s">
        <v>198</v>
      </c>
      <c r="E990" s="16" t="str">
        <f>IFERROR(_xlfn.XLOOKUP(D990, tblCourses[CourseID], tblCourses[CourseName], ""), "")</f>
        <v>Maintenance Procedures &amp; Standard Maintenance Practices (Refresher)</v>
      </c>
      <c r="F990" s="17">
        <v>46079</v>
      </c>
      <c r="G990" s="17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0" s="15">
        <f ca="1">IF(OR(tblTraining[[#This Row],[Status]]="Renewed",tblTraining[[#This Row],[NextDueDate]]=""),"",tblTraining[[#This Row],[NextDueDate]]-TODAY())</f>
        <v>523</v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103</v>
      </c>
      <c r="C991" s="15" t="str" cm="1">
        <f t="array" ref="C991">IFERROR(_xlfn.XLOOKUP(B991, tblPeople[PersonID], tblPeople[PersonName], ""), "")</f>
        <v>Smith Harun</v>
      </c>
      <c r="D991" s="15" t="s">
        <v>198</v>
      </c>
      <c r="E991" s="16" t="str">
        <f>IFERROR(_xlfn.XLOOKUP(D991, tblCourses[CourseID], tblCourses[CourseName], ""), "")</f>
        <v>Maintenance Procedures &amp; Standard Maintenance Practices (Refresher)</v>
      </c>
      <c r="F991" s="17">
        <v>46079</v>
      </c>
      <c r="G991" s="17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1" s="15">
        <f ca="1">IF(OR(tblTraining[[#This Row],[Status]]="Renewed",tblTraining[[#This Row],[NextDueDate]]=""),"",tblTraining[[#This Row],[NextDueDate]]-TODAY())</f>
        <v>523</v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83</v>
      </c>
      <c r="C992" s="15" t="str" cm="1">
        <f t="array" ref="C992">IFERROR(_xlfn.XLOOKUP(B992, tblPeople[PersonID], tblPeople[PersonName], ""), "")</f>
        <v>Wycliffe Kanana</v>
      </c>
      <c r="D992" s="15" t="s">
        <v>198</v>
      </c>
      <c r="E992" s="16" t="str">
        <f>IFERROR(_xlfn.XLOOKUP(D992, tblCourses[CourseID], tblCourses[CourseName], ""), "")</f>
        <v>Maintenance Procedures &amp; Standard Maintenance Practices (Refresher)</v>
      </c>
      <c r="F992" s="17">
        <v>46079</v>
      </c>
      <c r="G992" s="17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2" s="15">
        <f ca="1">IF(OR(tblTraining[[#This Row],[Status]]="Renewed",tblTraining[[#This Row],[NextDueDate]]=""),"",tblTraining[[#This Row],[NextDueDate]]-TODAY())</f>
        <v>523</v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99</v>
      </c>
      <c r="C993" s="15" t="str" cm="1">
        <f t="array" ref="C993">IFERROR(_xlfn.XLOOKUP(B993, tblPeople[PersonID], tblPeople[PersonName], ""), "")</f>
        <v>Bernard Kibiwott</v>
      </c>
      <c r="D993" s="15" t="s">
        <v>198</v>
      </c>
      <c r="E993" s="16" t="str">
        <f>IFERROR(_xlfn.XLOOKUP(D993, tblCourses[CourseID], tblCourses[CourseName], ""), "")</f>
        <v>Maintenance Procedures &amp; Standard Maintenance Practices (Refresher)</v>
      </c>
      <c r="F993" s="17">
        <v>46079</v>
      </c>
      <c r="G993" s="17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3" s="15">
        <f ca="1">IF(OR(tblTraining[[#This Row],[Status]]="Renewed",tblTraining[[#This Row],[NextDueDate]]=""),"",tblTraining[[#This Row],[NextDueDate]]-TODAY())</f>
        <v>523</v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91</v>
      </c>
      <c r="C994" s="15" t="str" cm="1">
        <f t="array" ref="C994">IFERROR(_xlfn.XLOOKUP(B994, tblPeople[PersonID], tblPeople[PersonName], ""), "")</f>
        <v>Dunstan Kwalanda</v>
      </c>
      <c r="D994" s="15" t="s">
        <v>198</v>
      </c>
      <c r="E994" s="16" t="str">
        <f>IFERROR(_xlfn.XLOOKUP(D994, tblCourses[CourseID], tblCourses[CourseName], ""), "")</f>
        <v>Maintenance Procedures &amp; Standard Maintenance Practices (Refresher)</v>
      </c>
      <c r="F994" s="17">
        <v>46079</v>
      </c>
      <c r="G994" s="17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4" s="15">
        <f ca="1">IF(OR(tblTraining[[#This Row],[Status]]="Renewed",tblTraining[[#This Row],[NextDueDate]]=""),"",tblTraining[[#This Row],[NextDueDate]]-TODAY())</f>
        <v>523</v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155</v>
      </c>
      <c r="C995" s="15" t="str" cm="1">
        <f t="array" ref="C995">IFERROR(_xlfn.XLOOKUP(B995, tblPeople[PersonID], tblPeople[PersonName], ""), "")</f>
        <v>Urbanus Muema</v>
      </c>
      <c r="D995" s="15" t="s">
        <v>198</v>
      </c>
      <c r="E995" s="16" t="str">
        <f>IFERROR(_xlfn.XLOOKUP(D995, tblCourses[CourseID], tblCourses[CourseName], ""), "")</f>
        <v>Maintenance Procedures &amp; Standard Maintenance Practices (Refresher)</v>
      </c>
      <c r="F995" s="17">
        <v>46079</v>
      </c>
      <c r="G995" s="17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5" s="15">
        <f ca="1">IF(OR(tblTraining[[#This Row],[Status]]="Renewed",tblTraining[[#This Row],[NextDueDate]]=""),"",tblTraining[[#This Row],[NextDueDate]]-TODAY())</f>
        <v>523</v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84</v>
      </c>
      <c r="C996" s="15" t="str" cm="1">
        <f t="array" ref="C996">IFERROR(_xlfn.XLOOKUP(B996, tblPeople[PersonID], tblPeople[PersonName], ""), "")</f>
        <v>Patrick Musau</v>
      </c>
      <c r="D996" s="15" t="s">
        <v>198</v>
      </c>
      <c r="E996" s="16" t="str">
        <f>IFERROR(_xlfn.XLOOKUP(D996, tblCourses[CourseID], tblCourses[CourseName], ""), "")</f>
        <v>Maintenance Procedures &amp; Standard Maintenance Practices (Refresher)</v>
      </c>
      <c r="F996" s="17">
        <v>46079</v>
      </c>
      <c r="G996" s="17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6" s="15">
        <f ca="1">IF(OR(tblTraining[[#This Row],[Status]]="Renewed",tblTraining[[#This Row],[NextDueDate]]=""),"",tblTraining[[#This Row],[NextDueDate]]-TODAY())</f>
        <v>523</v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82</v>
      </c>
      <c r="C997" s="15" t="str" cm="1">
        <f t="array" ref="C997">IFERROR(_xlfn.XLOOKUP(B997, tblPeople[PersonID], tblPeople[PersonName], ""), "")</f>
        <v>Philip Mwania</v>
      </c>
      <c r="D997" s="15" t="s">
        <v>198</v>
      </c>
      <c r="E997" s="16" t="str">
        <f>IFERROR(_xlfn.XLOOKUP(D997, tblCourses[CourseID], tblCourses[CourseName], ""), "")</f>
        <v>Maintenance Procedures &amp; Standard Maintenance Practices (Refresher)</v>
      </c>
      <c r="F997" s="17">
        <v>46079</v>
      </c>
      <c r="G997" s="17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7" s="15">
        <f ca="1">IF(OR(tblTraining[[#This Row],[Status]]="Renewed",tblTraining[[#This Row],[NextDueDate]]=""),"",tblTraining[[#This Row],[NextDueDate]]-TODAY())</f>
        <v>523</v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112</v>
      </c>
      <c r="C998" s="15" t="str" cm="1">
        <f t="array" ref="C998">IFERROR(_xlfn.XLOOKUP(B998, tblPeople[PersonID], tblPeople[PersonName], ""), "")</f>
        <v>Patrick Mwangi</v>
      </c>
      <c r="D998" s="15" t="s">
        <v>198</v>
      </c>
      <c r="E998" s="16" t="str">
        <f>IFERROR(_xlfn.XLOOKUP(D998, tblCourses[CourseID], tblCourses[CourseName], ""), "")</f>
        <v>Maintenance Procedures &amp; Standard Maintenance Practices (Refresher)</v>
      </c>
      <c r="F998" s="17">
        <v>46079</v>
      </c>
      <c r="G998" s="17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8" s="15">
        <f ca="1">IF(OR(tblTraining[[#This Row],[Status]]="Renewed",tblTraining[[#This Row],[NextDueDate]]=""),"",tblTraining[[#This Row],[NextDueDate]]-TODAY())</f>
        <v>523</v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107</v>
      </c>
      <c r="C999" s="15" t="str" cm="1">
        <f t="array" ref="C999">IFERROR(_xlfn.XLOOKUP(B999, tblPeople[PersonID], tblPeople[PersonName], ""), "")</f>
        <v>Julius Nyawira</v>
      </c>
      <c r="D999" s="15" t="s">
        <v>198</v>
      </c>
      <c r="E999" s="16" t="str">
        <f>IFERROR(_xlfn.XLOOKUP(D999, tblCourses[CourseID], tblCourses[CourseName], ""), "")</f>
        <v>Maintenance Procedures &amp; Standard Maintenance Practices (Refresher)</v>
      </c>
      <c r="F999" s="17">
        <v>46079</v>
      </c>
      <c r="G999" s="17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999" s="15">
        <f ca="1">IF(OR(tblTraining[[#This Row],[Status]]="Renewed",tblTraining[[#This Row],[NextDueDate]]=""),"",tblTraining[[#This Row],[NextDueDate]]-TODAY())</f>
        <v>523</v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153</v>
      </c>
      <c r="C1000" s="15" t="str" cm="1">
        <f t="array" ref="C1000">IFERROR(_xlfn.XLOOKUP(B1000, tblPeople[PersonID], tblPeople[PersonName], ""), "")</f>
        <v>Judith Wandera</v>
      </c>
      <c r="D1000" s="15" t="s">
        <v>198</v>
      </c>
      <c r="E1000" s="16" t="str">
        <f>IFERROR(_xlfn.XLOOKUP(D1000, tblCourses[CourseID], tblCourses[CourseName], ""), "")</f>
        <v>Maintenance Procedures &amp; Standard Maintenance Practices (Refresher)</v>
      </c>
      <c r="F1000" s="17">
        <v>46079</v>
      </c>
      <c r="G1000" s="17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00" s="15">
        <f ca="1">IF(OR(tblTraining[[#This Row],[Status]]="Renewed",tblTraining[[#This Row],[NextDueDate]]=""),"",tblTraining[[#This Row],[NextDueDate]]-TODAY())</f>
        <v>523</v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81</v>
      </c>
      <c r="C1001" s="15" t="str" cm="1">
        <f t="array" ref="C1001">IFERROR(_xlfn.XLOOKUP(B1001, tblPeople[PersonID], tblPeople[PersonName], ""), "")</f>
        <v>Gideon Mwasio</v>
      </c>
      <c r="D1001" s="15" t="s">
        <v>198</v>
      </c>
      <c r="E1001" s="16" t="str">
        <f>IFERROR(_xlfn.XLOOKUP(D1001, tblCourses[CourseID], tblCourses[CourseName], ""), "")</f>
        <v>Maintenance Procedures &amp; Standard Maintenance Practices (Refresher)</v>
      </c>
      <c r="F1001" s="17">
        <v>46073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01" s="15">
        <f ca="1">IF(OR(tblTraining[[#This Row],[Status]]="Renewed",tblTraining[[#This Row],[NextDueDate]]=""),"",tblTraining[[#This Row],[NextDueDate]]-TODAY())</f>
        <v>517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>
        <f t="shared" si="15"/>
        <v>1001</v>
      </c>
      <c r="B1002" s="15" t="s">
        <v>106</v>
      </c>
      <c r="C1002" s="15" t="str" cm="1">
        <f t="array" ref="C1002">IFERROR(_xlfn.XLOOKUP(B1002, tblPeople[PersonID], tblPeople[PersonName], ""), "")</f>
        <v>James Mugo</v>
      </c>
      <c r="D1002" s="15" t="s">
        <v>22</v>
      </c>
      <c r="E1002" s="16" t="str">
        <f>IFERROR(_xlfn.XLOOKUP(D1002, tblCourses[CourseID], tblCourses[CourseName], ""), "")</f>
        <v>Human Factors in Aviation (Refresher)</v>
      </c>
      <c r="F1002" s="17">
        <v>46075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02" s="15">
        <f ca="1">IF(OR(tblTraining[[#This Row],[Status]]="Renewed",tblTraining[[#This Row],[NextDueDate]]=""),"",tblTraining[[#This Row],[NextDueDate]]-TODAY())</f>
        <v>519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>
        <f t="shared" si="15"/>
        <v>1002</v>
      </c>
      <c r="B1003" s="15" t="s">
        <v>354</v>
      </c>
      <c r="C1003" s="15" t="str" cm="1">
        <f t="array" ref="C1003">IFERROR(_xlfn.XLOOKUP(B1003, tblPeople[PersonID], tblPeople[PersonName], ""), "")</f>
        <v>Jackline Muembu</v>
      </c>
      <c r="D1003" s="15" t="s">
        <v>421</v>
      </c>
      <c r="E1003" s="16" t="str">
        <f>IFERROR(_xlfn.XLOOKUP(D1003, tblCourses[CourseID], tblCourses[CourseName], ""), "")</f>
        <v>EASA Awareness Initial</v>
      </c>
      <c r="F1003" s="17">
        <v>45719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03" s="15">
        <f ca="1">IF(OR(tblTraining[[#This Row],[Status]]="Renewed",tblTraining[[#This Row],[NextDueDate]]=""),"",tblTraining[[#This Row],[NextDueDate]]-TODAY())</f>
        <v>163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>
        <f t="shared" si="15"/>
        <v>1003</v>
      </c>
      <c r="B1004" s="15" t="s">
        <v>354</v>
      </c>
      <c r="C1004" s="15" t="str" cm="1">
        <f t="array" ref="C1004">IFERROR(_xlfn.XLOOKUP(B1004, tblPeople[PersonID], tblPeople[PersonName], ""), "")</f>
        <v>Jackline Muembu</v>
      </c>
      <c r="D1004" s="15" t="s">
        <v>419</v>
      </c>
      <c r="E1004" s="16" t="str">
        <f>IFERROR(_xlfn.XLOOKUP(D1004, tblCourses[CourseID], tblCourses[CourseName], ""), "")</f>
        <v>Electrostatic Discharge Sensitive (ESDs)</v>
      </c>
      <c r="F1004" s="17">
        <v>45720</v>
      </c>
      <c r="G1004" s="17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04" s="15">
        <f ca="1">IF(OR(tblTraining[[#This Row],[Status]]="Renewed",tblTraining[[#This Row],[NextDueDate]]=""),"",tblTraining[[#This Row],[NextDueDate]]-TODAY())</f>
        <v>164</v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>
        <f t="shared" si="15"/>
        <v>1004</v>
      </c>
      <c r="B1005" s="15" t="s">
        <v>354</v>
      </c>
      <c r="C1005" s="15" t="str" cm="1">
        <f t="array" ref="C1005">IFERROR(_xlfn.XLOOKUP(B1005, tblPeople[PersonID], tblPeople[PersonName], ""), "")</f>
        <v>Jackline Muembu</v>
      </c>
      <c r="D1005" s="15" t="s">
        <v>418</v>
      </c>
      <c r="E1005" s="16" t="str">
        <f>IFERROR(_xlfn.XLOOKUP(D1005, tblCourses[CourseID], tblCourses[CourseName], ""), "")</f>
        <v>Incoming Goods Inspection Procedures</v>
      </c>
      <c r="F1005" s="17">
        <v>45754</v>
      </c>
      <c r="G1005" s="17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05" s="15">
        <f ca="1">IF(OR(tblTraining[[#This Row],[Status]]="Renewed",tblTraining[[#This Row],[NextDueDate]]=""),"",tblTraining[[#This Row],[NextDueDate]]-TODAY())</f>
        <v>198</v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x14ac:dyDescent="0.25">
      <c r="A1006" s="15">
        <f t="shared" si="15"/>
        <v>1005</v>
      </c>
      <c r="B1006" s="15" t="s">
        <v>95</v>
      </c>
      <c r="C1006" s="15" t="str" cm="1">
        <f t="array" ref="C1006">IFERROR(_xlfn.XLOOKUP(B1006, tblPeople[PersonID], tblPeople[PersonName], ""), "")</f>
        <v>Walter Kibet</v>
      </c>
      <c r="D1006" s="15" t="s">
        <v>24</v>
      </c>
      <c r="E1006" s="16" t="str">
        <f>IFERROR(_xlfn.XLOOKUP(D1006, tblCourses[CourseID], tblCourses[CourseName], ""), "")</f>
        <v>Human Factors in Aviation (Initial)</v>
      </c>
      <c r="F1006" s="17">
        <v>45389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95</v>
      </c>
      <c r="C1007" s="15" t="str" cm="1">
        <f t="array" ref="C1007">IFERROR(_xlfn.XLOOKUP(B1007, tblPeople[PersonID], tblPeople[PersonName], ""), "")</f>
        <v>Walter Kibet</v>
      </c>
      <c r="D1007" s="15" t="s">
        <v>22</v>
      </c>
      <c r="E1007" s="16" t="str">
        <f>IFERROR(_xlfn.XLOOKUP(D1007, tblCourses[CourseID], tblCourses[CourseName], ""), "")</f>
        <v>Human Factors in Aviation (Refresher)</v>
      </c>
      <c r="F1007" s="17">
        <v>45389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08" spans="1:9" x14ac:dyDescent="0.25">
      <c r="A1008" s="15">
        <f t="shared" si="15"/>
        <v>1007</v>
      </c>
      <c r="B1008" s="15" t="s">
        <v>81</v>
      </c>
      <c r="C1008" s="15" t="str" cm="1">
        <f t="array" ref="C1008">IFERROR(_xlfn.XLOOKUP(B1008, tblPeople[PersonID], tblPeople[PersonName], ""), "")</f>
        <v>Gideon Mwasio</v>
      </c>
      <c r="D1008" s="15" t="s">
        <v>22</v>
      </c>
      <c r="E1008" s="16" t="str">
        <f>IFERROR(_xlfn.XLOOKUP(D1008, tblCourses[CourseID], tblCourses[CourseName], ""), "")</f>
        <v>Human Factors in Aviation (Refresher)</v>
      </c>
      <c r="F1008" s="17">
        <v>46062</v>
      </c>
      <c r="G1008" s="17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08" s="15">
        <f ca="1">IF(OR(tblTraining[[#This Row],[Status]]="Renewed",tblTraining[[#This Row],[NextDueDate]]=""),"",tblTraining[[#This Row],[NextDueDate]]-TODAY())</f>
        <v>506</v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119</v>
      </c>
      <c r="C1009" s="15" t="str" cm="1">
        <f t="array" ref="C1009">IFERROR(_xlfn.XLOOKUP(B1009, tblPeople[PersonID], tblPeople[PersonName], ""), "")</f>
        <v>Walter Edupu</v>
      </c>
      <c r="D1009" s="15" t="s">
        <v>198</v>
      </c>
      <c r="E1009" s="16" t="str">
        <f>IFERROR(_xlfn.XLOOKUP(D1009, tblCourses[CourseID], tblCourses[CourseName], ""), "")</f>
        <v>Maintenance Procedures &amp; Standard Maintenance Practices (Refresher)</v>
      </c>
      <c r="F1009" s="17">
        <v>46008</v>
      </c>
      <c r="G1009" s="17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09" s="15">
        <f ca="1">IF(OR(tblTraining[[#This Row],[Status]]="Renewed",tblTraining[[#This Row],[NextDueDate]]=""),"",tblTraining[[#This Row],[NextDueDate]]-TODAY())</f>
        <v>452</v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149</v>
      </c>
      <c r="C1010" s="15" t="str" cm="1">
        <f t="array" ref="C1010">IFERROR(_xlfn.XLOOKUP(B1010, tblPeople[PersonID], tblPeople[PersonName], ""), "")</f>
        <v>Kea Kazungu</v>
      </c>
      <c r="D1010" s="15" t="s">
        <v>198</v>
      </c>
      <c r="E1010" s="16" t="str">
        <f>IFERROR(_xlfn.XLOOKUP(D1010, tblCourses[CourseID], tblCourses[CourseName], ""), "")</f>
        <v>Maintenance Procedures &amp; Standard Maintenance Practices (Refresher)</v>
      </c>
      <c r="F1010" s="17">
        <v>46053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10" s="15">
        <f ca="1">IF(OR(tblTraining[[#This Row],[Status]]="Renewed",tblTraining[[#This Row],[NextDueDate]]=""),"",tblTraining[[#This Row],[NextDueDate]]-TODAY())</f>
        <v>497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162</v>
      </c>
      <c r="C1011" s="15" t="str" cm="1">
        <f t="array" ref="C1011">IFERROR(_xlfn.XLOOKUP(B1011, tblPeople[PersonID], tblPeople[PersonName], ""), "")</f>
        <v>Hannah Wambui</v>
      </c>
      <c r="D1011" s="15" t="s">
        <v>22</v>
      </c>
      <c r="E1011" s="16" t="str">
        <f>IFERROR(_xlfn.XLOOKUP(D1011, tblCourses[CourseID], tblCourses[CourseName], ""), "")</f>
        <v>Human Factors in Aviation (Refresher)</v>
      </c>
      <c r="F1011" s="17">
        <v>45808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11" s="15">
        <f ca="1">IF(OR(tblTraining[[#This Row],[Status]]="Renewed",tblTraining[[#This Row],[NextDueDate]]=""),"",tblTraining[[#This Row],[NextDueDate]]-TODAY())</f>
        <v>252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117</v>
      </c>
      <c r="C1012" s="15" t="str" cm="1">
        <f t="array" ref="C1012">IFERROR(_xlfn.XLOOKUP(B1012, tblPeople[PersonID], tblPeople[PersonName], ""), "")</f>
        <v>Mercy Etende</v>
      </c>
      <c r="D1012" s="15" t="s">
        <v>419</v>
      </c>
      <c r="E1012" s="16" t="str">
        <f>IFERROR(_xlfn.XLOOKUP(D1012, tblCourses[CourseID], tblCourses[CourseName], ""), "")</f>
        <v>Electrostatic Discharge Sensitive (ESDs)</v>
      </c>
      <c r="F1012" s="17">
        <v>46083</v>
      </c>
      <c r="G1012" s="17" t="str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2" s="15" t="str">
        <f ca="1">IF(OR(tblTraining[[#This Row],[Status]]="Renewed",tblTraining[[#This Row],[NextDueDate]]=""),"",tblTraining[[#This Row],[NextDueDate]]-TODAY())</f>
        <v/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3" spans="1:9" x14ac:dyDescent="0.25">
      <c r="A1013" s="15">
        <f t="shared" si="15"/>
        <v>1012</v>
      </c>
      <c r="B1013" s="15" t="s">
        <v>95</v>
      </c>
      <c r="C1013" s="15" t="str" cm="1">
        <f t="array" ref="C1013">IFERROR(_xlfn.XLOOKUP(B1013, tblPeople[PersonID], tblPeople[PersonName], ""), "")</f>
        <v>Walter Kibet</v>
      </c>
      <c r="D1013" s="15" t="s">
        <v>419</v>
      </c>
      <c r="E1013" s="16" t="str">
        <f>IFERROR(_xlfn.XLOOKUP(D1013, tblCourses[CourseID], tblCourses[CourseName], ""), "")</f>
        <v>Electrostatic Discharge Sensitive (ESDs)</v>
      </c>
      <c r="F1013" s="17">
        <v>46083</v>
      </c>
      <c r="G1013" s="17" t="str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3" s="15" t="str">
        <f ca="1">IF(OR(tblTraining[[#This Row],[Status]]="Renewed",tblTraining[[#This Row],[NextDueDate]]=""),"",tblTraining[[#This Row],[NextDueDate]]-TODAY())</f>
        <v/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4" spans="1:9" x14ac:dyDescent="0.25">
      <c r="A1014" s="15">
        <f t="shared" si="15"/>
        <v>1013</v>
      </c>
      <c r="B1014" s="15" t="s">
        <v>117</v>
      </c>
      <c r="C1014" s="15" t="str" cm="1">
        <f t="array" ref="C1014">IFERROR(_xlfn.XLOOKUP(B1014, tblPeople[PersonID], tblPeople[PersonName], ""), "")</f>
        <v>Mercy Etende</v>
      </c>
      <c r="D1014" s="15" t="s">
        <v>421</v>
      </c>
      <c r="E1014" s="16" t="str">
        <f>IFERROR(_xlfn.XLOOKUP(D1014, tblCourses[CourseID], tblCourses[CourseName], ""), "")</f>
        <v>EASA Awareness Initial</v>
      </c>
      <c r="F1014" s="17">
        <v>46084</v>
      </c>
      <c r="G1014" s="17" t="str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4" s="15" t="str">
        <f ca="1">IF(OR(tblTraining[[#This Row],[Status]]="Renewed",tblTraining[[#This Row],[NextDueDate]]=""),"",tblTraining[[#This Row],[NextDueDate]]-TODAY())</f>
        <v/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5" spans="1:9" x14ac:dyDescent="0.25">
      <c r="A1015" s="15">
        <f t="shared" si="15"/>
        <v>1014</v>
      </c>
      <c r="B1015" s="15" t="s">
        <v>95</v>
      </c>
      <c r="C1015" s="15" t="str" cm="1">
        <f t="array" ref="C1015">IFERROR(_xlfn.XLOOKUP(B1015, tblPeople[PersonID], tblPeople[PersonName], ""), "")</f>
        <v>Walter Kibet</v>
      </c>
      <c r="D1015" s="15" t="s">
        <v>421</v>
      </c>
      <c r="E1015" s="16" t="str">
        <f>IFERROR(_xlfn.XLOOKUP(D1015, tblCourses[CourseID], tblCourses[CourseName], ""), "")</f>
        <v>EASA Awareness Initial</v>
      </c>
      <c r="F1015" s="17">
        <v>46084</v>
      </c>
      <c r="G1015" s="17" t="str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5" s="15" t="str">
        <f ca="1">IF(OR(tblTraining[[#This Row],[Status]]="Renewed",tblTraining[[#This Row],[NextDueDate]]=""),"",tblTraining[[#This Row],[NextDueDate]]-TODAY())</f>
        <v/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6" spans="1:9" x14ac:dyDescent="0.25">
      <c r="A1016" s="15">
        <f t="shared" si="15"/>
        <v>1015</v>
      </c>
      <c r="B1016" s="15" t="s">
        <v>117</v>
      </c>
      <c r="C1016" s="15" t="str" cm="1">
        <f t="array" ref="C1016">IFERROR(_xlfn.XLOOKUP(B1016, tblPeople[PersonID], tblPeople[PersonName], ""), "")</f>
        <v>Mercy Etende</v>
      </c>
      <c r="D1016" s="15" t="s">
        <v>418</v>
      </c>
      <c r="E1016" s="16" t="str">
        <f>IFERROR(_xlfn.XLOOKUP(D1016, tblCourses[CourseID], tblCourses[CourseName], ""), "")</f>
        <v>Incoming Goods Inspection Procedures</v>
      </c>
      <c r="F1016" s="17">
        <v>46087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6" s="15">
        <f ca="1">IF(OR(tblTraining[[#This Row],[Status]]="Renewed",tblTraining[[#This Row],[NextDueDate]]=""),"",tblTraining[[#This Row],[NextDueDate]]-TODAY())</f>
        <v>532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95</v>
      </c>
      <c r="C1017" s="15" t="str" cm="1">
        <f t="array" ref="C1017">IFERROR(_xlfn.XLOOKUP(B1017, tblPeople[PersonID], tblPeople[PersonName], ""), "")</f>
        <v>Walter Kibet</v>
      </c>
      <c r="D1017" s="15" t="s">
        <v>418</v>
      </c>
      <c r="E1017" s="16" t="str">
        <f>IFERROR(_xlfn.XLOOKUP(D1017, tblCourses[CourseID], tblCourses[CourseName], ""), "")</f>
        <v>Incoming Goods Inspection Procedures</v>
      </c>
      <c r="F1017" s="17">
        <v>46087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17" s="15">
        <f ca="1">IF(OR(tblTraining[[#This Row],[Status]]="Renewed",tblTraining[[#This Row],[NextDueDate]]=""),"",tblTraining[[#This Row],[NextDueDate]]-TODAY())</f>
        <v>532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101</v>
      </c>
      <c r="C1018" s="15" t="str" cm="1">
        <f t="array" ref="C1018">IFERROR(_xlfn.XLOOKUP(B1018, tblPeople[PersonID], tblPeople[PersonName], ""), "")</f>
        <v>Paul Mzera</v>
      </c>
      <c r="D1018" s="15" t="s">
        <v>75</v>
      </c>
      <c r="E1018" s="16" t="str">
        <f>IFERROR(_xlfn.XLOOKUP(D1018, tblCourses[CourseID], tblCourses[CourseName], ""), "")</f>
        <v>Fuel Tank Safety Phase 1 &amp; 2 Course (Refresher)</v>
      </c>
      <c r="F1018" s="17">
        <v>46089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18" s="15">
        <f ca="1">IF(OR(tblTraining[[#This Row],[Status]]="Renewed",tblTraining[[#This Row],[NextDueDate]]=""),"",tblTraining[[#This Row],[NextDueDate]]-TODAY())</f>
        <v>534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94</v>
      </c>
      <c r="C1019" s="15" t="str" cm="1">
        <f t="array" ref="C1019">IFERROR(_xlfn.XLOOKUP(B1019, tblPeople[PersonID], tblPeople[PersonName], ""), "")</f>
        <v>Moses Musyoka</v>
      </c>
      <c r="D1019" s="15" t="s">
        <v>75</v>
      </c>
      <c r="E1019" s="16" t="str">
        <f>IFERROR(_xlfn.XLOOKUP(D1019, tblCourses[CourseID], tblCourses[CourseName], ""), "")</f>
        <v>Fuel Tank Safety Phase 1 &amp; 2 Course (Refresher)</v>
      </c>
      <c r="F1019" s="17">
        <v>46098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19" s="15">
        <f ca="1">IF(OR(tblTraining[[#This Row],[Status]]="Renewed",tblTraining[[#This Row],[NextDueDate]]=""),"",tblTraining[[#This Row],[NextDueDate]]-TODAY())</f>
        <v>543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98</v>
      </c>
      <c r="C1020" s="15" t="str" cm="1">
        <f t="array" ref="C1020">IFERROR(_xlfn.XLOOKUP(B1020, tblPeople[PersonID], tblPeople[PersonName], ""), "")</f>
        <v>Thadeus Mong’are</v>
      </c>
      <c r="D1020" s="15" t="s">
        <v>75</v>
      </c>
      <c r="E1020" s="16" t="str">
        <f>IFERROR(_xlfn.XLOOKUP(D1020, tblCourses[CourseID], tblCourses[CourseName], ""), "")</f>
        <v>Fuel Tank Safety Phase 1 &amp; 2 Course (Refresher)</v>
      </c>
      <c r="F1020" s="17">
        <v>46110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20" s="15">
        <f ca="1">IF(OR(tblTraining[[#This Row],[Status]]="Renewed",tblTraining[[#This Row],[NextDueDate]]=""),"",tblTraining[[#This Row],[NextDueDate]]-TODAY())</f>
        <v>555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98</v>
      </c>
      <c r="C1021" s="15" t="str" cm="1">
        <f t="array" ref="C1021">IFERROR(_xlfn.XLOOKUP(B1021, tblPeople[PersonID], tblPeople[PersonName], ""), "")</f>
        <v>Thadeus Mong’are</v>
      </c>
      <c r="D1021" s="15" t="s">
        <v>22</v>
      </c>
      <c r="E1021" s="16" t="str">
        <f>IFERROR(_xlfn.XLOOKUP(D1021, tblCourses[CourseID], tblCourses[CourseName], ""), "")</f>
        <v>Human Factors in Aviation (Refresher)</v>
      </c>
      <c r="F1021" s="17">
        <v>46110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21" s="15">
        <f ca="1">IF(OR(tblTraining[[#This Row],[Status]]="Renewed",tblTraining[[#This Row],[NextDueDate]]=""),"",tblTraining[[#This Row],[NextDueDate]]-TODAY())</f>
        <v>555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406</v>
      </c>
      <c r="C1022" s="15" t="str" cm="1">
        <f t="array" ref="C1022">IFERROR(_xlfn.XLOOKUP(B1022, tblPeople[PersonID], tblPeople[PersonName], ""), "")</f>
        <v>James Muisyo</v>
      </c>
      <c r="D1022" s="15" t="s">
        <v>24</v>
      </c>
      <c r="E1022" s="16" t="str">
        <f>IFERROR(_xlfn.XLOOKUP(D1022, tblCourses[CourseID], tblCourses[CourseName], ""), "")</f>
        <v>Human Factors in Aviation (Initial)</v>
      </c>
      <c r="F1022" s="17">
        <v>46111</v>
      </c>
      <c r="G1022" s="17" t="str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2" s="15" t="str">
        <f ca="1">IF(OR(tblTraining[[#This Row],[Status]]="Renewed",tblTraining[[#This Row],[NextDueDate]]=""),"",tblTraining[[#This Row],[NextDueDate]]-TODAY())</f>
        <v/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406</v>
      </c>
      <c r="C1023" s="15" t="str" cm="1">
        <f t="array" ref="C1023">IFERROR(_xlfn.XLOOKUP(B1023, tblPeople[PersonID], tblPeople[PersonName], ""), "")</f>
        <v>James Muisyo</v>
      </c>
      <c r="D1023" s="15" t="s">
        <v>22</v>
      </c>
      <c r="E1023" s="16" t="str">
        <f>IFERROR(_xlfn.XLOOKUP(D1023, tblCourses[CourseID], tblCourses[CourseName], ""), "")</f>
        <v>Human Factors in Aviation (Refresher)</v>
      </c>
      <c r="F1023" s="17">
        <v>46111</v>
      </c>
      <c r="G1023" s="17" t="str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3" s="15" t="str">
        <f ca="1">IF(OR(tblTraining[[#This Row],[Status]]="Renewed",tblTraining[[#This Row],[NextDueDate]]=""),"",tblTraining[[#This Row],[NextDueDate]]-TODAY())</f>
        <v/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4" spans="1:9" x14ac:dyDescent="0.25">
      <c r="A1024" s="15">
        <f t="shared" si="15"/>
        <v>1023</v>
      </c>
      <c r="B1024" s="15" t="s">
        <v>156</v>
      </c>
      <c r="C1024" s="15" t="str" cm="1">
        <f t="array" ref="C1024">IFERROR(_xlfn.XLOOKUP(B1024, tblPeople[PersonID], tblPeople[PersonName], ""), "")</f>
        <v>Stephen Mutambu</v>
      </c>
      <c r="D1024" s="15" t="s">
        <v>75</v>
      </c>
      <c r="E1024" s="16" t="str">
        <f>IFERROR(_xlfn.XLOOKUP(D1024, tblCourses[CourseID], tblCourses[CourseName], ""), "")</f>
        <v>Fuel Tank Safety Phase 1 &amp; 2 Course (Refresher)</v>
      </c>
      <c r="F1024" s="17">
        <v>46116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24" s="15">
        <f ca="1">IF(OR(tblTraining[[#This Row],[Status]]="Renewed",tblTraining[[#This Row],[NextDueDate]]=""),"",tblTraining[[#This Row],[NextDueDate]]-TODAY())</f>
        <v>561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95</v>
      </c>
      <c r="C1025" s="15" t="str" cm="1">
        <f t="array" ref="C1025">IFERROR(_xlfn.XLOOKUP(B1025, tblPeople[PersonID], tblPeople[PersonName], ""), "")</f>
        <v>Walter Kibet</v>
      </c>
      <c r="D1025" s="15" t="s">
        <v>22</v>
      </c>
      <c r="E1025" s="16" t="str">
        <f>IFERROR(_xlfn.XLOOKUP(D1025, tblCourses[CourseID], tblCourses[CourseName], ""), "")</f>
        <v>Human Factors in Aviation (Refresher)</v>
      </c>
      <c r="F1025" s="17">
        <v>46115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25" s="15">
        <f ca="1">IF(OR(tblTraining[[#This Row],[Status]]="Renewed",tblTraining[[#This Row],[NextDueDate]]=""),"",tblTraining[[#This Row],[NextDueDate]]-TODAY())</f>
        <v>560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90</v>
      </c>
      <c r="C1026" s="15" t="str" cm="1">
        <f t="array" ref="C1026">IFERROR(_xlfn.XLOOKUP(B1026, tblPeople[PersonID], tblPeople[PersonName], ""), "")</f>
        <v>Kendra Nambisia</v>
      </c>
      <c r="D1026" s="15" t="s">
        <v>75</v>
      </c>
      <c r="E1026" s="16" t="str">
        <f>IFERROR(_xlfn.XLOOKUP(D1026, tblCourses[CourseID], tblCourses[CourseName], ""), "")</f>
        <v>Fuel Tank Safety Phase 1 &amp; 2 Course (Refresher)</v>
      </c>
      <c r="F1026" s="17">
        <v>46123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6" s="15">
        <f ca="1">IF(OR(tblTraining[[#This Row],[Status]]="Renewed",tblTraining[[#This Row],[NextDueDate]]=""),"",tblTraining[[#This Row],[NextDueDate]]-TODAY())</f>
        <v>568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82</v>
      </c>
      <c r="C1027" s="15" t="str" cm="1">
        <f t="array" ref="C1027">IFERROR(_xlfn.XLOOKUP(B1027, tblPeople[PersonID], tblPeople[PersonName], ""), "")</f>
        <v>Philip Mwania</v>
      </c>
      <c r="D1027" s="15" t="s">
        <v>75</v>
      </c>
      <c r="E1027" s="16" t="str">
        <f>IFERROR(_xlfn.XLOOKUP(D1027, tblCourses[CourseID], tblCourses[CourseName], ""), "")</f>
        <v>Fuel Tank Safety Phase 1 &amp; 2 Course (Refresher)</v>
      </c>
      <c r="F1027" s="17">
        <v>46123</v>
      </c>
      <c r="G1027" s="17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27" s="15">
        <f ca="1">IF(OR(tblTraining[[#This Row],[Status]]="Renewed",tblTraining[[#This Row],[NextDueDate]]=""),"",tblTraining[[#This Row],[NextDueDate]]-TODAY())</f>
        <v>568</v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268</v>
      </c>
      <c r="C1028" s="15" t="str" cm="1">
        <f t="array" ref="C1028">IFERROR(_xlfn.XLOOKUP(B1028, tblPeople[PersonID], tblPeople[PersonName], ""), "")</f>
        <v>Dorine Edna</v>
      </c>
      <c r="D1028" s="15" t="s">
        <v>24</v>
      </c>
      <c r="E1028" s="16" t="str">
        <f>IFERROR(_xlfn.XLOOKUP(D1028, tblCourses[CourseID], tblCourses[CourseName], ""), "")</f>
        <v>Human Factors in Aviation (Initial)</v>
      </c>
      <c r="F1028" s="17">
        <v>46124</v>
      </c>
      <c r="G1028" s="17" t="str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8" s="15" t="str">
        <f ca="1">IF(OR(tblTraining[[#This Row],[Status]]="Renewed",tblTraining[[#This Row],[NextDueDate]]=""),"",tblTraining[[#This Row],[NextDueDate]]-TODAY())</f>
        <v/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9" spans="1:9" x14ac:dyDescent="0.25">
      <c r="A1029" s="15">
        <f t="shared" si="16"/>
        <v>1028</v>
      </c>
      <c r="B1029" s="15" t="s">
        <v>268</v>
      </c>
      <c r="C1029" s="15" t="str" cm="1">
        <f t="array" ref="C1029">IFERROR(_xlfn.XLOOKUP(B1029, tblPeople[PersonID], tblPeople[PersonName], ""), "")</f>
        <v>Dorine Edna</v>
      </c>
      <c r="D1029" s="15" t="s">
        <v>22</v>
      </c>
      <c r="E1029" s="16" t="str">
        <f>IFERROR(_xlfn.XLOOKUP(D1029, tblCourses[CourseID], tblCourses[CourseName], ""), "")</f>
        <v>Human Factors in Aviation (Refresher)</v>
      </c>
      <c r="F1029" s="17">
        <v>46124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29" s="15">
        <f ca="1">IF(OR(tblTraining[[#This Row],[Status]]="Renewed",tblTraining[[#This Row],[NextDueDate]]=""),"",tblTraining[[#This Row],[NextDueDate]]-TODAY())</f>
        <v>569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402</v>
      </c>
      <c r="C1030" s="15" t="str" cm="1">
        <f t="array" ref="C1030">IFERROR(_xlfn.XLOOKUP(B1030, tblPeople[PersonID], tblPeople[PersonName], ""), "")</f>
        <v>Venessa Ikileng'</v>
      </c>
      <c r="D1030" s="15" t="s">
        <v>24</v>
      </c>
      <c r="E1030" s="16" t="str">
        <f>IFERROR(_xlfn.XLOOKUP(D1030, tblCourses[CourseID], tblCourses[CourseName], ""), "")</f>
        <v>Human Factors in Aviation (Initial)</v>
      </c>
      <c r="F1030" s="17">
        <v>46122</v>
      </c>
      <c r="G1030" s="17" t="str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0" s="15" t="str">
        <f ca="1">IF(OR(tblTraining[[#This Row],[Status]]="Renewed",tblTraining[[#This Row],[NextDueDate]]=""),"",tblTraining[[#This Row],[NextDueDate]]-TODAY())</f>
        <v/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402</v>
      </c>
      <c r="C1031" s="15" t="str" cm="1">
        <f t="array" ref="C1031">IFERROR(_xlfn.XLOOKUP(B1031, tblPeople[PersonID], tblPeople[PersonName], ""), "")</f>
        <v>Venessa Ikileng'</v>
      </c>
      <c r="D1031" s="15" t="s">
        <v>22</v>
      </c>
      <c r="E1031" s="16" t="str">
        <f>IFERROR(_xlfn.XLOOKUP(D1031, tblCourses[CourseID], tblCourses[CourseName], ""), "")</f>
        <v>Human Factors in Aviation (Refresher)</v>
      </c>
      <c r="F1031" s="17">
        <v>46122</v>
      </c>
      <c r="G1031" s="17" t="str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1" s="15" t="str">
        <f ca="1">IF(OR(tblTraining[[#This Row],[Status]]="Renewed",tblTraining[[#This Row],[NextDueDate]]=""),"",tblTraining[[#This Row],[NextDueDate]]-TODAY())</f>
        <v/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2" spans="1:9" x14ac:dyDescent="0.25">
      <c r="A1032" s="15">
        <f t="shared" si="16"/>
        <v>1031</v>
      </c>
      <c r="B1032" s="15" t="s">
        <v>403</v>
      </c>
      <c r="C1032" s="15" t="str" cm="1">
        <f t="array" ref="C1032">IFERROR(_xlfn.XLOOKUP(B1032, tblPeople[PersonID], tblPeople[PersonName], ""), "")</f>
        <v>Prudence Muhami</v>
      </c>
      <c r="D1032" s="15" t="s">
        <v>24</v>
      </c>
      <c r="E1032" s="16" t="str">
        <f>IFERROR(_xlfn.XLOOKUP(D1032, tblCourses[CourseID], tblCourses[CourseName], ""), "")</f>
        <v>Human Factors in Aviation (Initial)</v>
      </c>
      <c r="F1032" s="17">
        <v>46115</v>
      </c>
      <c r="G1032" s="17" t="str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2" s="15" t="str">
        <f ca="1">IF(OR(tblTraining[[#This Row],[Status]]="Renewed",tblTraining[[#This Row],[NextDueDate]]=""),"",tblTraining[[#This Row],[NextDueDate]]-TODAY())</f>
        <v/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403</v>
      </c>
      <c r="C1033" s="15" t="str" cm="1">
        <f t="array" ref="C1033">IFERROR(_xlfn.XLOOKUP(B1033, tblPeople[PersonID], tblPeople[PersonName], ""), "")</f>
        <v>Prudence Muhami</v>
      </c>
      <c r="D1033" s="15" t="s">
        <v>22</v>
      </c>
      <c r="E1033" s="16" t="str">
        <f>IFERROR(_xlfn.XLOOKUP(D1033, tblCourses[CourseID], tblCourses[CourseName], ""), "")</f>
        <v>Human Factors in Aviation (Refresher)</v>
      </c>
      <c r="F1033" s="17">
        <v>46115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4" spans="1:9" x14ac:dyDescent="0.25">
      <c r="A1034" s="15">
        <f t="shared" si="16"/>
        <v>1033</v>
      </c>
      <c r="B1034" s="15" t="s">
        <v>135</v>
      </c>
      <c r="C1034" s="15" t="str" cm="1">
        <f t="array" ref="C1034">IFERROR(_xlfn.XLOOKUP(B1034, tblPeople[PersonID], tblPeople[PersonName], ""), "")</f>
        <v>Francis Muriuki</v>
      </c>
      <c r="D1034" s="15" t="s">
        <v>75</v>
      </c>
      <c r="E1034" s="16" t="str">
        <f>IFERROR(_xlfn.XLOOKUP(D1034, tblCourses[CourseID], tblCourses[CourseName], ""), "")</f>
        <v>Fuel Tank Safety Phase 1 &amp; 2 Course (Refresher)</v>
      </c>
      <c r="F1034" s="17">
        <v>46123</v>
      </c>
      <c r="G1034" s="17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34" s="15">
        <f ca="1">IF(OR(tblTraining[[#This Row],[Status]]="Renewed",tblTraining[[#This Row],[NextDueDate]]=""),"",tblTraining[[#This Row],[NextDueDate]]-TODAY())</f>
        <v>568</v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5" spans="1:9" x14ac:dyDescent="0.25">
      <c r="A1035" s="15">
        <f t="shared" si="16"/>
        <v>1034</v>
      </c>
      <c r="B1035" s="15" t="s">
        <v>152</v>
      </c>
      <c r="C1035" s="15" t="str" cm="1">
        <f t="array" ref="C1035">IFERROR(_xlfn.XLOOKUP(B1035, tblPeople[PersonID], tblPeople[PersonName], ""), "")</f>
        <v>Majid Mohamed</v>
      </c>
      <c r="D1035" s="15" t="s">
        <v>22</v>
      </c>
      <c r="E1035" s="16" t="str">
        <f>IFERROR(_xlfn.XLOOKUP(D1035, tblCourses[CourseID], tblCourses[CourseName], ""), "")</f>
        <v>Human Factors in Aviation (Refresher)</v>
      </c>
      <c r="F1035" s="17">
        <v>46112</v>
      </c>
      <c r="G1035" s="17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35" s="15">
        <f ca="1">IF(OR(tblTraining[[#This Row],[Status]]="Renewed",tblTraining[[#This Row],[NextDueDate]]=""),"",tblTraining[[#This Row],[NextDueDate]]-TODAY())</f>
        <v>557</v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6" spans="1:9" x14ac:dyDescent="0.25">
      <c r="A1036" s="15">
        <f t="shared" si="16"/>
        <v>1035</v>
      </c>
      <c r="B1036" s="15" t="s">
        <v>112</v>
      </c>
      <c r="C1036" s="15" t="str" cm="1">
        <f t="array" ref="C1036">IFERROR(_xlfn.XLOOKUP(B1036, tblPeople[PersonID], tblPeople[PersonName], ""), "")</f>
        <v>Patrick Mwangi</v>
      </c>
      <c r="D1036" s="15" t="s">
        <v>75</v>
      </c>
      <c r="E1036" s="16" t="str">
        <f>IFERROR(_xlfn.XLOOKUP(D1036, tblCourses[CourseID], tblCourses[CourseName], ""), "")</f>
        <v>Fuel Tank Safety Phase 1 &amp; 2 Course (Refresher)</v>
      </c>
      <c r="F1036" s="17">
        <v>46093</v>
      </c>
      <c r="G1036" s="17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36" s="15">
        <f ca="1">IF(OR(tblTraining[[#This Row],[Status]]="Renewed",tblTraining[[#This Row],[NextDueDate]]=""),"",tblTraining[[#This Row],[NextDueDate]]-TODAY())</f>
        <v>538</v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7" spans="1:9" x14ac:dyDescent="0.25">
      <c r="A1037" s="15">
        <f t="shared" si="16"/>
        <v>1036</v>
      </c>
      <c r="B1037" s="15" t="s">
        <v>107</v>
      </c>
      <c r="C1037" s="15" t="str" cm="1">
        <f t="array" ref="C1037">IFERROR(_xlfn.XLOOKUP(B1037, tblPeople[PersonID], tblPeople[PersonName], ""), "")</f>
        <v>Julius Nyawira</v>
      </c>
      <c r="D1037" s="15" t="s">
        <v>75</v>
      </c>
      <c r="E1037" s="16" t="str">
        <f>IFERROR(_xlfn.XLOOKUP(D1037, tblCourses[CourseID], tblCourses[CourseName], ""), "")</f>
        <v>Fuel Tank Safety Phase 1 &amp; 2 Course (Refresher)</v>
      </c>
      <c r="F1037" s="17">
        <v>46120</v>
      </c>
      <c r="G1037" s="17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37" s="15">
        <f ca="1">IF(OR(tblTraining[[#This Row],[Status]]="Renewed",tblTraining[[#This Row],[NextDueDate]]=""),"",tblTraining[[#This Row],[NextDueDate]]-TODAY())</f>
        <v>565</v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>
        <f t="shared" si="16"/>
        <v>1037</v>
      </c>
      <c r="B1038" s="15" t="s">
        <v>90</v>
      </c>
      <c r="C1038" s="15" t="str" cm="1">
        <f t="array" ref="C1038">IFERROR(_xlfn.XLOOKUP(B1038, tblPeople[PersonID], tblPeople[PersonName], ""), "")</f>
        <v>Kendra Nambisia</v>
      </c>
      <c r="D1038" s="15" t="s">
        <v>175</v>
      </c>
      <c r="E1038" s="16" t="str">
        <f>IFERROR(_xlfn.XLOOKUP(D1038, tblCourses[CourseID], tblCourses[CourseName], ""), "")</f>
        <v>Aircraft Maintenance Engineers' Licence</v>
      </c>
      <c r="F1038" s="17">
        <v>46164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38" s="15">
        <f ca="1">IF(OR(tblTraining[[#This Row],[Status]]="Renewed",tblTraining[[#This Row],[NextDueDate]]=""),"",tblTraining[[#This Row],[NextDueDate]]-TODAY())</f>
        <v>609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>
        <f t="shared" si="16"/>
        <v>1038</v>
      </c>
      <c r="B1039" s="15" t="s">
        <v>100</v>
      </c>
      <c r="C1039" s="15" t="str" cm="1">
        <f t="array" ref="C1039">IFERROR(_xlfn.XLOOKUP(B1039, tblPeople[PersonID], tblPeople[PersonName], ""), "")</f>
        <v>John Muriithi</v>
      </c>
      <c r="D1039" s="15" t="s">
        <v>75</v>
      </c>
      <c r="E1039" s="16" t="str">
        <f>IFERROR(_xlfn.XLOOKUP(D1039, tblCourses[CourseID], tblCourses[CourseName], ""), "")</f>
        <v>Fuel Tank Safety Phase 1 &amp; 2 Course (Refresher)</v>
      </c>
      <c r="F1039" s="17">
        <v>46130</v>
      </c>
      <c r="G1039" s="17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39" s="15">
        <f ca="1">IF(OR(tblTraining[[#This Row],[Status]]="Renewed",tblTraining[[#This Row],[NextDueDate]]=""),"",tblTraining[[#This Row],[NextDueDate]]-TODAY())</f>
        <v>575</v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>
        <f t="shared" si="16"/>
        <v>1039</v>
      </c>
      <c r="B1040" s="15" t="s">
        <v>390</v>
      </c>
      <c r="C1040" s="15" t="str" cm="1">
        <f t="array" ref="C1040">IFERROR(_xlfn.XLOOKUP(B1040, tblPeople[PersonID], tblPeople[PersonName], ""), "")</f>
        <v>Benson Gitahi</v>
      </c>
      <c r="D1040" s="15" t="s">
        <v>232</v>
      </c>
      <c r="E1040" s="16" t="str">
        <f>IFERROR(_xlfn.XLOOKUP(D1040, tblCourses[CourseID], tblCourses[CourseName], ""), "")</f>
        <v>Crew Resource Management (Initial)</v>
      </c>
      <c r="F1040" s="17">
        <v>46140</v>
      </c>
      <c r="G1040" s="17" t="str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0" s="15" t="str">
        <f ca="1">IF(OR(tblTraining[[#This Row],[Status]]="Renewed",tblTraining[[#This Row],[NextDueDate]]=""),"",tblTraining[[#This Row],[NextDueDate]]-TODAY())</f>
        <v/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390</v>
      </c>
      <c r="C1041" s="15" t="str" cm="1">
        <f t="array" ref="C1041">IFERROR(_xlfn.XLOOKUP(B1041, tblPeople[PersonID], tblPeople[PersonName], ""), "")</f>
        <v>Benson Gitahi</v>
      </c>
      <c r="D1041" s="15" t="s">
        <v>231</v>
      </c>
      <c r="E1041" s="16" t="str">
        <f>IFERROR(_xlfn.XLOOKUP(D1041, tblCourses[CourseID], tblCourses[CourseName], ""), "")</f>
        <v>Crew Resource Management (Refresher)</v>
      </c>
      <c r="F1041" s="17">
        <v>46140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1" s="15">
        <f ca="1">IF(OR(tblTraining[[#This Row],[Status]]="Renewed",tblTraining[[#This Row],[NextDueDate]]=""),"",tblTraining[[#This Row],[NextDueDate]]-TODAY())</f>
        <v>585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402</v>
      </c>
      <c r="C1042" s="15" t="str" cm="1">
        <f t="array" ref="C1042">IFERROR(_xlfn.XLOOKUP(B1042, tblPeople[PersonID], tblPeople[PersonName], ""), "")</f>
        <v>Venessa Ikileng'</v>
      </c>
      <c r="D1042" s="15" t="s">
        <v>232</v>
      </c>
      <c r="E1042" s="16" t="str">
        <f>IFERROR(_xlfn.XLOOKUP(D1042, tblCourses[CourseID], tblCourses[CourseName], ""), "")</f>
        <v>Crew Resource Management (Initial)</v>
      </c>
      <c r="F1042" s="17">
        <v>46140</v>
      </c>
      <c r="G1042" s="17" t="str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2" s="15" t="str">
        <f ca="1">IF(OR(tblTraining[[#This Row],[Status]]="Renewed",tblTraining[[#This Row],[NextDueDate]]=""),"",tblTraining[[#This Row],[NextDueDate]]-TODAY())</f>
        <v/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402</v>
      </c>
      <c r="C1043" s="15" t="str" cm="1">
        <f t="array" ref="C1043">IFERROR(_xlfn.XLOOKUP(B1043, tblPeople[PersonID], tblPeople[PersonName], ""), "")</f>
        <v>Venessa Ikileng'</v>
      </c>
      <c r="D1043" s="15" t="s">
        <v>231</v>
      </c>
      <c r="E1043" s="16" t="str">
        <f>IFERROR(_xlfn.XLOOKUP(D1043, tblCourses[CourseID], tblCourses[CourseName], ""), "")</f>
        <v>Crew Resource Management (Refresher)</v>
      </c>
      <c r="F1043" s="17">
        <v>46140</v>
      </c>
      <c r="G1043" s="17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3" s="15">
        <f ca="1">IF(OR(tblTraining[[#This Row],[Status]]="Renewed",tblTraining[[#This Row],[NextDueDate]]=""),"",tblTraining[[#This Row],[NextDueDate]]-TODAY())</f>
        <v>585</v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403</v>
      </c>
      <c r="C1044" s="15" t="str" cm="1">
        <f t="array" ref="C1044">IFERROR(_xlfn.XLOOKUP(B1044, tblPeople[PersonID], tblPeople[PersonName], ""), "")</f>
        <v>Prudence Muhami</v>
      </c>
      <c r="D1044" s="15" t="s">
        <v>232</v>
      </c>
      <c r="E1044" s="16" t="str">
        <f>IFERROR(_xlfn.XLOOKUP(D1044, tblCourses[CourseID], tblCourses[CourseName], ""), "")</f>
        <v>Crew Resource Management (Initial)</v>
      </c>
      <c r="F1044" s="17">
        <v>46140</v>
      </c>
      <c r="G1044" s="17" t="str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4" s="15" t="str">
        <f ca="1">IF(OR(tblTraining[[#This Row],[Status]]="Renewed",tblTraining[[#This Row],[NextDueDate]]=""),"",tblTraining[[#This Row],[NextDueDate]]-TODAY())</f>
        <v/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5" spans="1:9" x14ac:dyDescent="0.25">
      <c r="A1045" s="15">
        <f t="shared" si="16"/>
        <v>1044</v>
      </c>
      <c r="B1045" s="15" t="s">
        <v>403</v>
      </c>
      <c r="C1045" s="15" t="str" cm="1">
        <f t="array" ref="C1045">IFERROR(_xlfn.XLOOKUP(B1045, tblPeople[PersonID], tblPeople[PersonName], ""), "")</f>
        <v>Prudence Muhami</v>
      </c>
      <c r="D1045" s="15" t="s">
        <v>231</v>
      </c>
      <c r="E1045" s="16" t="str">
        <f>IFERROR(_xlfn.XLOOKUP(D1045, tblCourses[CourseID], tblCourses[CourseName], ""), "")</f>
        <v>Crew Resource Management (Refresher)</v>
      </c>
      <c r="F1045" s="17">
        <v>46140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5" s="15">
        <f ca="1">IF(OR(tblTraining[[#This Row],[Status]]="Renewed",tblTraining[[#This Row],[NextDueDate]]=""),"",tblTraining[[#This Row],[NextDueDate]]-TODAY())</f>
        <v>585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406</v>
      </c>
      <c r="C1046" s="15" t="str" cm="1">
        <f t="array" ref="C1046">IFERROR(_xlfn.XLOOKUP(B1046, tblPeople[PersonID], tblPeople[PersonName], ""), "")</f>
        <v>James Muisyo</v>
      </c>
      <c r="D1046" s="15" t="s">
        <v>232</v>
      </c>
      <c r="E1046" s="16" t="str">
        <f>IFERROR(_xlfn.XLOOKUP(D1046, tblCourses[CourseID], tblCourses[CourseName], ""), "")</f>
        <v>Crew Resource Management (Initial)</v>
      </c>
      <c r="F1046" s="17">
        <v>46140</v>
      </c>
      <c r="G1046" s="17" t="str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6" s="15" t="str">
        <f ca="1">IF(OR(tblTraining[[#This Row],[Status]]="Renewed",tblTraining[[#This Row],[NextDueDate]]=""),"",tblTraining[[#This Row],[NextDueDate]]-TODAY())</f>
        <v/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406</v>
      </c>
      <c r="C1047" s="15" t="str" cm="1">
        <f t="array" ref="C1047">IFERROR(_xlfn.XLOOKUP(B1047, tblPeople[PersonID], tblPeople[PersonName], ""), "")</f>
        <v>James Muisyo</v>
      </c>
      <c r="D1047" s="15" t="s">
        <v>231</v>
      </c>
      <c r="E1047" s="16" t="str">
        <f>IFERROR(_xlfn.XLOOKUP(D1047, tblCourses[CourseID], tblCourses[CourseName], ""), "")</f>
        <v>Crew Resource Management (Refresher)</v>
      </c>
      <c r="F1047" s="17">
        <v>46140</v>
      </c>
      <c r="G1047" s="17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7" s="15">
        <f ca="1">IF(OR(tblTraining[[#This Row],[Status]]="Renewed",tblTraining[[#This Row],[NextDueDate]]=""),"",tblTraining[[#This Row],[NextDueDate]]-TODAY())</f>
        <v>585</v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>
        <f t="shared" si="16"/>
        <v>1047</v>
      </c>
      <c r="B1048" s="15" t="s">
        <v>435</v>
      </c>
      <c r="C1048" s="15" t="str" cm="1">
        <f t="array" ref="C1048">IFERROR(_xlfn.XLOOKUP(B1048, tblPeople[PersonID], tblPeople[PersonName], ""), "")</f>
        <v>Mary Chelagat</v>
      </c>
      <c r="D1048" s="15" t="s">
        <v>232</v>
      </c>
      <c r="E1048" s="16" t="str">
        <f>IFERROR(_xlfn.XLOOKUP(D1048, tblCourses[CourseID], tblCourses[CourseName], ""), "")</f>
        <v>Crew Resource Management (Initial)</v>
      </c>
      <c r="F1048" s="17">
        <v>46140</v>
      </c>
      <c r="G1048" s="17" t="str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8" s="15" t="str">
        <f ca="1">IF(OR(tblTraining[[#This Row],[Status]]="Renewed",tblTraining[[#This Row],[NextDueDate]]=""),"",tblTraining[[#This Row],[NextDueDate]]-TODAY())</f>
        <v/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435</v>
      </c>
      <c r="C1049" s="15" t="str" cm="1">
        <f t="array" ref="C1049">IFERROR(_xlfn.XLOOKUP(B1049, tblPeople[PersonID], tblPeople[PersonName], ""), "")</f>
        <v>Mary Chelagat</v>
      </c>
      <c r="D1049" s="15" t="s">
        <v>231</v>
      </c>
      <c r="E1049" s="16" t="str">
        <f>IFERROR(_xlfn.XLOOKUP(D1049, tblCourses[CourseID], tblCourses[CourseName], ""), "")</f>
        <v>Crew Resource Management (Refresher)</v>
      </c>
      <c r="F1049" s="17">
        <v>46140</v>
      </c>
      <c r="G1049" s="17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49" s="15">
        <f ca="1">IF(OR(tblTraining[[#This Row],[Status]]="Renewed",tblTraining[[#This Row],[NextDueDate]]=""),"",tblTraining[[#This Row],[NextDueDate]]-TODAY())</f>
        <v>585</v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436</v>
      </c>
      <c r="C1050" s="15" t="str" cm="1">
        <f t="array" ref="C1050">IFERROR(_xlfn.XLOOKUP(B1050, tblPeople[PersonID], tblPeople[PersonName], ""), "")</f>
        <v>Alfred Okudo</v>
      </c>
      <c r="D1050" s="15" t="s">
        <v>232</v>
      </c>
      <c r="E1050" s="16" t="str">
        <f>IFERROR(_xlfn.XLOOKUP(D1050, tblCourses[CourseID], tblCourses[CourseName], ""), "")</f>
        <v>Crew Resource Management (Initial)</v>
      </c>
      <c r="F1050" s="17">
        <v>46140</v>
      </c>
      <c r="G1050" s="17" t="str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0" s="15" t="str">
        <f ca="1">IF(OR(tblTraining[[#This Row],[Status]]="Renewed",tblTraining[[#This Row],[NextDueDate]]=""),"",tblTraining[[#This Row],[NextDueDate]]-TODAY())</f>
        <v/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436</v>
      </c>
      <c r="C1051" s="15" t="str" cm="1">
        <f t="array" ref="C1051">IFERROR(_xlfn.XLOOKUP(B1051, tblPeople[PersonID], tblPeople[PersonName], ""), "")</f>
        <v>Alfred Okudo</v>
      </c>
      <c r="D1051" s="15" t="s">
        <v>231</v>
      </c>
      <c r="E1051" s="16" t="str">
        <f>IFERROR(_xlfn.XLOOKUP(D1051, tblCourses[CourseID], tblCourses[CourseName], ""), "")</f>
        <v>Crew Resource Management (Refresher)</v>
      </c>
      <c r="F1051" s="17">
        <v>46140</v>
      </c>
      <c r="G1051" s="17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1" s="15">
        <f ca="1">IF(OR(tblTraining[[#This Row],[Status]]="Renewed",tblTraining[[#This Row],[NextDueDate]]=""),"",tblTraining[[#This Row],[NextDueDate]]-TODAY())</f>
        <v>585</v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437</v>
      </c>
      <c r="C1052" s="15" t="str" cm="1">
        <f t="array" ref="C1052">IFERROR(_xlfn.XLOOKUP(B1052, tblPeople[PersonID], tblPeople[PersonName], ""), "")</f>
        <v>Martin Chege</v>
      </c>
      <c r="D1052" s="15" t="s">
        <v>232</v>
      </c>
      <c r="E1052" s="16" t="str">
        <f>IFERROR(_xlfn.XLOOKUP(D1052, tblCourses[CourseID], tblCourses[CourseName], ""), "")</f>
        <v>Crew Resource Management (Initial)</v>
      </c>
      <c r="F1052" s="17">
        <v>46140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3" spans="1:9" x14ac:dyDescent="0.25">
      <c r="A1053" s="15">
        <f t="shared" si="16"/>
        <v>1052</v>
      </c>
      <c r="B1053" s="15" t="s">
        <v>437</v>
      </c>
      <c r="C1053" s="15" t="str" cm="1">
        <f t="array" ref="C1053">IFERROR(_xlfn.XLOOKUP(B1053, tblPeople[PersonID], tblPeople[PersonName], ""), "")</f>
        <v>Martin Chege</v>
      </c>
      <c r="D1053" s="15" t="s">
        <v>231</v>
      </c>
      <c r="E1053" s="16" t="str">
        <f>IFERROR(_xlfn.XLOOKUP(D1053, tblCourses[CourseID], tblCourses[CourseName], ""), "")</f>
        <v>Crew Resource Management (Refresher)</v>
      </c>
      <c r="F1053" s="17">
        <v>46140</v>
      </c>
      <c r="G1053" s="17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3" s="15">
        <f ca="1">IF(OR(tblTraining[[#This Row],[Status]]="Renewed",tblTraining[[#This Row],[NextDueDate]]=""),"",tblTraining[[#This Row],[NextDueDate]]-TODAY())</f>
        <v>585</v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438</v>
      </c>
      <c r="C1054" s="15" t="str" cm="1">
        <f t="array" ref="C1054">IFERROR(_xlfn.XLOOKUP(B1054, tblPeople[PersonID], tblPeople[PersonName], ""), "")</f>
        <v>Brian Muga</v>
      </c>
      <c r="D1054" s="15" t="s">
        <v>232</v>
      </c>
      <c r="E1054" s="16" t="str">
        <f>IFERROR(_xlfn.XLOOKUP(D1054, tblCourses[CourseID], tblCourses[CourseName], ""), "")</f>
        <v>Crew Resource Management (Initial)</v>
      </c>
      <c r="F1054" s="17">
        <v>46140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5" spans="1:9" x14ac:dyDescent="0.25">
      <c r="A1055" s="15">
        <f t="shared" si="16"/>
        <v>1054</v>
      </c>
      <c r="B1055" s="15" t="s">
        <v>438</v>
      </c>
      <c r="C1055" s="15" t="str" cm="1">
        <f t="array" ref="C1055">IFERROR(_xlfn.XLOOKUP(B1055, tblPeople[PersonID], tblPeople[PersonName], ""), "")</f>
        <v>Brian Muga</v>
      </c>
      <c r="D1055" s="15" t="s">
        <v>231</v>
      </c>
      <c r="E1055" s="16" t="str">
        <f>IFERROR(_xlfn.XLOOKUP(D1055, tblCourses[CourseID], tblCourses[CourseName], ""), "")</f>
        <v>Crew Resource Management (Refresher)</v>
      </c>
      <c r="F1055" s="17">
        <v>46140</v>
      </c>
      <c r="G1055" s="17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5" s="15">
        <f ca="1">IF(OR(tblTraining[[#This Row],[Status]]="Renewed",tblTraining[[#This Row],[NextDueDate]]=""),"",tblTraining[[#This Row],[NextDueDate]]-TODAY())</f>
        <v>585</v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>
        <f t="shared" si="16"/>
        <v>1055</v>
      </c>
      <c r="B1056" s="15" t="s">
        <v>440</v>
      </c>
      <c r="C1056" s="15" t="str" cm="1">
        <f t="array" ref="C1056">IFERROR(_xlfn.XLOOKUP(B1056, tblPeople[PersonID], tblPeople[PersonName], ""), "")</f>
        <v>Francis Mutonga</v>
      </c>
      <c r="D1056" s="15" t="s">
        <v>232</v>
      </c>
      <c r="E1056" s="16" t="str">
        <f>IFERROR(_xlfn.XLOOKUP(D1056, tblCourses[CourseID], tblCourses[CourseName], ""), "")</f>
        <v>Crew Resource Management (Initial)</v>
      </c>
      <c r="F1056" s="17">
        <v>46140</v>
      </c>
      <c r="G1056" s="17" t="str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6" s="15" t="str">
        <f ca="1">IF(OR(tblTraining[[#This Row],[Status]]="Renewed",tblTraining[[#This Row],[NextDueDate]]=""),"",tblTraining[[#This Row],[NextDueDate]]-TODAY())</f>
        <v/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440</v>
      </c>
      <c r="C1057" s="15" t="str" cm="1">
        <f t="array" ref="C1057">IFERROR(_xlfn.XLOOKUP(B1057, tblPeople[PersonID], tblPeople[PersonName], ""), "")</f>
        <v>Francis Mutonga</v>
      </c>
      <c r="D1057" s="15" t="s">
        <v>231</v>
      </c>
      <c r="E1057" s="16" t="str">
        <f>IFERROR(_xlfn.XLOOKUP(D1057, tblCourses[CourseID], tblCourses[CourseName], ""), "")</f>
        <v>Crew Resource Management (Refresher)</v>
      </c>
      <c r="F1057" s="17">
        <v>46140</v>
      </c>
      <c r="G1057" s="17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57" s="15">
        <f ca="1">IF(OR(tblTraining[[#This Row],[Status]]="Renewed",tblTraining[[#This Row],[NextDueDate]]=""),"",tblTraining[[#This Row],[NextDueDate]]-TODAY())</f>
        <v>585</v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>
        <f t="shared" si="16"/>
        <v>1057</v>
      </c>
      <c r="B1058" s="15" t="s">
        <v>390</v>
      </c>
      <c r="C1058" s="15" t="str" cm="1">
        <f t="array" ref="C1058">IFERROR(_xlfn.XLOOKUP(B1058, tblPeople[PersonID], tblPeople[PersonName], ""), "")</f>
        <v>Benson Gitahi</v>
      </c>
      <c r="D1058" s="15" t="s">
        <v>126</v>
      </c>
      <c r="E1058" s="16" t="str">
        <f>IFERROR(_xlfn.XLOOKUP(D1058, tblCourses[CourseID], tblCourses[CourseName], ""), "")</f>
        <v>Maintenance Indoctrination</v>
      </c>
      <c r="F1058" s="17">
        <v>46136</v>
      </c>
      <c r="G1058" s="17" t="str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8" s="15" t="str">
        <f ca="1">IF(OR(tblTraining[[#This Row],[Status]]="Renewed",tblTraining[[#This Row],[NextDueDate]]=""),"",tblTraining[[#This Row],[NextDueDate]]-TODAY())</f>
        <v/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402</v>
      </c>
      <c r="C1059" s="15" t="str" cm="1">
        <f t="array" ref="C1059">IFERROR(_xlfn.XLOOKUP(B1059, tblPeople[PersonID], tblPeople[PersonName], ""), "")</f>
        <v>Venessa Ikileng'</v>
      </c>
      <c r="D1059" s="15" t="s">
        <v>126</v>
      </c>
      <c r="E1059" s="16" t="str">
        <f>IFERROR(_xlfn.XLOOKUP(D1059, tblCourses[CourseID], tblCourses[CourseName], ""), "")</f>
        <v>Maintenance Indoctrination</v>
      </c>
      <c r="F1059" s="17">
        <v>46136</v>
      </c>
      <c r="G1059" s="17" t="str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9" s="15" t="str">
        <f ca="1">IF(OR(tblTraining[[#This Row],[Status]]="Renewed",tblTraining[[#This Row],[NextDueDate]]=""),"",tblTraining[[#This Row],[NextDueDate]]-TODAY())</f>
        <v/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403</v>
      </c>
      <c r="C1060" s="15" t="str" cm="1">
        <f t="array" ref="C1060">IFERROR(_xlfn.XLOOKUP(B1060, tblPeople[PersonID], tblPeople[PersonName], ""), "")</f>
        <v>Prudence Muhami</v>
      </c>
      <c r="D1060" s="15" t="s">
        <v>126</v>
      </c>
      <c r="E1060" s="16" t="str">
        <f>IFERROR(_xlfn.XLOOKUP(D1060, tblCourses[CourseID], tblCourses[CourseName], ""), "")</f>
        <v>Maintenance Indoctrination</v>
      </c>
      <c r="F1060" s="17">
        <v>46136</v>
      </c>
      <c r="G1060" s="17" t="str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0" s="15" t="str">
        <f ca="1">IF(OR(tblTraining[[#This Row],[Status]]="Renewed",tblTraining[[#This Row],[NextDueDate]]=""),"",tblTraining[[#This Row],[NextDueDate]]-TODAY())</f>
        <v/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406</v>
      </c>
      <c r="C1061" s="15" t="str" cm="1">
        <f t="array" ref="C1061">IFERROR(_xlfn.XLOOKUP(B1061, tblPeople[PersonID], tblPeople[PersonName], ""), "")</f>
        <v>James Muisyo</v>
      </c>
      <c r="D1061" s="15" t="s">
        <v>126</v>
      </c>
      <c r="E1061" s="16" t="str">
        <f>IFERROR(_xlfn.XLOOKUP(D1061, tblCourses[CourseID], tblCourses[CourseName], ""), "")</f>
        <v>Maintenance Indoctrination</v>
      </c>
      <c r="F1061" s="17">
        <v>46136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435</v>
      </c>
      <c r="C1062" s="15" t="str" cm="1">
        <f t="array" ref="C1062">IFERROR(_xlfn.XLOOKUP(B1062, tblPeople[PersonID], tblPeople[PersonName], ""), "")</f>
        <v>Mary Chelagat</v>
      </c>
      <c r="D1062" s="15" t="s">
        <v>126</v>
      </c>
      <c r="E1062" s="16" t="str">
        <f>IFERROR(_xlfn.XLOOKUP(D1062, tblCourses[CourseID], tblCourses[CourseName], ""), "")</f>
        <v>Maintenance Indoctrination</v>
      </c>
      <c r="F1062" s="17">
        <v>46136</v>
      </c>
      <c r="G1062" s="17" t="str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2" s="15" t="str">
        <f ca="1">IF(OR(tblTraining[[#This Row],[Status]]="Renewed",tblTraining[[#This Row],[NextDueDate]]=""),"",tblTraining[[#This Row],[NextDueDate]]-TODAY())</f>
        <v/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436</v>
      </c>
      <c r="C1063" s="15" t="str" cm="1">
        <f t="array" ref="C1063">IFERROR(_xlfn.XLOOKUP(B1063, tblPeople[PersonID], tblPeople[PersonName], ""), "")</f>
        <v>Alfred Okudo</v>
      </c>
      <c r="D1063" s="15" t="s">
        <v>126</v>
      </c>
      <c r="E1063" s="16" t="str">
        <f>IFERROR(_xlfn.XLOOKUP(D1063, tblCourses[CourseID], tblCourses[CourseName], ""), "")</f>
        <v>Maintenance Indoctrination</v>
      </c>
      <c r="F1063" s="17">
        <v>46136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437</v>
      </c>
      <c r="C1064" s="15" t="str" cm="1">
        <f t="array" ref="C1064">IFERROR(_xlfn.XLOOKUP(B1064, tblPeople[PersonID], tblPeople[PersonName], ""), "")</f>
        <v>Martin Chege</v>
      </c>
      <c r="D1064" s="15" t="s">
        <v>126</v>
      </c>
      <c r="E1064" s="16" t="str">
        <f>IFERROR(_xlfn.XLOOKUP(D1064, tblCourses[CourseID], tblCourses[CourseName], ""), "")</f>
        <v>Maintenance Indoctrination</v>
      </c>
      <c r="F1064" s="17">
        <v>46136</v>
      </c>
      <c r="G1064" s="17" t="str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4" s="15" t="str">
        <f ca="1">IF(OR(tblTraining[[#This Row],[Status]]="Renewed",tblTraining[[#This Row],[NextDueDate]]=""),"",tblTraining[[#This Row],[NextDueDate]]-TODAY())</f>
        <v/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438</v>
      </c>
      <c r="C1065" s="15" t="str" cm="1">
        <f t="array" ref="C1065">IFERROR(_xlfn.XLOOKUP(B1065, tblPeople[PersonID], tblPeople[PersonName], ""), "")</f>
        <v>Brian Muga</v>
      </c>
      <c r="D1065" s="15" t="s">
        <v>126</v>
      </c>
      <c r="E1065" s="16" t="str">
        <f>IFERROR(_xlfn.XLOOKUP(D1065, tblCourses[CourseID], tblCourses[CourseName], ""), "")</f>
        <v>Maintenance Indoctrination</v>
      </c>
      <c r="F1065" s="17">
        <v>46136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443</v>
      </c>
      <c r="C1066" s="15" t="str" cm="1">
        <f t="array" ref="C1066">IFERROR(_xlfn.XLOOKUP(B1066, tblPeople[PersonID], tblPeople[PersonName], ""), "")</f>
        <v>Evans Maingi</v>
      </c>
      <c r="D1066" s="15" t="s">
        <v>126</v>
      </c>
      <c r="E1066" s="16" t="str">
        <f>IFERROR(_xlfn.XLOOKUP(D1066, tblCourses[CourseID], tblCourses[CourseName], ""), "")</f>
        <v>Maintenance Indoctrination</v>
      </c>
      <c r="F1066" s="17">
        <v>46136</v>
      </c>
      <c r="G1066" s="17" t="str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6" s="15" t="str">
        <f ca="1">IF(OR(tblTraining[[#This Row],[Status]]="Renewed",tblTraining[[#This Row],[NextDueDate]]=""),"",tblTraining[[#This Row],[NextDueDate]]-TODAY())</f>
        <v/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440</v>
      </c>
      <c r="C1067" s="15" t="str" cm="1">
        <f t="array" ref="C1067">IFERROR(_xlfn.XLOOKUP(B1067, tblPeople[PersonID], tblPeople[PersonName], ""), "")</f>
        <v>Francis Mutonga</v>
      </c>
      <c r="D1067" s="15" t="s">
        <v>126</v>
      </c>
      <c r="E1067" s="16" t="str">
        <f>IFERROR(_xlfn.XLOOKUP(D1067, tblCourses[CourseID], tblCourses[CourseName], ""), "")</f>
        <v>Maintenance Indoctrination</v>
      </c>
      <c r="F1067" s="17">
        <v>46136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390</v>
      </c>
      <c r="C1068" s="15" t="str" cm="1">
        <f t="array" ref="C1068">IFERROR(_xlfn.XLOOKUP(B1068, tblPeople[PersonID], tblPeople[PersonName], ""), "")</f>
        <v>Benson Gitahi</v>
      </c>
      <c r="D1068" s="15" t="s">
        <v>124</v>
      </c>
      <c r="E1068" s="16" t="str">
        <f>IFERROR(_xlfn.XLOOKUP(D1068, tblCourses[CourseID], tblCourses[CourseName], ""), "")</f>
        <v>Aviation Security (Initial)</v>
      </c>
      <c r="F1068" s="17">
        <v>46142</v>
      </c>
      <c r="G1068" s="17" t="str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8" s="15" t="str">
        <f ca="1">IF(OR(tblTraining[[#This Row],[Status]]="Renewed",tblTraining[[#This Row],[NextDueDate]]=""),"",tblTraining[[#This Row],[NextDueDate]]-TODAY())</f>
        <v/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390</v>
      </c>
      <c r="C1069" s="15" t="str" cm="1">
        <f t="array" ref="C1069">IFERROR(_xlfn.XLOOKUP(B1069, tblPeople[PersonID], tblPeople[PersonName], ""), "")</f>
        <v>Benson Gitahi</v>
      </c>
      <c r="D1069" s="15" t="s">
        <v>125</v>
      </c>
      <c r="E1069" s="16" t="str">
        <f>IFERROR(_xlfn.XLOOKUP(D1069, tblCourses[CourseID], tblCourses[CourseName], ""), "")</f>
        <v>Aviation Security (Refresher)</v>
      </c>
      <c r="F1069" s="17">
        <v>46142</v>
      </c>
      <c r="G1069" s="17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69" s="15">
        <f ca="1">IF(OR(tblTraining[[#This Row],[Status]]="Renewed",tblTraining[[#This Row],[NextDueDate]]=""),"",tblTraining[[#This Row],[NextDueDate]]-TODAY())</f>
        <v>587</v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402</v>
      </c>
      <c r="C1070" s="15" t="str" cm="1">
        <f t="array" ref="C1070">IFERROR(_xlfn.XLOOKUP(B1070, tblPeople[PersonID], tblPeople[PersonName], ""), "")</f>
        <v>Venessa Ikileng'</v>
      </c>
      <c r="D1070" s="15" t="s">
        <v>124</v>
      </c>
      <c r="E1070" s="16" t="str">
        <f>IFERROR(_xlfn.XLOOKUP(D1070, tblCourses[CourseID], tblCourses[CourseName], ""), "")</f>
        <v>Aviation Security (Initial)</v>
      </c>
      <c r="F1070" s="17">
        <v>46142</v>
      </c>
      <c r="G1070" s="17" t="str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0" s="15" t="str">
        <f ca="1">IF(OR(tblTraining[[#This Row],[Status]]="Renewed",tblTraining[[#This Row],[NextDueDate]]=""),"",tblTraining[[#This Row],[NextDueDate]]-TODAY())</f>
        <v/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402</v>
      </c>
      <c r="C1071" s="15" t="str" cm="1">
        <f t="array" ref="C1071">IFERROR(_xlfn.XLOOKUP(B1071, tblPeople[PersonID], tblPeople[PersonName], ""), "")</f>
        <v>Venessa Ikileng'</v>
      </c>
      <c r="D1071" s="15" t="s">
        <v>125</v>
      </c>
      <c r="E1071" s="16" t="str">
        <f>IFERROR(_xlfn.XLOOKUP(D1071, tblCourses[CourseID], tblCourses[CourseName], ""), "")</f>
        <v>Aviation Security (Refresher)</v>
      </c>
      <c r="F1071" s="17">
        <v>46142</v>
      </c>
      <c r="G1071" s="17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1" s="15">
        <f ca="1">IF(OR(tblTraining[[#This Row],[Status]]="Renewed",tblTraining[[#This Row],[NextDueDate]]=""),"",tblTraining[[#This Row],[NextDueDate]]-TODAY())</f>
        <v>587</v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403</v>
      </c>
      <c r="C1072" s="15" t="str" cm="1">
        <f t="array" ref="C1072">IFERROR(_xlfn.XLOOKUP(B1072, tblPeople[PersonID], tblPeople[PersonName], ""), "")</f>
        <v>Prudence Muhami</v>
      </c>
      <c r="D1072" s="15" t="s">
        <v>124</v>
      </c>
      <c r="E1072" s="16" t="str">
        <f>IFERROR(_xlfn.XLOOKUP(D1072, tblCourses[CourseID], tblCourses[CourseName], ""), "")</f>
        <v>Aviation Security (Initial)</v>
      </c>
      <c r="F1072" s="17">
        <v>46142</v>
      </c>
      <c r="G1072" s="17" t="str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2" s="15" t="str">
        <f ca="1">IF(OR(tblTraining[[#This Row],[Status]]="Renewed",tblTraining[[#This Row],[NextDueDate]]=""),"",tblTraining[[#This Row],[NextDueDate]]-TODAY())</f>
        <v/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403</v>
      </c>
      <c r="C1073" s="15" t="str" cm="1">
        <f t="array" ref="C1073">IFERROR(_xlfn.XLOOKUP(B1073, tblPeople[PersonID], tblPeople[PersonName], ""), "")</f>
        <v>Prudence Muhami</v>
      </c>
      <c r="D1073" s="15" t="s">
        <v>125</v>
      </c>
      <c r="E1073" s="16" t="str">
        <f>IFERROR(_xlfn.XLOOKUP(D1073, tblCourses[CourseID], tblCourses[CourseName], ""), "")</f>
        <v>Aviation Security (Refresher)</v>
      </c>
      <c r="F1073" s="17">
        <v>46142</v>
      </c>
      <c r="G1073" s="17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3" s="15">
        <f ca="1">IF(OR(tblTraining[[#This Row],[Status]]="Renewed",tblTraining[[#This Row],[NextDueDate]]=""),"",tblTraining[[#This Row],[NextDueDate]]-TODAY())</f>
        <v>587</v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406</v>
      </c>
      <c r="C1074" s="15" t="str" cm="1">
        <f t="array" ref="C1074">IFERROR(_xlfn.XLOOKUP(B1074, tblPeople[PersonID], tblPeople[PersonName], ""), "")</f>
        <v>James Muisyo</v>
      </c>
      <c r="D1074" s="15" t="s">
        <v>124</v>
      </c>
      <c r="E1074" s="16" t="str">
        <f>IFERROR(_xlfn.XLOOKUP(D1074, tblCourses[CourseID], tblCourses[CourseName], ""), "")</f>
        <v>Aviation Security (Initial)</v>
      </c>
      <c r="F1074" s="17">
        <v>46142</v>
      </c>
      <c r="G1074" s="17" t="str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4" s="15" t="str">
        <f ca="1">IF(OR(tblTraining[[#This Row],[Status]]="Renewed",tblTraining[[#This Row],[NextDueDate]]=""),"",tblTraining[[#This Row],[NextDueDate]]-TODAY())</f>
        <v/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406</v>
      </c>
      <c r="C1075" s="15" t="str" cm="1">
        <f t="array" ref="C1075">IFERROR(_xlfn.XLOOKUP(B1075, tblPeople[PersonID], tblPeople[PersonName], ""), "")</f>
        <v>James Muisyo</v>
      </c>
      <c r="D1075" s="15" t="s">
        <v>125</v>
      </c>
      <c r="E1075" s="16" t="str">
        <f>IFERROR(_xlfn.XLOOKUP(D1075, tblCourses[CourseID], tblCourses[CourseName], ""), "")</f>
        <v>Aviation Security (Refresher)</v>
      </c>
      <c r="F1075" s="17">
        <v>46142</v>
      </c>
      <c r="G1075" s="17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5" s="15">
        <f ca="1">IF(OR(tblTraining[[#This Row],[Status]]="Renewed",tblTraining[[#This Row],[NextDueDate]]=""),"",tblTraining[[#This Row],[NextDueDate]]-TODAY())</f>
        <v>587</v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435</v>
      </c>
      <c r="C1076" s="15" t="str" cm="1">
        <f t="array" ref="C1076">IFERROR(_xlfn.XLOOKUP(B1076, tblPeople[PersonID], tblPeople[PersonName], ""), "")</f>
        <v>Mary Chelagat</v>
      </c>
      <c r="D1076" s="15" t="s">
        <v>124</v>
      </c>
      <c r="E1076" s="16" t="str">
        <f>IFERROR(_xlfn.XLOOKUP(D1076, tblCourses[CourseID], tblCourses[CourseName], ""), "")</f>
        <v>Aviation Security (Initial)</v>
      </c>
      <c r="F1076" s="17">
        <v>46142</v>
      </c>
      <c r="G1076" s="17" t="str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6" s="15" t="str">
        <f ca="1">IF(OR(tblTraining[[#This Row],[Status]]="Renewed",tblTraining[[#This Row],[NextDueDate]]=""),"",tblTraining[[#This Row],[NextDueDate]]-TODAY())</f>
        <v/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435</v>
      </c>
      <c r="C1077" s="15" t="str" cm="1">
        <f t="array" ref="C1077">IFERROR(_xlfn.XLOOKUP(B1077, tblPeople[PersonID], tblPeople[PersonName], ""), "")</f>
        <v>Mary Chelagat</v>
      </c>
      <c r="D1077" s="15" t="s">
        <v>125</v>
      </c>
      <c r="E1077" s="16" t="str">
        <f>IFERROR(_xlfn.XLOOKUP(D1077, tblCourses[CourseID], tblCourses[CourseName], ""), "")</f>
        <v>Aviation Security (Refresher)</v>
      </c>
      <c r="F1077" s="17">
        <v>46142</v>
      </c>
      <c r="G1077" s="17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7" s="15">
        <f ca="1">IF(OR(tblTraining[[#This Row],[Status]]="Renewed",tblTraining[[#This Row],[NextDueDate]]=""),"",tblTraining[[#This Row],[NextDueDate]]-TODAY())</f>
        <v>587</v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436</v>
      </c>
      <c r="C1078" s="15" t="str" cm="1">
        <f t="array" ref="C1078">IFERROR(_xlfn.XLOOKUP(B1078, tblPeople[PersonID], tblPeople[PersonName], ""), "")</f>
        <v>Alfred Okudo</v>
      </c>
      <c r="D1078" s="15" t="s">
        <v>124</v>
      </c>
      <c r="E1078" s="16" t="str">
        <f>IFERROR(_xlfn.XLOOKUP(D1078, tblCourses[CourseID], tblCourses[CourseName], ""), "")</f>
        <v>Aviation Security (Initial)</v>
      </c>
      <c r="F1078" s="17">
        <v>46142</v>
      </c>
      <c r="G1078" s="17" t="str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8" s="15" t="str">
        <f ca="1">IF(OR(tblTraining[[#This Row],[Status]]="Renewed",tblTraining[[#This Row],[NextDueDate]]=""),"",tblTraining[[#This Row],[NextDueDate]]-TODAY())</f>
        <v/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436</v>
      </c>
      <c r="C1079" s="15" t="str" cm="1">
        <f t="array" ref="C1079">IFERROR(_xlfn.XLOOKUP(B1079, tblPeople[PersonID], tblPeople[PersonName], ""), "")</f>
        <v>Alfred Okudo</v>
      </c>
      <c r="D1079" s="15" t="s">
        <v>125</v>
      </c>
      <c r="E1079" s="16" t="str">
        <f>IFERROR(_xlfn.XLOOKUP(D1079, tblCourses[CourseID], tblCourses[CourseName], ""), "")</f>
        <v>Aviation Security (Refresher)</v>
      </c>
      <c r="F1079" s="17">
        <v>46142</v>
      </c>
      <c r="G1079" s="17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79" s="15">
        <f ca="1">IF(OR(tblTraining[[#This Row],[Status]]="Renewed",tblTraining[[#This Row],[NextDueDate]]=""),"",tblTraining[[#This Row],[NextDueDate]]-TODAY())</f>
        <v>587</v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437</v>
      </c>
      <c r="C1080" s="15" t="str" cm="1">
        <f t="array" ref="C1080">IFERROR(_xlfn.XLOOKUP(B1080, tblPeople[PersonID], tblPeople[PersonName], ""), "")</f>
        <v>Martin Chege</v>
      </c>
      <c r="D1080" s="15" t="s">
        <v>124</v>
      </c>
      <c r="E1080" s="16" t="str">
        <f>IFERROR(_xlfn.XLOOKUP(D1080, tblCourses[CourseID], tblCourses[CourseName], ""), "")</f>
        <v>Aviation Security (Initial)</v>
      </c>
      <c r="F1080" s="17">
        <v>46142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437</v>
      </c>
      <c r="C1081" s="15" t="str" cm="1">
        <f t="array" ref="C1081">IFERROR(_xlfn.XLOOKUP(B1081, tblPeople[PersonID], tblPeople[PersonName], ""), "")</f>
        <v>Martin Chege</v>
      </c>
      <c r="D1081" s="15" t="s">
        <v>125</v>
      </c>
      <c r="E1081" s="16" t="str">
        <f>IFERROR(_xlfn.XLOOKUP(D1081, tblCourses[CourseID], tblCourses[CourseName], ""), "")</f>
        <v>Aviation Security (Refresher)</v>
      </c>
      <c r="F1081" s="17">
        <v>46142</v>
      </c>
      <c r="G1081" s="17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1" s="15">
        <f ca="1">IF(OR(tblTraining[[#This Row],[Status]]="Renewed",tblTraining[[#This Row],[NextDueDate]]=""),"",tblTraining[[#This Row],[NextDueDate]]-TODAY())</f>
        <v>587</v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438</v>
      </c>
      <c r="C1082" s="15" t="str" cm="1">
        <f t="array" ref="C1082">IFERROR(_xlfn.XLOOKUP(B1082, tblPeople[PersonID], tblPeople[PersonName], ""), "")</f>
        <v>Brian Muga</v>
      </c>
      <c r="D1082" s="15" t="s">
        <v>124</v>
      </c>
      <c r="E1082" s="16" t="str">
        <f>IFERROR(_xlfn.XLOOKUP(D1082, tblCourses[CourseID], tblCourses[CourseName], ""), "")</f>
        <v>Aviation Security (Initial)</v>
      </c>
      <c r="F1082" s="17">
        <v>46142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438</v>
      </c>
      <c r="C1083" s="15" t="str" cm="1">
        <f t="array" ref="C1083">IFERROR(_xlfn.XLOOKUP(B1083, tblPeople[PersonID], tblPeople[PersonName], ""), "")</f>
        <v>Brian Muga</v>
      </c>
      <c r="D1083" s="15" t="s">
        <v>125</v>
      </c>
      <c r="E1083" s="16" t="str">
        <f>IFERROR(_xlfn.XLOOKUP(D1083, tblCourses[CourseID], tblCourses[CourseName], ""), "")</f>
        <v>Aviation Security (Refresher)</v>
      </c>
      <c r="F1083" s="17">
        <v>46142</v>
      </c>
      <c r="G1083" s="17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3" s="15">
        <f ca="1">IF(OR(tblTraining[[#This Row],[Status]]="Renewed",tblTraining[[#This Row],[NextDueDate]]=""),"",tblTraining[[#This Row],[NextDueDate]]-TODAY())</f>
        <v>587</v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443</v>
      </c>
      <c r="C1084" s="15" t="str" cm="1">
        <f t="array" ref="C1084">IFERROR(_xlfn.XLOOKUP(B1084, tblPeople[PersonID], tblPeople[PersonName], ""), "")</f>
        <v>Evans Maingi</v>
      </c>
      <c r="D1084" s="15" t="s">
        <v>124</v>
      </c>
      <c r="E1084" s="16" t="str">
        <f>IFERROR(_xlfn.XLOOKUP(D1084, tblCourses[CourseID], tblCourses[CourseName], ""), "")</f>
        <v>Aviation Security (Initial)</v>
      </c>
      <c r="F1084" s="17">
        <v>46142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443</v>
      </c>
      <c r="C1085" s="15" t="str" cm="1">
        <f t="array" ref="C1085">IFERROR(_xlfn.XLOOKUP(B1085, tblPeople[PersonID], tblPeople[PersonName], ""), "")</f>
        <v>Evans Maingi</v>
      </c>
      <c r="D1085" s="15" t="s">
        <v>125</v>
      </c>
      <c r="E1085" s="16" t="str">
        <f>IFERROR(_xlfn.XLOOKUP(D1085, tblCourses[CourseID], tblCourses[CourseName], ""), "")</f>
        <v>Aviation Security (Refresher)</v>
      </c>
      <c r="F1085" s="17">
        <v>46142</v>
      </c>
      <c r="G1085" s="17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5" s="15">
        <f ca="1">IF(OR(tblTraining[[#This Row],[Status]]="Renewed",tblTraining[[#This Row],[NextDueDate]]=""),"",tblTraining[[#This Row],[NextDueDate]]-TODAY())</f>
        <v>587</v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440</v>
      </c>
      <c r="C1086" s="15" t="str" cm="1">
        <f t="array" ref="C1086">IFERROR(_xlfn.XLOOKUP(B1086, tblPeople[PersonID], tblPeople[PersonName], ""), "")</f>
        <v>Francis Mutonga</v>
      </c>
      <c r="D1086" s="15" t="s">
        <v>124</v>
      </c>
      <c r="E1086" s="16" t="str">
        <f>IFERROR(_xlfn.XLOOKUP(D1086, tblCourses[CourseID], tblCourses[CourseName], ""), "")</f>
        <v>Aviation Security (Initial)</v>
      </c>
      <c r="F1086" s="17">
        <v>46142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440</v>
      </c>
      <c r="C1087" s="15" t="str" cm="1">
        <f t="array" ref="C1087">IFERROR(_xlfn.XLOOKUP(B1087, tblPeople[PersonID], tblPeople[PersonName], ""), "")</f>
        <v>Francis Mutonga</v>
      </c>
      <c r="D1087" s="15" t="s">
        <v>125</v>
      </c>
      <c r="E1087" s="16" t="str">
        <f>IFERROR(_xlfn.XLOOKUP(D1087, tblCourses[CourseID], tblCourses[CourseName], ""), "")</f>
        <v>Aviation Security (Refresher)</v>
      </c>
      <c r="F1087" s="17">
        <v>46142</v>
      </c>
      <c r="G1087" s="17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87" s="15">
        <f ca="1">IF(OR(tblTraining[[#This Row],[Status]]="Renewed",tblTraining[[#This Row],[NextDueDate]]=""),"",tblTraining[[#This Row],[NextDueDate]]-TODAY())</f>
        <v>587</v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390</v>
      </c>
      <c r="C1088" s="15" t="str" cm="1">
        <f t="array" ref="C1088">IFERROR(_xlfn.XLOOKUP(B1088, tblPeople[PersonID], tblPeople[PersonName], ""), "")</f>
        <v>Benson Gitahi</v>
      </c>
      <c r="D1088" s="15" t="s">
        <v>32</v>
      </c>
      <c r="E1088" s="16" t="str">
        <f>IFERROR(_xlfn.XLOOKUP(D1088, tblCourses[CourseID], tblCourses[CourseName], ""), "")</f>
        <v>Dangerous Goods Regulations (CBTA 7.3) (Initial)</v>
      </c>
      <c r="F1088" s="17">
        <v>46153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390</v>
      </c>
      <c r="C1089" s="15" t="str" cm="1">
        <f t="array" ref="C1089">IFERROR(_xlfn.XLOOKUP(B1089, tblPeople[PersonID], tblPeople[PersonName], ""), "")</f>
        <v>Benson Gitahi</v>
      </c>
      <c r="D1089" s="15" t="s">
        <v>30</v>
      </c>
      <c r="E1089" s="16" t="str">
        <f>IFERROR(_xlfn.XLOOKUP(D1089, tblCourses[CourseID], tblCourses[CourseName], ""), "")</f>
        <v>Dangerous Goods Regulations (CBTA 7.3) (Refresher)</v>
      </c>
      <c r="F1089" s="17">
        <v>46153</v>
      </c>
      <c r="G1089" s="17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89" s="15">
        <f ca="1">IF(OR(tblTraining[[#This Row],[Status]]="Renewed",tblTraining[[#This Row],[NextDueDate]]=""),"",tblTraining[[#This Row],[NextDueDate]]-TODAY())</f>
        <v>598</v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402</v>
      </c>
      <c r="C1090" s="15" t="str" cm="1">
        <f t="array" ref="C1090">IFERROR(_xlfn.XLOOKUP(B1090, tblPeople[PersonID], tblPeople[PersonName], ""), "")</f>
        <v>Venessa Ikileng'</v>
      </c>
      <c r="D1090" s="15" t="s">
        <v>32</v>
      </c>
      <c r="E1090" s="16" t="str">
        <f>IFERROR(_xlfn.XLOOKUP(D1090, tblCourses[CourseID], tblCourses[CourseName], ""), "")</f>
        <v>Dangerous Goods Regulations (CBTA 7.3) (Initial)</v>
      </c>
      <c r="F1090" s="17">
        <v>46153</v>
      </c>
      <c r="G1090" s="17" t="str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0" s="15" t="str">
        <f ca="1">IF(OR(tblTraining[[#This Row],[Status]]="Renewed",tblTraining[[#This Row],[NextDueDate]]=""),"",tblTraining[[#This Row],[NextDueDate]]-TODAY())</f>
        <v/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402</v>
      </c>
      <c r="C1091" s="15" t="str" cm="1">
        <f t="array" ref="C1091">IFERROR(_xlfn.XLOOKUP(B1091, tblPeople[PersonID], tblPeople[PersonName], ""), "")</f>
        <v>Venessa Ikileng'</v>
      </c>
      <c r="D1091" s="15" t="s">
        <v>30</v>
      </c>
      <c r="E1091" s="16" t="str">
        <f>IFERROR(_xlfn.XLOOKUP(D1091, tblCourses[CourseID], tblCourses[CourseName], ""), "")</f>
        <v>Dangerous Goods Regulations (CBTA 7.3) (Refresher)</v>
      </c>
      <c r="F1091" s="17">
        <v>46153</v>
      </c>
      <c r="G1091" s="17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1" s="15">
        <f ca="1">IF(OR(tblTraining[[#This Row],[Status]]="Renewed",tblTraining[[#This Row],[NextDueDate]]=""),"",tblTraining[[#This Row],[NextDueDate]]-TODAY())</f>
        <v>598</v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403</v>
      </c>
      <c r="C1092" s="15" t="str" cm="1">
        <f t="array" ref="C1092">IFERROR(_xlfn.XLOOKUP(B1092, tblPeople[PersonID], tblPeople[PersonName], ""), "")</f>
        <v>Prudence Muhami</v>
      </c>
      <c r="D1092" s="15" t="s">
        <v>32</v>
      </c>
      <c r="E1092" s="16" t="str">
        <f>IFERROR(_xlfn.XLOOKUP(D1092, tblCourses[CourseID], tblCourses[CourseName], ""), "")</f>
        <v>Dangerous Goods Regulations (CBTA 7.3) (Initial)</v>
      </c>
      <c r="F1092" s="17">
        <v>46153</v>
      </c>
      <c r="G1092" s="17" t="str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2" s="15" t="str">
        <f ca="1">IF(OR(tblTraining[[#This Row],[Status]]="Renewed",tblTraining[[#This Row],[NextDueDate]]=""),"",tblTraining[[#This Row],[NextDueDate]]-TODAY())</f>
        <v/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403</v>
      </c>
      <c r="C1093" s="15" t="str" cm="1">
        <f t="array" ref="C1093">IFERROR(_xlfn.XLOOKUP(B1093, tblPeople[PersonID], tblPeople[PersonName], ""), "")</f>
        <v>Prudence Muhami</v>
      </c>
      <c r="D1093" s="15" t="s">
        <v>30</v>
      </c>
      <c r="E1093" s="16" t="str">
        <f>IFERROR(_xlfn.XLOOKUP(D1093, tblCourses[CourseID], tblCourses[CourseName], ""), "")</f>
        <v>Dangerous Goods Regulations (CBTA 7.3) (Refresher)</v>
      </c>
      <c r="F1093" s="17">
        <v>46153</v>
      </c>
      <c r="G1093" s="17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3" s="15">
        <f ca="1">IF(OR(tblTraining[[#This Row],[Status]]="Renewed",tblTraining[[#This Row],[NextDueDate]]=""),"",tblTraining[[#This Row],[NextDueDate]]-TODAY())</f>
        <v>598</v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406</v>
      </c>
      <c r="C1094" s="15" t="str" cm="1">
        <f t="array" ref="C1094">IFERROR(_xlfn.XLOOKUP(B1094, tblPeople[PersonID], tblPeople[PersonName], ""), "")</f>
        <v>James Muisyo</v>
      </c>
      <c r="D1094" s="15" t="s">
        <v>32</v>
      </c>
      <c r="E1094" s="16" t="str">
        <f>IFERROR(_xlfn.XLOOKUP(D1094, tblCourses[CourseID], tblCourses[CourseName], ""), "")</f>
        <v>Dangerous Goods Regulations (CBTA 7.3) (Initial)</v>
      </c>
      <c r="F1094" s="17">
        <v>46153</v>
      </c>
      <c r="G1094" s="17" t="str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4" s="15" t="str">
        <f ca="1">IF(OR(tblTraining[[#This Row],[Status]]="Renewed",tblTraining[[#This Row],[NextDueDate]]=""),"",tblTraining[[#This Row],[NextDueDate]]-TODAY())</f>
        <v/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406</v>
      </c>
      <c r="C1095" s="15" t="str" cm="1">
        <f t="array" ref="C1095">IFERROR(_xlfn.XLOOKUP(B1095, tblPeople[PersonID], tblPeople[PersonName], ""), "")</f>
        <v>James Muisyo</v>
      </c>
      <c r="D1095" s="15" t="s">
        <v>30</v>
      </c>
      <c r="E1095" s="16" t="str">
        <f>IFERROR(_xlfn.XLOOKUP(D1095, tblCourses[CourseID], tblCourses[CourseName], ""), "")</f>
        <v>Dangerous Goods Regulations (CBTA 7.3) (Refresher)</v>
      </c>
      <c r="F1095" s="17">
        <v>46153</v>
      </c>
      <c r="G1095" s="17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5" s="15">
        <f ca="1">IF(OR(tblTraining[[#This Row],[Status]]="Renewed",tblTraining[[#This Row],[NextDueDate]]=""),"",tblTraining[[#This Row],[NextDueDate]]-TODAY())</f>
        <v>598</v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435</v>
      </c>
      <c r="C1096" s="15" t="str" cm="1">
        <f t="array" ref="C1096">IFERROR(_xlfn.XLOOKUP(B1096, tblPeople[PersonID], tblPeople[PersonName], ""), "")</f>
        <v>Mary Chelagat</v>
      </c>
      <c r="D1096" s="15" t="s">
        <v>32</v>
      </c>
      <c r="E1096" s="16" t="str">
        <f>IFERROR(_xlfn.XLOOKUP(D1096, tblCourses[CourseID], tblCourses[CourseName], ""), "")</f>
        <v>Dangerous Goods Regulations (CBTA 7.3) (Initial)</v>
      </c>
      <c r="F1096" s="17">
        <v>44116</v>
      </c>
      <c r="G1096" s="17" t="str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6" s="15" t="str">
        <f ca="1">IF(OR(tblTraining[[#This Row],[Status]]="Renewed",tblTraining[[#This Row],[NextDueDate]]=""),"",tblTraining[[#This Row],[NextDueDate]]-TODAY())</f>
        <v/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435</v>
      </c>
      <c r="C1097" s="15" t="str" cm="1">
        <f t="array" ref="C1097">IFERROR(_xlfn.XLOOKUP(B1097, tblPeople[PersonID], tblPeople[PersonName], ""), "")</f>
        <v>Mary Chelagat</v>
      </c>
      <c r="D1097" s="15" t="s">
        <v>30</v>
      </c>
      <c r="E1097" s="16" t="str">
        <f>IFERROR(_xlfn.XLOOKUP(D1097, tblCourses[CourseID], tblCourses[CourseName], ""), "")</f>
        <v>Dangerous Goods Regulations (CBTA 7.3) (Refresher)</v>
      </c>
      <c r="F1097" s="17">
        <v>46153</v>
      </c>
      <c r="G1097" s="17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7" s="15">
        <f ca="1">IF(OR(tblTraining[[#This Row],[Status]]="Renewed",tblTraining[[#This Row],[NextDueDate]]=""),"",tblTraining[[#This Row],[NextDueDate]]-TODAY())</f>
        <v>598</v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436</v>
      </c>
      <c r="C1098" s="15" t="str" cm="1">
        <f t="array" ref="C1098">IFERROR(_xlfn.XLOOKUP(B1098, tblPeople[PersonID], tblPeople[PersonName], ""), "")</f>
        <v>Alfred Okudo</v>
      </c>
      <c r="D1098" s="15" t="s">
        <v>32</v>
      </c>
      <c r="E1098" s="16" t="str">
        <f>IFERROR(_xlfn.XLOOKUP(D1098, tblCourses[CourseID], tblCourses[CourseName], ""), "")</f>
        <v>Dangerous Goods Regulations (CBTA 7.3) (Initial)</v>
      </c>
      <c r="F1098" s="17">
        <v>46153</v>
      </c>
      <c r="G1098" s="17" t="str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8" s="15" t="str">
        <f ca="1">IF(OR(tblTraining[[#This Row],[Status]]="Renewed",tblTraining[[#This Row],[NextDueDate]]=""),"",tblTraining[[#This Row],[NextDueDate]]-TODAY())</f>
        <v/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436</v>
      </c>
      <c r="C1099" s="15" t="str" cm="1">
        <f t="array" ref="C1099">IFERROR(_xlfn.XLOOKUP(B1099, tblPeople[PersonID], tblPeople[PersonName], ""), "")</f>
        <v>Alfred Okudo</v>
      </c>
      <c r="D1099" s="15" t="s">
        <v>30</v>
      </c>
      <c r="E1099" s="16" t="str">
        <f>IFERROR(_xlfn.XLOOKUP(D1099, tblCourses[CourseID], tblCourses[CourseName], ""), "")</f>
        <v>Dangerous Goods Regulations (CBTA 7.3) (Refresher)</v>
      </c>
      <c r="F1099" s="17">
        <v>46153</v>
      </c>
      <c r="G1099" s="17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099" s="15">
        <f ca="1">IF(OR(tblTraining[[#This Row],[Status]]="Renewed",tblTraining[[#This Row],[NextDueDate]]=""),"",tblTraining[[#This Row],[NextDueDate]]-TODAY())</f>
        <v>598</v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437</v>
      </c>
      <c r="C1100" s="15" t="str" cm="1">
        <f t="array" ref="C1100">IFERROR(_xlfn.XLOOKUP(B1100, tblPeople[PersonID], tblPeople[PersonName], ""), "")</f>
        <v>Martin Chege</v>
      </c>
      <c r="D1100" s="15" t="s">
        <v>32</v>
      </c>
      <c r="E1100" s="16" t="str">
        <f>IFERROR(_xlfn.XLOOKUP(D1100, tblCourses[CourseID], tblCourses[CourseName], ""), "")</f>
        <v>Dangerous Goods Regulations (CBTA 7.3) (Initial)</v>
      </c>
      <c r="F1100" s="17">
        <v>46153</v>
      </c>
      <c r="G1100" s="17" t="str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0" s="15" t="str">
        <f ca="1">IF(OR(tblTraining[[#This Row],[Status]]="Renewed",tblTraining[[#This Row],[NextDueDate]]=""),"",tblTraining[[#This Row],[NextDueDate]]-TODAY())</f>
        <v/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437</v>
      </c>
      <c r="C1101" s="15" t="str" cm="1">
        <f t="array" ref="C1101">IFERROR(_xlfn.XLOOKUP(B1101, tblPeople[PersonID], tblPeople[PersonName], ""), "")</f>
        <v>Martin Chege</v>
      </c>
      <c r="D1101" s="15" t="s">
        <v>30</v>
      </c>
      <c r="E1101" s="16" t="str">
        <f>IFERROR(_xlfn.XLOOKUP(D1101, tblCourses[CourseID], tblCourses[CourseName], ""), "")</f>
        <v>Dangerous Goods Regulations (CBTA 7.3) (Refresher)</v>
      </c>
      <c r="F1101" s="17">
        <v>46153</v>
      </c>
      <c r="G1101" s="17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1" s="15">
        <f ca="1">IF(OR(tblTraining[[#This Row],[Status]]="Renewed",tblTraining[[#This Row],[NextDueDate]]=""),"",tblTraining[[#This Row],[NextDueDate]]-TODAY())</f>
        <v>598</v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438</v>
      </c>
      <c r="C1102" s="15" t="str" cm="1">
        <f t="array" ref="C1102">IFERROR(_xlfn.XLOOKUP(B1102, tblPeople[PersonID], tblPeople[PersonName], ""), "")</f>
        <v>Brian Muga</v>
      </c>
      <c r="D1102" s="15" t="s">
        <v>32</v>
      </c>
      <c r="E1102" s="16" t="str">
        <f>IFERROR(_xlfn.XLOOKUP(D1102, tblCourses[CourseID], tblCourses[CourseName], ""), "")</f>
        <v>Dangerous Goods Regulations (CBTA 7.3) (Initial)</v>
      </c>
      <c r="F1102" s="17">
        <v>46153</v>
      </c>
      <c r="G1102" s="17" t="str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2" s="15" t="str">
        <f ca="1">IF(OR(tblTraining[[#This Row],[Status]]="Renewed",tblTraining[[#This Row],[NextDueDate]]=""),"",tblTraining[[#This Row],[NextDueDate]]-TODAY())</f>
        <v/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438</v>
      </c>
      <c r="C1103" s="15" t="str" cm="1">
        <f t="array" ref="C1103">IFERROR(_xlfn.XLOOKUP(B1103, tblPeople[PersonID], tblPeople[PersonName], ""), "")</f>
        <v>Brian Muga</v>
      </c>
      <c r="D1103" s="15" t="s">
        <v>30</v>
      </c>
      <c r="E1103" s="16" t="str">
        <f>IFERROR(_xlfn.XLOOKUP(D1103, tblCourses[CourseID], tblCourses[CourseName], ""), "")</f>
        <v>Dangerous Goods Regulations (CBTA 7.3) (Refresher)</v>
      </c>
      <c r="F1103" s="17">
        <v>46153</v>
      </c>
      <c r="G1103" s="17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3" s="15">
        <f ca="1">IF(OR(tblTraining[[#This Row],[Status]]="Renewed",tblTraining[[#This Row],[NextDueDate]]=""),"",tblTraining[[#This Row],[NextDueDate]]-TODAY())</f>
        <v>598</v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443</v>
      </c>
      <c r="C1104" s="15" t="str" cm="1">
        <f t="array" ref="C1104">IFERROR(_xlfn.XLOOKUP(B1104, tblPeople[PersonID], tblPeople[PersonName], ""), "")</f>
        <v>Evans Maingi</v>
      </c>
      <c r="D1104" s="15" t="s">
        <v>32</v>
      </c>
      <c r="E1104" s="16" t="str">
        <f>IFERROR(_xlfn.XLOOKUP(D1104, tblCourses[CourseID], tblCourses[CourseName], ""), "")</f>
        <v>Dangerous Goods Regulations (CBTA 7.3) (Initial)</v>
      </c>
      <c r="F1104" s="17">
        <v>46153</v>
      </c>
      <c r="G1104" s="17" t="str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4" s="15" t="str">
        <f ca="1">IF(OR(tblTraining[[#This Row],[Status]]="Renewed",tblTraining[[#This Row],[NextDueDate]]=""),"",tblTraining[[#This Row],[NextDueDate]]-TODAY())</f>
        <v/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443</v>
      </c>
      <c r="C1105" s="15" t="str" cm="1">
        <f t="array" ref="C1105">IFERROR(_xlfn.XLOOKUP(B1105, tblPeople[PersonID], tblPeople[PersonName], ""), "")</f>
        <v>Evans Maingi</v>
      </c>
      <c r="D1105" s="15" t="s">
        <v>30</v>
      </c>
      <c r="E1105" s="16" t="str">
        <f>IFERROR(_xlfn.XLOOKUP(D1105, tblCourses[CourseID], tblCourses[CourseName], ""), "")</f>
        <v>Dangerous Goods Regulations (CBTA 7.3) (Refresher)</v>
      </c>
      <c r="F1105" s="17">
        <v>46153</v>
      </c>
      <c r="G1105" s="17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5" s="15">
        <f ca="1">IF(OR(tblTraining[[#This Row],[Status]]="Renewed",tblTraining[[#This Row],[NextDueDate]]=""),"",tblTraining[[#This Row],[NextDueDate]]-TODAY())</f>
        <v>598</v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440</v>
      </c>
      <c r="C1106" s="15" t="str" cm="1">
        <f t="array" ref="C1106">IFERROR(_xlfn.XLOOKUP(B1106, tblPeople[PersonID], tblPeople[PersonName], ""), "")</f>
        <v>Francis Mutonga</v>
      </c>
      <c r="D1106" s="15" t="s">
        <v>32</v>
      </c>
      <c r="E1106" s="16" t="str">
        <f>IFERROR(_xlfn.XLOOKUP(D1106, tblCourses[CourseID], tblCourses[CourseName], ""), "")</f>
        <v>Dangerous Goods Regulations (CBTA 7.3) (Initial)</v>
      </c>
      <c r="F1106" s="17">
        <v>46153</v>
      </c>
      <c r="G1106" s="17" t="str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6" s="15" t="str">
        <f ca="1">IF(OR(tblTraining[[#This Row],[Status]]="Renewed",tblTraining[[#This Row],[NextDueDate]]=""),"",tblTraining[[#This Row],[NextDueDate]]-TODAY())</f>
        <v/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440</v>
      </c>
      <c r="C1107" s="15" t="str" cm="1">
        <f t="array" ref="C1107">IFERROR(_xlfn.XLOOKUP(B1107, tblPeople[PersonID], tblPeople[PersonName], ""), "")</f>
        <v>Francis Mutonga</v>
      </c>
      <c r="D1107" s="15" t="s">
        <v>30</v>
      </c>
      <c r="E1107" s="16" t="str">
        <f>IFERROR(_xlfn.XLOOKUP(D1107, tblCourses[CourseID], tblCourses[CourseName], ""), "")</f>
        <v>Dangerous Goods Regulations (CBTA 7.3) (Refresher)</v>
      </c>
      <c r="F1107" s="17">
        <v>46153</v>
      </c>
      <c r="G1107" s="17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07" s="15">
        <f ca="1">IF(OR(tblTraining[[#This Row],[Status]]="Renewed",tblTraining[[#This Row],[NextDueDate]]=""),"",tblTraining[[#This Row],[NextDueDate]]-TODAY())</f>
        <v>598</v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135</v>
      </c>
      <c r="C1108" s="15" t="str" cm="1">
        <f t="array" ref="C1108">IFERROR(_xlfn.XLOOKUP(B1108, tblPeople[PersonID], tblPeople[PersonName], ""), "")</f>
        <v>Francis Muriuki</v>
      </c>
      <c r="D1108" s="15" t="s">
        <v>175</v>
      </c>
      <c r="E1108" s="16" t="str">
        <f>IFERROR(_xlfn.XLOOKUP(D1108, tblCourses[CourseID], tblCourses[CourseName], ""), "")</f>
        <v>Aircraft Maintenance Engineers' Licence</v>
      </c>
      <c r="F1108" s="17">
        <v>46147</v>
      </c>
      <c r="G1108" s="17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08" s="15">
        <f ca="1">IF(OR(tblTraining[[#This Row],[Status]]="Renewed",tblTraining[[#This Row],[NextDueDate]]=""),"",tblTraining[[#This Row],[NextDueDate]]-TODAY())</f>
        <v>592</v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390</v>
      </c>
      <c r="C1109" s="15" t="str" cm="1">
        <f t="array" ref="C1109">IFERROR(_xlfn.XLOOKUP(B1109, tblPeople[PersonID], tblPeople[PersonName], ""), "")</f>
        <v>Benson Gitahi</v>
      </c>
      <c r="D1109" s="15" t="s">
        <v>20</v>
      </c>
      <c r="E1109" s="16" t="str">
        <f>IFERROR(_xlfn.XLOOKUP(D1109, tblCourses[CourseID], tblCourses[CourseName], ""), "")</f>
        <v>Safety Management Systems (Initial)</v>
      </c>
      <c r="F1109" s="17">
        <v>46147</v>
      </c>
      <c r="G1109" s="17" t="str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9" s="15" t="str">
        <f ca="1">IF(OR(tblTraining[[#This Row],[Status]]="Renewed",tblTraining[[#This Row],[NextDueDate]]=""),"",tblTraining[[#This Row],[NextDueDate]]-TODAY())</f>
        <v/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390</v>
      </c>
      <c r="C1110" s="15" t="str" cm="1">
        <f t="array" ref="C1110">IFERROR(_xlfn.XLOOKUP(B1110, tblPeople[PersonID], tblPeople[PersonName], ""), "")</f>
        <v>Benson Gitahi</v>
      </c>
      <c r="D1110" s="15" t="s">
        <v>17</v>
      </c>
      <c r="E1110" s="16" t="str">
        <f>IFERROR(_xlfn.XLOOKUP(D1110, tblCourses[CourseID], tblCourses[CourseName], ""), "")</f>
        <v>Safety Management Systems (Refresher)</v>
      </c>
      <c r="F1110" s="17">
        <v>46147</v>
      </c>
      <c r="G1110" s="17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0" s="15">
        <f ca="1">IF(OR(tblTraining[[#This Row],[Status]]="Renewed",tblTraining[[#This Row],[NextDueDate]]=""),"",tblTraining[[#This Row],[NextDueDate]]-TODAY())</f>
        <v>592</v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402</v>
      </c>
      <c r="C1111" s="15" t="str" cm="1">
        <f t="array" ref="C1111">IFERROR(_xlfn.XLOOKUP(B1111, tblPeople[PersonID], tblPeople[PersonName], ""), "")</f>
        <v>Venessa Ikileng'</v>
      </c>
      <c r="D1111" s="15" t="s">
        <v>20</v>
      </c>
      <c r="E1111" s="16" t="str">
        <f>IFERROR(_xlfn.XLOOKUP(D1111, tblCourses[CourseID], tblCourses[CourseName], ""), "")</f>
        <v>Safety Management Systems (Initial)</v>
      </c>
      <c r="F1111" s="17">
        <v>46147</v>
      </c>
      <c r="G1111" s="17" t="str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1" s="15" t="str">
        <f ca="1">IF(OR(tblTraining[[#This Row],[Status]]="Renewed",tblTraining[[#This Row],[NextDueDate]]=""),"",tblTraining[[#This Row],[NextDueDate]]-TODAY())</f>
        <v/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402</v>
      </c>
      <c r="C1112" s="15" t="str" cm="1">
        <f t="array" ref="C1112">IFERROR(_xlfn.XLOOKUP(B1112, tblPeople[PersonID], tblPeople[PersonName], ""), "")</f>
        <v>Venessa Ikileng'</v>
      </c>
      <c r="D1112" s="15" t="s">
        <v>17</v>
      </c>
      <c r="E1112" s="16" t="str">
        <f>IFERROR(_xlfn.XLOOKUP(D1112, tblCourses[CourseID], tblCourses[CourseName], ""), "")</f>
        <v>Safety Management Systems (Refresher)</v>
      </c>
      <c r="F1112" s="17">
        <v>46147</v>
      </c>
      <c r="G1112" s="17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2" s="15">
        <f ca="1">IF(OR(tblTraining[[#This Row],[Status]]="Renewed",tblTraining[[#This Row],[NextDueDate]]=""),"",tblTraining[[#This Row],[NextDueDate]]-TODAY())</f>
        <v>592</v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403</v>
      </c>
      <c r="C1113" s="15" t="str" cm="1">
        <f t="array" ref="C1113">IFERROR(_xlfn.XLOOKUP(B1113, tblPeople[PersonID], tblPeople[PersonName], ""), "")</f>
        <v>Prudence Muhami</v>
      </c>
      <c r="D1113" s="15" t="s">
        <v>20</v>
      </c>
      <c r="E1113" s="16" t="str">
        <f>IFERROR(_xlfn.XLOOKUP(D1113, tblCourses[CourseID], tblCourses[CourseName], ""), "")</f>
        <v>Safety Management Systems (Initial)</v>
      </c>
      <c r="F1113" s="17">
        <v>46147</v>
      </c>
      <c r="G1113" s="17" t="str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3" s="15" t="str">
        <f ca="1">IF(OR(tblTraining[[#This Row],[Status]]="Renewed",tblTraining[[#This Row],[NextDueDate]]=""),"",tblTraining[[#This Row],[NextDueDate]]-TODAY())</f>
        <v/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403</v>
      </c>
      <c r="C1114" s="15" t="str" cm="1">
        <f t="array" ref="C1114">IFERROR(_xlfn.XLOOKUP(B1114, tblPeople[PersonID], tblPeople[PersonName], ""), "")</f>
        <v>Prudence Muhami</v>
      </c>
      <c r="D1114" s="15" t="s">
        <v>17</v>
      </c>
      <c r="E1114" s="16" t="str">
        <f>IFERROR(_xlfn.XLOOKUP(D1114, tblCourses[CourseID], tblCourses[CourseName], ""), "")</f>
        <v>Safety Management Systems (Refresher)</v>
      </c>
      <c r="F1114" s="17">
        <v>46147</v>
      </c>
      <c r="G1114" s="17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4" s="15">
        <f ca="1">IF(OR(tblTraining[[#This Row],[Status]]="Renewed",tblTraining[[#This Row],[NextDueDate]]=""),"",tblTraining[[#This Row],[NextDueDate]]-TODAY())</f>
        <v>592</v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406</v>
      </c>
      <c r="C1115" s="15" t="str" cm="1">
        <f t="array" ref="C1115">IFERROR(_xlfn.XLOOKUP(B1115, tblPeople[PersonID], tblPeople[PersonName], ""), "")</f>
        <v>James Muisyo</v>
      </c>
      <c r="D1115" s="15" t="s">
        <v>20</v>
      </c>
      <c r="E1115" s="16" t="str">
        <f>IFERROR(_xlfn.XLOOKUP(D1115, tblCourses[CourseID], tblCourses[CourseName], ""), "")</f>
        <v>Safety Management Systems (Initial)</v>
      </c>
      <c r="F1115" s="17">
        <v>46147</v>
      </c>
      <c r="G1115" s="17" t="str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5" s="15" t="str">
        <f ca="1">IF(OR(tblTraining[[#This Row],[Status]]="Renewed",tblTraining[[#This Row],[NextDueDate]]=""),"",tblTraining[[#This Row],[NextDueDate]]-TODAY())</f>
        <v/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406</v>
      </c>
      <c r="C1116" s="15" t="str" cm="1">
        <f t="array" ref="C1116">IFERROR(_xlfn.XLOOKUP(B1116, tblPeople[PersonID], tblPeople[PersonName], ""), "")</f>
        <v>James Muisyo</v>
      </c>
      <c r="D1116" s="15" t="s">
        <v>17</v>
      </c>
      <c r="E1116" s="16" t="str">
        <f>IFERROR(_xlfn.XLOOKUP(D1116, tblCourses[CourseID], tblCourses[CourseName], ""), "")</f>
        <v>Safety Management Systems (Refresher)</v>
      </c>
      <c r="F1116" s="17">
        <v>46147</v>
      </c>
      <c r="G1116" s="17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6" s="15">
        <f ca="1">IF(OR(tblTraining[[#This Row],[Status]]="Renewed",tblTraining[[#This Row],[NextDueDate]]=""),"",tblTraining[[#This Row],[NextDueDate]]-TODAY())</f>
        <v>592</v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435</v>
      </c>
      <c r="C1117" s="15" t="str" cm="1">
        <f t="array" ref="C1117">IFERROR(_xlfn.XLOOKUP(B1117, tblPeople[PersonID], tblPeople[PersonName], ""), "")</f>
        <v>Mary Chelagat</v>
      </c>
      <c r="D1117" s="15" t="s">
        <v>20</v>
      </c>
      <c r="E1117" s="16" t="str">
        <f>IFERROR(_xlfn.XLOOKUP(D1117, tblCourses[CourseID], tblCourses[CourseName], ""), "")</f>
        <v>Safety Management Systems (Initial)</v>
      </c>
      <c r="F1117" s="17">
        <v>46147</v>
      </c>
      <c r="G1117" s="17" t="str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7" s="15" t="str">
        <f ca="1">IF(OR(tblTraining[[#This Row],[Status]]="Renewed",tblTraining[[#This Row],[NextDueDate]]=""),"",tblTraining[[#This Row],[NextDueDate]]-TODAY())</f>
        <v/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435</v>
      </c>
      <c r="C1118" s="15" t="str" cm="1">
        <f t="array" ref="C1118">IFERROR(_xlfn.XLOOKUP(B1118, tblPeople[PersonID], tblPeople[PersonName], ""), "")</f>
        <v>Mary Chelagat</v>
      </c>
      <c r="D1118" s="15" t="s">
        <v>17</v>
      </c>
      <c r="E1118" s="16" t="str">
        <f>IFERROR(_xlfn.XLOOKUP(D1118, tblCourses[CourseID], tblCourses[CourseName], ""), "")</f>
        <v>Safety Management Systems (Refresher)</v>
      </c>
      <c r="F1118" s="17">
        <v>46147</v>
      </c>
      <c r="G1118" s="17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18" s="15">
        <f ca="1">IF(OR(tblTraining[[#This Row],[Status]]="Renewed",tblTraining[[#This Row],[NextDueDate]]=""),"",tblTraining[[#This Row],[NextDueDate]]-TODAY())</f>
        <v>592</v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436</v>
      </c>
      <c r="C1119" s="15" t="str" cm="1">
        <f t="array" ref="C1119">IFERROR(_xlfn.XLOOKUP(B1119, tblPeople[PersonID], tblPeople[PersonName], ""), "")</f>
        <v>Alfred Okudo</v>
      </c>
      <c r="D1119" s="15" t="s">
        <v>20</v>
      </c>
      <c r="E1119" s="16" t="str">
        <f>IFERROR(_xlfn.XLOOKUP(D1119, tblCourses[CourseID], tblCourses[CourseName], ""), "")</f>
        <v>Safety Management Systems (Initial)</v>
      </c>
      <c r="F1119" s="17">
        <v>46147</v>
      </c>
      <c r="G1119" s="17" t="str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9" s="15" t="str">
        <f ca="1">IF(OR(tblTraining[[#This Row],[Status]]="Renewed",tblTraining[[#This Row],[NextDueDate]]=""),"",tblTraining[[#This Row],[NextDueDate]]-TODAY())</f>
        <v/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436</v>
      </c>
      <c r="C1120" s="15" t="str" cm="1">
        <f t="array" ref="C1120">IFERROR(_xlfn.XLOOKUP(B1120, tblPeople[PersonID], tblPeople[PersonName], ""), "")</f>
        <v>Alfred Okudo</v>
      </c>
      <c r="D1120" s="15" t="s">
        <v>17</v>
      </c>
      <c r="E1120" s="16" t="str">
        <f>IFERROR(_xlfn.XLOOKUP(D1120, tblCourses[CourseID], tblCourses[CourseName], ""), "")</f>
        <v>Safety Management Systems (Refresher)</v>
      </c>
      <c r="F1120" s="17">
        <v>46147</v>
      </c>
      <c r="G1120" s="17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0" s="15">
        <f ca="1">IF(OR(tblTraining[[#This Row],[Status]]="Renewed",tblTraining[[#This Row],[NextDueDate]]=""),"",tblTraining[[#This Row],[NextDueDate]]-TODAY())</f>
        <v>592</v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437</v>
      </c>
      <c r="C1121" s="15" t="str" cm="1">
        <f t="array" ref="C1121">IFERROR(_xlfn.XLOOKUP(B1121, tblPeople[PersonID], tblPeople[PersonName], ""), "")</f>
        <v>Martin Chege</v>
      </c>
      <c r="D1121" s="15" t="s">
        <v>20</v>
      </c>
      <c r="E1121" s="16" t="str">
        <f>IFERROR(_xlfn.XLOOKUP(D1121, tblCourses[CourseID], tblCourses[CourseName], ""), "")</f>
        <v>Safety Management Systems (Initial)</v>
      </c>
      <c r="F1121" s="17">
        <v>46147</v>
      </c>
      <c r="G1121" s="17" t="str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1" s="15" t="str">
        <f ca="1">IF(OR(tblTraining[[#This Row],[Status]]="Renewed",tblTraining[[#This Row],[NextDueDate]]=""),"",tblTraining[[#This Row],[NextDueDate]]-TODAY())</f>
        <v/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437</v>
      </c>
      <c r="C1122" s="15" t="str" cm="1">
        <f t="array" ref="C1122">IFERROR(_xlfn.XLOOKUP(B1122, tblPeople[PersonID], tblPeople[PersonName], ""), "")</f>
        <v>Martin Chege</v>
      </c>
      <c r="D1122" s="15" t="s">
        <v>17</v>
      </c>
      <c r="E1122" s="16" t="str">
        <f>IFERROR(_xlfn.XLOOKUP(D1122, tblCourses[CourseID], tblCourses[CourseName], ""), "")</f>
        <v>Safety Management Systems (Refresher)</v>
      </c>
      <c r="F1122" s="17">
        <v>46147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2" s="15">
        <f ca="1">IF(OR(tblTraining[[#This Row],[Status]]="Renewed",tblTraining[[#This Row],[NextDueDate]]=""),"",tblTraining[[#This Row],[NextDueDate]]-TODAY())</f>
        <v>592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438</v>
      </c>
      <c r="C1123" s="15" t="str" cm="1">
        <f t="array" ref="C1123">IFERROR(_xlfn.XLOOKUP(B1123, tblPeople[PersonID], tblPeople[PersonName], ""), "")</f>
        <v>Brian Muga</v>
      </c>
      <c r="D1123" s="15" t="s">
        <v>20</v>
      </c>
      <c r="E1123" s="16" t="str">
        <f>IFERROR(_xlfn.XLOOKUP(D1123, tblCourses[CourseID], tblCourses[CourseName], ""), "")</f>
        <v>Safety Management Systems (Initial)</v>
      </c>
      <c r="F1123" s="17">
        <v>46147</v>
      </c>
      <c r="G1123" s="17" t="str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3" s="15" t="str">
        <f ca="1">IF(OR(tblTraining[[#This Row],[Status]]="Renewed",tblTraining[[#This Row],[NextDueDate]]=""),"",tblTraining[[#This Row],[NextDueDate]]-TODAY())</f>
        <v/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438</v>
      </c>
      <c r="C1124" s="15" t="str" cm="1">
        <f t="array" ref="C1124">IFERROR(_xlfn.XLOOKUP(B1124, tblPeople[PersonID], tblPeople[PersonName], ""), "")</f>
        <v>Brian Muga</v>
      </c>
      <c r="D1124" s="15" t="s">
        <v>17</v>
      </c>
      <c r="E1124" s="16" t="str">
        <f>IFERROR(_xlfn.XLOOKUP(D1124, tblCourses[CourseID], tblCourses[CourseName], ""), "")</f>
        <v>Safety Management Systems (Refresher)</v>
      </c>
      <c r="F1124" s="17">
        <v>46147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4" s="15">
        <f ca="1">IF(OR(tblTraining[[#This Row],[Status]]="Renewed",tblTraining[[#This Row],[NextDueDate]]=""),"",tblTraining[[#This Row],[NextDueDate]]-TODAY())</f>
        <v>592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443</v>
      </c>
      <c r="C1125" s="15" t="str" cm="1">
        <f t="array" ref="C1125">IFERROR(_xlfn.XLOOKUP(B1125, tblPeople[PersonID], tblPeople[PersonName], ""), "")</f>
        <v>Evans Maingi</v>
      </c>
      <c r="D1125" s="15" t="s">
        <v>20</v>
      </c>
      <c r="E1125" s="16" t="str">
        <f>IFERROR(_xlfn.XLOOKUP(D1125, tblCourses[CourseID], tblCourses[CourseName], ""), "")</f>
        <v>Safety Management Systems (Initial)</v>
      </c>
      <c r="F1125" s="17">
        <v>46147</v>
      </c>
      <c r="G1125" s="17" t="str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5" s="15" t="str">
        <f ca="1">IF(OR(tblTraining[[#This Row],[Status]]="Renewed",tblTraining[[#This Row],[NextDueDate]]=""),"",tblTraining[[#This Row],[NextDueDate]]-TODAY())</f>
        <v/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443</v>
      </c>
      <c r="C1126" s="15" t="str" cm="1">
        <f t="array" ref="C1126">IFERROR(_xlfn.XLOOKUP(B1126, tblPeople[PersonID], tblPeople[PersonName], ""), "")</f>
        <v>Evans Maingi</v>
      </c>
      <c r="D1126" s="15" t="s">
        <v>17</v>
      </c>
      <c r="E1126" s="16" t="str">
        <f>IFERROR(_xlfn.XLOOKUP(D1126, tblCourses[CourseID], tblCourses[CourseName], ""), "")</f>
        <v>Safety Management Systems (Refresher)</v>
      </c>
      <c r="F1126" s="17">
        <v>46147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6" s="15">
        <f ca="1">IF(OR(tblTraining[[#This Row],[Status]]="Renewed",tblTraining[[#This Row],[NextDueDate]]=""),"",tblTraining[[#This Row],[NextDueDate]]-TODAY())</f>
        <v>592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440</v>
      </c>
      <c r="C1127" s="15" t="str" cm="1">
        <f t="array" ref="C1127">IFERROR(_xlfn.XLOOKUP(B1127, tblPeople[PersonID], tblPeople[PersonName], ""), "")</f>
        <v>Francis Mutonga</v>
      </c>
      <c r="D1127" s="15" t="s">
        <v>20</v>
      </c>
      <c r="E1127" s="16" t="str">
        <f>IFERROR(_xlfn.XLOOKUP(D1127, tblCourses[CourseID], tblCourses[CourseName], ""), "")</f>
        <v>Safety Management Systems (Initial)</v>
      </c>
      <c r="F1127" s="17">
        <v>46147</v>
      </c>
      <c r="G1127" s="17" t="str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7" s="15" t="str">
        <f ca="1">IF(OR(tblTraining[[#This Row],[Status]]="Renewed",tblTraining[[#This Row],[NextDueDate]]=""),"",tblTraining[[#This Row],[NextDueDate]]-TODAY())</f>
        <v/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440</v>
      </c>
      <c r="C1128" s="15" t="str" cm="1">
        <f t="array" ref="C1128">IFERROR(_xlfn.XLOOKUP(B1128, tblPeople[PersonID], tblPeople[PersonName], ""), "")</f>
        <v>Francis Mutonga</v>
      </c>
      <c r="D1128" s="15" t="s">
        <v>17</v>
      </c>
      <c r="E1128" s="16" t="str">
        <f>IFERROR(_xlfn.XLOOKUP(D1128, tblCourses[CourseID], tblCourses[CourseName], ""), "")</f>
        <v>Safety Management Systems (Refresher)</v>
      </c>
      <c r="F1128" s="17">
        <v>46147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8" s="15">
        <f ca="1">IF(OR(tblTraining[[#This Row],[Status]]="Renewed",tblTraining[[#This Row],[NextDueDate]]=""),"",tblTraining[[#This Row],[NextDueDate]]-TODAY())</f>
        <v>592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390</v>
      </c>
      <c r="C1129" s="15" t="str" cm="1">
        <f t="array" ref="C1129">IFERROR(_xlfn.XLOOKUP(B1129, tblPeople[PersonID], tblPeople[PersonName], ""), "")</f>
        <v>Benson Gitahi</v>
      </c>
      <c r="D1129" s="15" t="s">
        <v>445</v>
      </c>
      <c r="E1129" s="16" t="str">
        <f>IFERROR(_xlfn.XLOOKUP(D1129, tblCourses[CourseID], tblCourses[CourseName], ""), "")</f>
        <v>Emergency Response Plan Awareness</v>
      </c>
      <c r="F1129" s="17">
        <v>46150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29" s="15">
        <f ca="1">IF(OR(tblTraining[[#This Row],[Status]]="Renewed",tblTraining[[#This Row],[NextDueDate]]=""),"",tblTraining[[#This Row],[NextDueDate]]-TODAY())</f>
        <v>595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402</v>
      </c>
      <c r="C1130" s="15" t="str" cm="1">
        <f t="array" ref="C1130">IFERROR(_xlfn.XLOOKUP(B1130, tblPeople[PersonID], tblPeople[PersonName], ""), "")</f>
        <v>Venessa Ikileng'</v>
      </c>
      <c r="D1130" s="15" t="s">
        <v>445</v>
      </c>
      <c r="E1130" s="16" t="str">
        <f>IFERROR(_xlfn.XLOOKUP(D1130, tblCourses[CourseID], tblCourses[CourseName], ""), "")</f>
        <v>Emergency Response Plan Awareness</v>
      </c>
      <c r="F1130" s="17">
        <v>46150</v>
      </c>
      <c r="G1130" s="17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0" s="15">
        <f ca="1">IF(OR(tblTraining[[#This Row],[Status]]="Renewed",tblTraining[[#This Row],[NextDueDate]]=""),"",tblTraining[[#This Row],[NextDueDate]]-TODAY())</f>
        <v>595</v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403</v>
      </c>
      <c r="C1131" s="15" t="str" cm="1">
        <f t="array" ref="C1131">IFERROR(_xlfn.XLOOKUP(B1131, tblPeople[PersonID], tblPeople[PersonName], ""), "")</f>
        <v>Prudence Muhami</v>
      </c>
      <c r="D1131" s="15" t="s">
        <v>445</v>
      </c>
      <c r="E1131" s="16" t="str">
        <f>IFERROR(_xlfn.XLOOKUP(D1131, tblCourses[CourseID], tblCourses[CourseName], ""), "")</f>
        <v>Emergency Response Plan Awareness</v>
      </c>
      <c r="F1131" s="17">
        <v>46150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1" s="15">
        <f ca="1">IF(OR(tblTraining[[#This Row],[Status]]="Renewed",tblTraining[[#This Row],[NextDueDate]]=""),"",tblTraining[[#This Row],[NextDueDate]]-TODAY())</f>
        <v>595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406</v>
      </c>
      <c r="C1132" s="15" t="str" cm="1">
        <f t="array" ref="C1132">IFERROR(_xlfn.XLOOKUP(B1132, tblPeople[PersonID], tblPeople[PersonName], ""), "")</f>
        <v>James Muisyo</v>
      </c>
      <c r="D1132" s="15" t="s">
        <v>445</v>
      </c>
      <c r="E1132" s="16" t="str">
        <f>IFERROR(_xlfn.XLOOKUP(D1132, tblCourses[CourseID], tblCourses[CourseName], ""), "")</f>
        <v>Emergency Response Plan Awareness</v>
      </c>
      <c r="F1132" s="17">
        <v>46150</v>
      </c>
      <c r="G1132" s="17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2" s="15">
        <f ca="1">IF(OR(tblTraining[[#This Row],[Status]]="Renewed",tblTraining[[#This Row],[NextDueDate]]=""),"",tblTraining[[#This Row],[NextDueDate]]-TODAY())</f>
        <v>595</v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435</v>
      </c>
      <c r="C1133" s="15" t="str" cm="1">
        <f t="array" ref="C1133">IFERROR(_xlfn.XLOOKUP(B1133, tblPeople[PersonID], tblPeople[PersonName], ""), "")</f>
        <v>Mary Chelagat</v>
      </c>
      <c r="D1133" s="15" t="s">
        <v>445</v>
      </c>
      <c r="E1133" s="16" t="str">
        <f>IFERROR(_xlfn.XLOOKUP(D1133, tblCourses[CourseID], tblCourses[CourseName], ""), "")</f>
        <v>Emergency Response Plan Awareness</v>
      </c>
      <c r="F1133" s="17">
        <v>46150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3" s="15">
        <f ca="1">IF(OR(tblTraining[[#This Row],[Status]]="Renewed",tblTraining[[#This Row],[NextDueDate]]=""),"",tblTraining[[#This Row],[NextDueDate]]-TODAY())</f>
        <v>595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436</v>
      </c>
      <c r="C1134" s="15" t="str" cm="1">
        <f t="array" ref="C1134">IFERROR(_xlfn.XLOOKUP(B1134, tblPeople[PersonID], tblPeople[PersonName], ""), "")</f>
        <v>Alfred Okudo</v>
      </c>
      <c r="D1134" s="15" t="s">
        <v>445</v>
      </c>
      <c r="E1134" s="16" t="str">
        <f>IFERROR(_xlfn.XLOOKUP(D1134, tblCourses[CourseID], tblCourses[CourseName], ""), "")</f>
        <v>Emergency Response Plan Awareness</v>
      </c>
      <c r="F1134" s="17">
        <v>46150</v>
      </c>
      <c r="G1134" s="17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4" s="15">
        <f ca="1">IF(OR(tblTraining[[#This Row],[Status]]="Renewed",tblTraining[[#This Row],[NextDueDate]]=""),"",tblTraining[[#This Row],[NextDueDate]]-TODAY())</f>
        <v>595</v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437</v>
      </c>
      <c r="C1135" s="15" t="str" cm="1">
        <f t="array" ref="C1135">IFERROR(_xlfn.XLOOKUP(B1135, tblPeople[PersonID], tblPeople[PersonName], ""), "")</f>
        <v>Martin Chege</v>
      </c>
      <c r="D1135" s="15" t="s">
        <v>445</v>
      </c>
      <c r="E1135" s="16" t="str">
        <f>IFERROR(_xlfn.XLOOKUP(D1135, tblCourses[CourseID], tblCourses[CourseName], ""), "")</f>
        <v>Emergency Response Plan Awareness</v>
      </c>
      <c r="F1135" s="17">
        <v>46150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5" s="15">
        <f ca="1">IF(OR(tblTraining[[#This Row],[Status]]="Renewed",tblTraining[[#This Row],[NextDueDate]]=""),"",tblTraining[[#This Row],[NextDueDate]]-TODAY())</f>
        <v>595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438</v>
      </c>
      <c r="C1136" s="15" t="str" cm="1">
        <f t="array" ref="C1136">IFERROR(_xlfn.XLOOKUP(B1136, tblPeople[PersonID], tblPeople[PersonName], ""), "")</f>
        <v>Brian Muga</v>
      </c>
      <c r="D1136" s="15" t="s">
        <v>445</v>
      </c>
      <c r="E1136" s="16" t="str">
        <f>IFERROR(_xlfn.XLOOKUP(D1136, tblCourses[CourseID], tblCourses[CourseName], ""), "")</f>
        <v>Emergency Response Plan Awareness</v>
      </c>
      <c r="F1136" s="17">
        <v>46150</v>
      </c>
      <c r="G1136" s="17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6" s="15">
        <f ca="1">IF(OR(tblTraining[[#This Row],[Status]]="Renewed",tblTraining[[#This Row],[NextDueDate]]=""),"",tblTraining[[#This Row],[NextDueDate]]-TODAY())</f>
        <v>595</v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443</v>
      </c>
      <c r="C1137" s="15" t="str" cm="1">
        <f t="array" ref="C1137">IFERROR(_xlfn.XLOOKUP(B1137, tblPeople[PersonID], tblPeople[PersonName], ""), "")</f>
        <v>Evans Maingi</v>
      </c>
      <c r="D1137" s="15" t="s">
        <v>445</v>
      </c>
      <c r="E1137" s="16" t="str">
        <f>IFERROR(_xlfn.XLOOKUP(D1137, tblCourses[CourseID], tblCourses[CourseName], ""), "")</f>
        <v>Emergency Response Plan Awareness</v>
      </c>
      <c r="F1137" s="17">
        <v>46150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7" s="15">
        <f ca="1">IF(OR(tblTraining[[#This Row],[Status]]="Renewed",tblTraining[[#This Row],[NextDueDate]]=""),"",tblTraining[[#This Row],[NextDueDate]]-TODAY())</f>
        <v>595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440</v>
      </c>
      <c r="C1138" s="15" t="str" cm="1">
        <f t="array" ref="C1138">IFERROR(_xlfn.XLOOKUP(B1138, tblPeople[PersonID], tblPeople[PersonName], ""), "")</f>
        <v>Francis Mutonga</v>
      </c>
      <c r="D1138" s="15" t="s">
        <v>445</v>
      </c>
      <c r="E1138" s="16" t="str">
        <f>IFERROR(_xlfn.XLOOKUP(D1138, tblCourses[CourseID], tblCourses[CourseName], ""), "")</f>
        <v>Emergency Response Plan Awareness</v>
      </c>
      <c r="F1138" s="17">
        <v>46150</v>
      </c>
      <c r="G1138" s="17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38" s="15">
        <f ca="1">IF(OR(tblTraining[[#This Row],[Status]]="Renewed",tblTraining[[#This Row],[NextDueDate]]=""),"",tblTraining[[#This Row],[NextDueDate]]-TODAY())</f>
        <v>595</v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390</v>
      </c>
      <c r="C1139" s="15" t="str" cm="1">
        <f t="array" ref="C1139">IFERROR(_xlfn.XLOOKUP(B1139, tblPeople[PersonID], tblPeople[PersonName], ""), "")</f>
        <v>Benson Gitahi</v>
      </c>
      <c r="D1139" s="15" t="s">
        <v>353</v>
      </c>
      <c r="E1139" s="16" t="str">
        <f>IFERROR(_xlfn.XLOOKUP(D1139, tblCourses[CourseID], tblCourses[CourseName], ""), "")</f>
        <v>Maintenance Procedures &amp; Standard Maintenance Practices (Initial)</v>
      </c>
      <c r="F1139" s="17">
        <v>46155</v>
      </c>
      <c r="G1139" s="17" t="str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9" s="15" t="str">
        <f ca="1">IF(OR(tblTraining[[#This Row],[Status]]="Renewed",tblTraining[[#This Row],[NextDueDate]]=""),"",tblTraining[[#This Row],[NextDueDate]]-TODAY())</f>
        <v/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390</v>
      </c>
      <c r="C1140" s="15" t="str" cm="1">
        <f t="array" ref="C1140">IFERROR(_xlfn.XLOOKUP(B1140, tblPeople[PersonID], tblPeople[PersonName], ""), "")</f>
        <v>Benson Gitahi</v>
      </c>
      <c r="D1140" s="15" t="s">
        <v>198</v>
      </c>
      <c r="E1140" s="16" t="str">
        <f>IFERROR(_xlfn.XLOOKUP(D1140, tblCourses[CourseID], tblCourses[CourseName], ""), "")</f>
        <v>Maintenance Procedures &amp; Standard Maintenance Practices (Refresher)</v>
      </c>
      <c r="F1140" s="17">
        <v>46155</v>
      </c>
      <c r="G1140" s="17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0" s="15">
        <f ca="1">IF(OR(tblTraining[[#This Row],[Status]]="Renewed",tblTraining[[#This Row],[NextDueDate]]=""),"",tblTraining[[#This Row],[NextDueDate]]-TODAY())</f>
        <v>600</v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402</v>
      </c>
      <c r="C1141" s="15" t="str" cm="1">
        <f t="array" ref="C1141">IFERROR(_xlfn.XLOOKUP(B1141, tblPeople[PersonID], tblPeople[PersonName], ""), "")</f>
        <v>Venessa Ikileng'</v>
      </c>
      <c r="D1141" s="15" t="s">
        <v>353</v>
      </c>
      <c r="E1141" s="16" t="str">
        <f>IFERROR(_xlfn.XLOOKUP(D1141, tblCourses[CourseID], tblCourses[CourseName], ""), "")</f>
        <v>Maintenance Procedures &amp; Standard Maintenance Practices (Initial)</v>
      </c>
      <c r="F1141" s="17">
        <v>46155</v>
      </c>
      <c r="G1141" s="17" t="str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1" s="15" t="str">
        <f ca="1">IF(OR(tblTraining[[#This Row],[Status]]="Renewed",tblTraining[[#This Row],[NextDueDate]]=""),"",tblTraining[[#This Row],[NextDueDate]]-TODAY())</f>
        <v/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402</v>
      </c>
      <c r="C1142" s="15" t="str" cm="1">
        <f t="array" ref="C1142">IFERROR(_xlfn.XLOOKUP(B1142, tblPeople[PersonID], tblPeople[PersonName], ""), "")</f>
        <v>Venessa Ikileng'</v>
      </c>
      <c r="D1142" s="15" t="s">
        <v>198</v>
      </c>
      <c r="E1142" s="16" t="str">
        <f>IFERROR(_xlfn.XLOOKUP(D1142, tblCourses[CourseID], tblCourses[CourseName], ""), "")</f>
        <v>Maintenance Procedures &amp; Standard Maintenance Practices (Refresher)</v>
      </c>
      <c r="F1142" s="17">
        <v>46155</v>
      </c>
      <c r="G1142" s="17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2" s="15">
        <f ca="1">IF(OR(tblTraining[[#This Row],[Status]]="Renewed",tblTraining[[#This Row],[NextDueDate]]=""),"",tblTraining[[#This Row],[NextDueDate]]-TODAY())</f>
        <v>600</v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403</v>
      </c>
      <c r="C1143" s="15" t="str" cm="1">
        <f t="array" ref="C1143">IFERROR(_xlfn.XLOOKUP(B1143, tblPeople[PersonID], tblPeople[PersonName], ""), "")</f>
        <v>Prudence Muhami</v>
      </c>
      <c r="D1143" s="15" t="s">
        <v>353</v>
      </c>
      <c r="E1143" s="16" t="str">
        <f>IFERROR(_xlfn.XLOOKUP(D1143, tblCourses[CourseID], tblCourses[CourseName], ""), "")</f>
        <v>Maintenance Procedures &amp; Standard Maintenance Practices (Initial)</v>
      </c>
      <c r="F1143" s="17">
        <v>46155</v>
      </c>
      <c r="G1143" s="17" t="str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3" s="15" t="str">
        <f ca="1">IF(OR(tblTraining[[#This Row],[Status]]="Renewed",tblTraining[[#This Row],[NextDueDate]]=""),"",tblTraining[[#This Row],[NextDueDate]]-TODAY())</f>
        <v/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403</v>
      </c>
      <c r="C1144" s="15" t="str" cm="1">
        <f t="array" ref="C1144">IFERROR(_xlfn.XLOOKUP(B1144, tblPeople[PersonID], tblPeople[PersonName], ""), "")</f>
        <v>Prudence Muhami</v>
      </c>
      <c r="D1144" s="15" t="s">
        <v>198</v>
      </c>
      <c r="E1144" s="16" t="str">
        <f>IFERROR(_xlfn.XLOOKUP(D1144, tblCourses[CourseID], tblCourses[CourseName], ""), "")</f>
        <v>Maintenance Procedures &amp; Standard Maintenance Practices (Refresher)</v>
      </c>
      <c r="F1144" s="17">
        <v>46155</v>
      </c>
      <c r="G1144" s="17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4" s="15">
        <f ca="1">IF(OR(tblTraining[[#This Row],[Status]]="Renewed",tblTraining[[#This Row],[NextDueDate]]=""),"",tblTraining[[#This Row],[NextDueDate]]-TODAY())</f>
        <v>600</v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406</v>
      </c>
      <c r="C1145" s="15" t="str" cm="1">
        <f t="array" ref="C1145">IFERROR(_xlfn.XLOOKUP(B1145, tblPeople[PersonID], tblPeople[PersonName], ""), "")</f>
        <v>James Muisyo</v>
      </c>
      <c r="D1145" s="15" t="s">
        <v>353</v>
      </c>
      <c r="E1145" s="16" t="str">
        <f>IFERROR(_xlfn.XLOOKUP(D1145, tblCourses[CourseID], tblCourses[CourseName], ""), "")</f>
        <v>Maintenance Procedures &amp; Standard Maintenance Practices (Initial)</v>
      </c>
      <c r="F1145" s="17">
        <v>46155</v>
      </c>
      <c r="G1145" s="17" t="str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5" s="15" t="str">
        <f ca="1">IF(OR(tblTraining[[#This Row],[Status]]="Renewed",tblTraining[[#This Row],[NextDueDate]]=""),"",tblTraining[[#This Row],[NextDueDate]]-TODAY())</f>
        <v/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406</v>
      </c>
      <c r="C1146" s="15" t="str" cm="1">
        <f t="array" ref="C1146">IFERROR(_xlfn.XLOOKUP(B1146, tblPeople[PersonID], tblPeople[PersonName], ""), "")</f>
        <v>James Muisyo</v>
      </c>
      <c r="D1146" s="15" t="s">
        <v>198</v>
      </c>
      <c r="E1146" s="16" t="str">
        <f>IFERROR(_xlfn.XLOOKUP(D1146, tblCourses[CourseID], tblCourses[CourseName], ""), "")</f>
        <v>Maintenance Procedures &amp; Standard Maintenance Practices (Refresher)</v>
      </c>
      <c r="F1146" s="17">
        <v>46155</v>
      </c>
      <c r="G1146" s="17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6" s="15">
        <f ca="1">IF(OR(tblTraining[[#This Row],[Status]]="Renewed",tblTraining[[#This Row],[NextDueDate]]=""),"",tblTraining[[#This Row],[NextDueDate]]-TODAY())</f>
        <v>600</v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435</v>
      </c>
      <c r="C1147" s="15" t="str" cm="1">
        <f t="array" ref="C1147">IFERROR(_xlfn.XLOOKUP(B1147, tblPeople[PersonID], tblPeople[PersonName], ""), "")</f>
        <v>Mary Chelagat</v>
      </c>
      <c r="D1147" s="15" t="s">
        <v>353</v>
      </c>
      <c r="E1147" s="16" t="str">
        <f>IFERROR(_xlfn.XLOOKUP(D1147, tblCourses[CourseID], tblCourses[CourseName], ""), "")</f>
        <v>Maintenance Procedures &amp; Standard Maintenance Practices (Initial)</v>
      </c>
      <c r="F1147" s="17">
        <v>46155</v>
      </c>
      <c r="G1147" s="17" t="str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7" s="15" t="str">
        <f ca="1">IF(OR(tblTraining[[#This Row],[Status]]="Renewed",tblTraining[[#This Row],[NextDueDate]]=""),"",tblTraining[[#This Row],[NextDueDate]]-TODAY())</f>
        <v/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435</v>
      </c>
      <c r="C1148" s="15" t="str" cm="1">
        <f t="array" ref="C1148">IFERROR(_xlfn.XLOOKUP(B1148, tblPeople[PersonID], tblPeople[PersonName], ""), "")</f>
        <v>Mary Chelagat</v>
      </c>
      <c r="D1148" s="15" t="s">
        <v>198</v>
      </c>
      <c r="E1148" s="16" t="str">
        <f>IFERROR(_xlfn.XLOOKUP(D1148, tblCourses[CourseID], tblCourses[CourseName], ""), "")</f>
        <v>Maintenance Procedures &amp; Standard Maintenance Practices (Refresher)</v>
      </c>
      <c r="F1148" s="17">
        <v>46155</v>
      </c>
      <c r="G1148" s="17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48" s="15">
        <f ca="1">IF(OR(tblTraining[[#This Row],[Status]]="Renewed",tblTraining[[#This Row],[NextDueDate]]=""),"",tblTraining[[#This Row],[NextDueDate]]-TODAY())</f>
        <v>600</v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436</v>
      </c>
      <c r="C1149" s="15" t="str" cm="1">
        <f t="array" ref="C1149">IFERROR(_xlfn.XLOOKUP(B1149, tblPeople[PersonID], tblPeople[PersonName], ""), "")</f>
        <v>Alfred Okudo</v>
      </c>
      <c r="D1149" s="15" t="s">
        <v>353</v>
      </c>
      <c r="E1149" s="16" t="str">
        <f>IFERROR(_xlfn.XLOOKUP(D1149, tblCourses[CourseID], tblCourses[CourseName], ""), "")</f>
        <v>Maintenance Procedures &amp; Standard Maintenance Practices (Initial)</v>
      </c>
      <c r="F1149" s="17">
        <v>46155</v>
      </c>
      <c r="G1149" s="17" t="str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9" s="15" t="str">
        <f ca="1">IF(OR(tblTraining[[#This Row],[Status]]="Renewed",tblTraining[[#This Row],[NextDueDate]]=""),"",tblTraining[[#This Row],[NextDueDate]]-TODAY())</f>
        <v/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436</v>
      </c>
      <c r="C1150" s="15" t="str" cm="1">
        <f t="array" ref="C1150">IFERROR(_xlfn.XLOOKUP(B1150, tblPeople[PersonID], tblPeople[PersonName], ""), "")</f>
        <v>Alfred Okudo</v>
      </c>
      <c r="D1150" s="15" t="s">
        <v>198</v>
      </c>
      <c r="E1150" s="16" t="str">
        <f>IFERROR(_xlfn.XLOOKUP(D1150, tblCourses[CourseID], tblCourses[CourseName], ""), "")</f>
        <v>Maintenance Procedures &amp; Standard Maintenance Practices (Refresher)</v>
      </c>
      <c r="F1150" s="17">
        <v>46155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0" s="15">
        <f ca="1">IF(OR(tblTraining[[#This Row],[Status]]="Renewed",tblTraining[[#This Row],[NextDueDate]]=""),"",tblTraining[[#This Row],[NextDueDate]]-TODAY())</f>
        <v>600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437</v>
      </c>
      <c r="C1151" s="15" t="str" cm="1">
        <f t="array" ref="C1151">IFERROR(_xlfn.XLOOKUP(B1151, tblPeople[PersonID], tblPeople[PersonName], ""), "")</f>
        <v>Martin Chege</v>
      </c>
      <c r="D1151" s="15" t="s">
        <v>353</v>
      </c>
      <c r="E1151" s="16" t="str">
        <f>IFERROR(_xlfn.XLOOKUP(D1151, tblCourses[CourseID], tblCourses[CourseName], ""), "")</f>
        <v>Maintenance Procedures &amp; Standard Maintenance Practices (Initial)</v>
      </c>
      <c r="F1151" s="17">
        <v>46155</v>
      </c>
      <c r="G1151" s="17" t="str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1" s="15" t="str">
        <f ca="1">IF(OR(tblTraining[[#This Row],[Status]]="Renewed",tblTraining[[#This Row],[NextDueDate]]=""),"",tblTraining[[#This Row],[NextDueDate]]-TODAY())</f>
        <v/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437</v>
      </c>
      <c r="C1152" s="15" t="str" cm="1">
        <f t="array" ref="C1152">IFERROR(_xlfn.XLOOKUP(B1152, tblPeople[PersonID], tblPeople[PersonName], ""), "")</f>
        <v>Martin Chege</v>
      </c>
      <c r="D1152" s="15" t="s">
        <v>198</v>
      </c>
      <c r="E1152" s="16" t="str">
        <f>IFERROR(_xlfn.XLOOKUP(D1152, tblCourses[CourseID], tblCourses[CourseName], ""), "")</f>
        <v>Maintenance Procedures &amp; Standard Maintenance Practices (Refresher)</v>
      </c>
      <c r="F1152" s="17">
        <v>46155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2" s="15">
        <f ca="1">IF(OR(tblTraining[[#This Row],[Status]]="Renewed",tblTraining[[#This Row],[NextDueDate]]=""),"",tblTraining[[#This Row],[NextDueDate]]-TODAY())</f>
        <v>600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438</v>
      </c>
      <c r="C1153" s="15" t="str" cm="1">
        <f t="array" ref="C1153">IFERROR(_xlfn.XLOOKUP(B1153, tblPeople[PersonID], tblPeople[PersonName], ""), "")</f>
        <v>Brian Muga</v>
      </c>
      <c r="D1153" s="15" t="s">
        <v>353</v>
      </c>
      <c r="E1153" s="16" t="str">
        <f>IFERROR(_xlfn.XLOOKUP(D1153, tblCourses[CourseID], tblCourses[CourseName], ""), "")</f>
        <v>Maintenance Procedures &amp; Standard Maintenance Practices (Initial)</v>
      </c>
      <c r="F1153" s="17">
        <v>46155</v>
      </c>
      <c r="G1153" s="17" t="str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3" s="15" t="str">
        <f ca="1">IF(OR(tblTraining[[#This Row],[Status]]="Renewed",tblTraining[[#This Row],[NextDueDate]]=""),"",tblTraining[[#This Row],[NextDueDate]]-TODAY())</f>
        <v/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438</v>
      </c>
      <c r="C1154" s="15" t="str" cm="1">
        <f t="array" ref="C1154">IFERROR(_xlfn.XLOOKUP(B1154, tblPeople[PersonID], tblPeople[PersonName], ""), "")</f>
        <v>Brian Muga</v>
      </c>
      <c r="D1154" s="15" t="s">
        <v>198</v>
      </c>
      <c r="E1154" s="16" t="str">
        <f>IFERROR(_xlfn.XLOOKUP(D1154, tblCourses[CourseID], tblCourses[CourseName], ""), "")</f>
        <v>Maintenance Procedures &amp; Standard Maintenance Practices (Refresher)</v>
      </c>
      <c r="F1154" s="17">
        <v>46155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4" s="15">
        <f ca="1">IF(OR(tblTraining[[#This Row],[Status]]="Renewed",tblTraining[[#This Row],[NextDueDate]]=""),"",tblTraining[[#This Row],[NextDueDate]]-TODAY())</f>
        <v>600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443</v>
      </c>
      <c r="C1155" s="15" t="str" cm="1">
        <f t="array" ref="C1155">IFERROR(_xlfn.XLOOKUP(B1155, tblPeople[PersonID], tblPeople[PersonName], ""), "")</f>
        <v>Evans Maingi</v>
      </c>
      <c r="D1155" s="15" t="s">
        <v>353</v>
      </c>
      <c r="E1155" s="16" t="str">
        <f>IFERROR(_xlfn.XLOOKUP(D1155, tblCourses[CourseID], tblCourses[CourseName], ""), "")</f>
        <v>Maintenance Procedures &amp; Standard Maintenance Practices (Initial)</v>
      </c>
      <c r="F1155" s="17">
        <v>46155</v>
      </c>
      <c r="G1155" s="17" t="str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5" s="15" t="str">
        <f ca="1">IF(OR(tblTraining[[#This Row],[Status]]="Renewed",tblTraining[[#This Row],[NextDueDate]]=""),"",tblTraining[[#This Row],[NextDueDate]]-TODAY())</f>
        <v/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443</v>
      </c>
      <c r="C1156" s="15" t="str" cm="1">
        <f t="array" ref="C1156">IFERROR(_xlfn.XLOOKUP(B1156, tblPeople[PersonID], tblPeople[PersonName], ""), "")</f>
        <v>Evans Maingi</v>
      </c>
      <c r="D1156" s="15" t="s">
        <v>198</v>
      </c>
      <c r="E1156" s="16" t="str">
        <f>IFERROR(_xlfn.XLOOKUP(D1156, tblCourses[CourseID], tblCourses[CourseName], ""), "")</f>
        <v>Maintenance Procedures &amp; Standard Maintenance Practices (Refresher)</v>
      </c>
      <c r="F1156" s="17">
        <v>46155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6" s="15">
        <f ca="1">IF(OR(tblTraining[[#This Row],[Status]]="Renewed",tblTraining[[#This Row],[NextDueDate]]=""),"",tblTraining[[#This Row],[NextDueDate]]-TODAY())</f>
        <v>600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440</v>
      </c>
      <c r="C1157" s="15" t="str" cm="1">
        <f t="array" ref="C1157">IFERROR(_xlfn.XLOOKUP(B1157, tblPeople[PersonID], tblPeople[PersonName], ""), "")</f>
        <v>Francis Mutonga</v>
      </c>
      <c r="D1157" s="15" t="s">
        <v>353</v>
      </c>
      <c r="E1157" s="16" t="str">
        <f>IFERROR(_xlfn.XLOOKUP(D1157, tblCourses[CourseID], tblCourses[CourseName], ""), "")</f>
        <v>Maintenance Procedures &amp; Standard Maintenance Practices (Initial)</v>
      </c>
      <c r="F1157" s="17">
        <v>46155</v>
      </c>
      <c r="G1157" s="17" t="str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7" s="15" t="str">
        <f ca="1">IF(OR(tblTraining[[#This Row],[Status]]="Renewed",tblTraining[[#This Row],[NextDueDate]]=""),"",tblTraining[[#This Row],[NextDueDate]]-TODAY())</f>
        <v/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440</v>
      </c>
      <c r="C1158" s="15" t="str" cm="1">
        <f t="array" ref="C1158">IFERROR(_xlfn.XLOOKUP(B1158, tblPeople[PersonID], tblPeople[PersonName], ""), "")</f>
        <v>Francis Mutonga</v>
      </c>
      <c r="D1158" s="15" t="s">
        <v>198</v>
      </c>
      <c r="E1158" s="16" t="str">
        <f>IFERROR(_xlfn.XLOOKUP(D1158, tblCourses[CourseID], tblCourses[CourseName], ""), "")</f>
        <v>Maintenance Procedures &amp; Standard Maintenance Practices (Refresher)</v>
      </c>
      <c r="F1158" s="17">
        <v>46155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58" s="15">
        <f ca="1">IF(OR(tblTraining[[#This Row],[Status]]="Renewed",tblTraining[[#This Row],[NextDueDate]]=""),"",tblTraining[[#This Row],[NextDueDate]]-TODAY())</f>
        <v>600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435</v>
      </c>
      <c r="C1159" s="15" t="str" cm="1">
        <f t="array" ref="C1159">IFERROR(_xlfn.XLOOKUP(B1159, tblPeople[PersonID], tblPeople[PersonName], ""), "")</f>
        <v>Mary Chelagat</v>
      </c>
      <c r="D1159" s="15" t="s">
        <v>175</v>
      </c>
      <c r="E1159" s="16" t="str">
        <f>IFERROR(_xlfn.XLOOKUP(D1159, tblCourses[CourseID], tblCourses[CourseName], ""), "")</f>
        <v>Aircraft Maintenance Engineers' Licence</v>
      </c>
      <c r="F1159" s="17">
        <v>45504</v>
      </c>
      <c r="G1159" s="17" t="str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9" s="15" t="str">
        <f ca="1">IF(OR(tblTraining[[#This Row],[Status]]="Renewed",tblTraining[[#This Row],[NextDueDate]]=""),"",tblTraining[[#This Row],[NextDueDate]]-TODAY())</f>
        <v/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0" spans="1:9" x14ac:dyDescent="0.25">
      <c r="A1160" s="15">
        <f t="shared" si="18"/>
        <v>1159</v>
      </c>
      <c r="B1160" s="15" t="s">
        <v>435</v>
      </c>
      <c r="C1160" s="15" t="str" cm="1">
        <f t="array" ref="C1160">IFERROR(_xlfn.XLOOKUP(B1160, tblPeople[PersonID], tblPeople[PersonName], ""), "")</f>
        <v>Mary Chelagat</v>
      </c>
      <c r="D1160" s="15" t="s">
        <v>29</v>
      </c>
      <c r="E1160" s="16" t="str">
        <f>IFERROR(_xlfn.XLOOKUP(D1160, tblCourses[CourseID], tblCourses[CourseName], ""), "")</f>
        <v>DHC-8 100/200/300 with PWC 120/120A/121/123B/C/D/E Series Engines(Initial)</v>
      </c>
      <c r="F1160" s="17">
        <v>43338</v>
      </c>
      <c r="G1160" s="17" t="str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0" s="15" t="str">
        <f ca="1">IF(OR(tblTraining[[#This Row],[Status]]="Renewed",tblTraining[[#This Row],[NextDueDate]]=""),"",tblTraining[[#This Row],[NextDueDate]]-TODAY())</f>
        <v/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435</v>
      </c>
      <c r="C1161" s="15" t="str" cm="1">
        <f t="array" ref="C1161">IFERROR(_xlfn.XLOOKUP(B1161, tblPeople[PersonID], tblPeople[PersonName], ""), "")</f>
        <v>Mary Chelagat</v>
      </c>
      <c r="D1161" s="15" t="s">
        <v>28</v>
      </c>
      <c r="E1161" s="16" t="str">
        <f>IFERROR(_xlfn.XLOOKUP(D1161, tblCourses[CourseID], tblCourses[CourseName], ""), "")</f>
        <v>DHC-8 100/200/300 with PWC 120/120A/121/123B/C/D/E Series Engines(Refresher)</v>
      </c>
      <c r="F1161" s="17">
        <v>43338</v>
      </c>
      <c r="G1161" s="17" t="str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1" s="15" t="str">
        <f ca="1">IF(OR(tblTraining[[#This Row],[Status]]="Renewed",tblTraining[[#This Row],[NextDueDate]]=""),"",tblTraining[[#This Row],[NextDueDate]]-TODAY())</f>
        <v/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2" spans="1:9" x14ac:dyDescent="0.25">
      <c r="A1162" s="15">
        <f t="shared" si="18"/>
        <v>1161</v>
      </c>
      <c r="B1162" s="15" t="s">
        <v>435</v>
      </c>
      <c r="C1162" s="15" t="str" cm="1">
        <f t="array" ref="C1162">IFERROR(_xlfn.XLOOKUP(B1162, tblPeople[PersonID], tblPeople[PersonName], ""), "")</f>
        <v>Mary Chelagat</v>
      </c>
      <c r="D1162" s="15" t="s">
        <v>28</v>
      </c>
      <c r="E1162" s="16" t="str">
        <f>IFERROR(_xlfn.XLOOKUP(D1162, tblCourses[CourseID], tblCourses[CourseName], ""), "")</f>
        <v>DHC-8 100/200/300 with PWC 120/120A/121/123B/C/D/E Series Engines(Refresher)</v>
      </c>
      <c r="F1162" s="17">
        <v>46129</v>
      </c>
      <c r="G1162" s="17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2" s="15">
        <f ca="1">IF(OR(tblTraining[[#This Row],[Status]]="Renewed",tblTraining[[#This Row],[NextDueDate]]=""),"",tblTraining[[#This Row],[NextDueDate]]-TODAY())</f>
        <v>574</v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104</v>
      </c>
      <c r="C1163" s="15" t="str" cm="1">
        <f t="array" ref="C1163">IFERROR(_xlfn.XLOOKUP(B1163, tblPeople[PersonID], tblPeople[PersonName], ""), "")</f>
        <v>Douglas Hurgins</v>
      </c>
      <c r="D1163" s="15" t="s">
        <v>75</v>
      </c>
      <c r="E1163" s="16" t="str">
        <f>IFERROR(_xlfn.XLOOKUP(D1163, tblCourses[CourseID], tblCourses[CourseName], ""), "")</f>
        <v>Fuel Tank Safety Phase 1 &amp; 2 Course (Refresher)</v>
      </c>
      <c r="F1163" s="17">
        <v>46105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63" s="15">
        <f ca="1">IF(OR(tblTraining[[#This Row],[Status]]="Renewed",tblTraining[[#This Row],[NextDueDate]]=""),"",tblTraining[[#This Row],[NextDueDate]]-TODAY())</f>
        <v>550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104</v>
      </c>
      <c r="C1164" s="15" t="str" cm="1">
        <f t="array" ref="C1164">IFERROR(_xlfn.XLOOKUP(B1164, tblPeople[PersonID], tblPeople[PersonName], ""), "")</f>
        <v>Douglas Hurgins</v>
      </c>
      <c r="D1164" s="15" t="s">
        <v>28</v>
      </c>
      <c r="E1164" s="16" t="str">
        <f>IFERROR(_xlfn.XLOOKUP(D1164, tblCourses[CourseID], tblCourses[CourseName], ""), "")</f>
        <v>DHC-8 100/200/300 with PWC 120/120A/121/123B/C/D/E Series Engines(Refresher)</v>
      </c>
      <c r="F1164" s="17">
        <v>46129</v>
      </c>
      <c r="G1164" s="17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4" s="15">
        <f ca="1">IF(OR(tblTraining[[#This Row],[Status]]="Renewed",tblTraining[[#This Row],[NextDueDate]]=""),"",tblTraining[[#This Row],[NextDueDate]]-TODAY())</f>
        <v>574</v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152</v>
      </c>
      <c r="C1165" s="15" t="str" cm="1">
        <f t="array" ref="C1165">IFERROR(_xlfn.XLOOKUP(B1165, tblPeople[PersonID], tblPeople[PersonName], ""), "")</f>
        <v>Majid Mohamed</v>
      </c>
      <c r="D1165" s="15" t="s">
        <v>28</v>
      </c>
      <c r="E1165" s="16" t="str">
        <f>IFERROR(_xlfn.XLOOKUP(D1165, tblCourses[CourseID], tblCourses[CourseName], ""), "")</f>
        <v>DHC-8 100/200/300 with PWC 120/120A/121/123B/C/D/E Series Engines(Refresher)</v>
      </c>
      <c r="F1165" s="17">
        <v>46129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65" s="15">
        <f ca="1">IF(OR(tblTraining[[#This Row],[Status]]="Renewed",tblTraining[[#This Row],[NextDueDate]]=""),"",tblTraining[[#This Row],[NextDueDate]]-TODAY())</f>
        <v>574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152</v>
      </c>
      <c r="C1166" s="15" t="str" cm="1">
        <f t="array" ref="C1166">IFERROR(_xlfn.XLOOKUP(B1166, tblPeople[PersonID], tblPeople[PersonName], ""), "")</f>
        <v>Majid Mohamed</v>
      </c>
      <c r="D1166" s="15" t="s">
        <v>178</v>
      </c>
      <c r="E1166" s="16" t="str">
        <f>IFERROR(_xlfn.XLOOKUP(D1166, tblCourses[CourseID], tblCourses[CourseName], ""), "")</f>
        <v>Cessna 208 Series (Caravan) With P&amp;WC PT6A-114/ -114A/ -140 Engines (Refresher)</v>
      </c>
      <c r="F1166" s="17">
        <v>46122</v>
      </c>
      <c r="G1166" s="17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66" s="15">
        <f ca="1">IF(OR(tblTraining[[#This Row],[Status]]="Renewed",tblTraining[[#This Row],[NextDueDate]]=""),"",tblTraining[[#This Row],[NextDueDate]]-TODAY())</f>
        <v>567</v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91</v>
      </c>
      <c r="C1167" s="15" t="str" cm="1">
        <f t="array" ref="C1167">IFERROR(_xlfn.XLOOKUP(B1167, tblPeople[PersonID], tblPeople[PersonName], ""), "")</f>
        <v>Dunstan Kwalanda</v>
      </c>
      <c r="D1167" s="15" t="s">
        <v>22</v>
      </c>
      <c r="E1167" s="16" t="str">
        <f>IFERROR(_xlfn.XLOOKUP(D1167, tblCourses[CourseID], tblCourses[CourseName], ""), "")</f>
        <v>Human Factors in Aviation (Refresher)</v>
      </c>
      <c r="F1167" s="17">
        <v>46087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67" s="15">
        <f ca="1">IF(OR(tblTraining[[#This Row],[Status]]="Renewed",tblTraining[[#This Row],[NextDueDate]]=""),"",tblTraining[[#This Row],[NextDueDate]]-TODAY())</f>
        <v>532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91</v>
      </c>
      <c r="C1168" s="15" t="str" cm="1">
        <f t="array" ref="C1168">IFERROR(_xlfn.XLOOKUP(B1168, tblPeople[PersonID], tblPeople[PersonName], ""), "")</f>
        <v>Dunstan Kwalanda</v>
      </c>
      <c r="D1168" s="15" t="s">
        <v>75</v>
      </c>
      <c r="E1168" s="16" t="str">
        <f>IFERROR(_xlfn.XLOOKUP(D1168, tblCourses[CourseID], tblCourses[CourseName], ""), "")</f>
        <v>Fuel Tank Safety Phase 1 &amp; 2 Course (Refresher)</v>
      </c>
      <c r="F1168" s="17">
        <v>46112</v>
      </c>
      <c r="G1168" s="17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68" s="15">
        <f ca="1">IF(OR(tblTraining[[#This Row],[Status]]="Renewed",tblTraining[[#This Row],[NextDueDate]]=""),"",tblTraining[[#This Row],[NextDueDate]]-TODAY())</f>
        <v>557</v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95</v>
      </c>
      <c r="C1169" s="15" t="str" cm="1">
        <f t="array" ref="C1169">IFERROR(_xlfn.XLOOKUP(B1169, tblPeople[PersonID], tblPeople[PersonName], ""), "")</f>
        <v>Walter Kibet</v>
      </c>
      <c r="D1169" s="15" t="s">
        <v>17</v>
      </c>
      <c r="E1169" s="16" t="str">
        <f>IFERROR(_xlfn.XLOOKUP(D1169, tblCourses[CourseID], tblCourses[CourseName], ""), "")</f>
        <v>Safety Management Systems (Refresher)</v>
      </c>
      <c r="F1169" s="17">
        <v>46100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69" s="15">
        <f ca="1">IF(OR(tblTraining[[#This Row],[Status]]="Renewed",tblTraining[[#This Row],[NextDueDate]]=""),"",tblTraining[[#This Row],[NextDueDate]]-TODAY())</f>
        <v>545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91</v>
      </c>
      <c r="C1170" s="15" t="str" cm="1">
        <f t="array" ref="C1170">IFERROR(_xlfn.XLOOKUP(B1170, tblPeople[PersonID], tblPeople[PersonName], ""), "")</f>
        <v>Dunstan Kwalanda</v>
      </c>
      <c r="D1170" s="15" t="s">
        <v>17</v>
      </c>
      <c r="E1170" s="16" t="str">
        <f>IFERROR(_xlfn.XLOOKUP(D1170, tblCourses[CourseID], tblCourses[CourseName], ""), "")</f>
        <v>Safety Management Systems (Refresher)</v>
      </c>
      <c r="F1170" s="17">
        <v>46100</v>
      </c>
      <c r="G1170" s="17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0" s="15">
        <f ca="1">IF(OR(tblTraining[[#This Row],[Status]]="Renewed",tblTraining[[#This Row],[NextDueDate]]=""),"",tblTraining[[#This Row],[NextDueDate]]-TODAY())</f>
        <v>545</v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152</v>
      </c>
      <c r="C1171" s="15" t="str" cm="1">
        <f t="array" ref="C1171">IFERROR(_xlfn.XLOOKUP(B1171, tblPeople[PersonID], tblPeople[PersonName], ""), "")</f>
        <v>Majid Mohamed</v>
      </c>
      <c r="D1171" s="15" t="s">
        <v>17</v>
      </c>
      <c r="E1171" s="16" t="str">
        <f>IFERROR(_xlfn.XLOOKUP(D1171, tblCourses[CourseID], tblCourses[CourseName], ""), "")</f>
        <v>Safety Management Systems (Refresher)</v>
      </c>
      <c r="F1171" s="17">
        <v>46100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1" s="15">
        <f ca="1">IF(OR(tblTraining[[#This Row],[Status]]="Renewed",tblTraining[[#This Row],[NextDueDate]]=""),"",tblTraining[[#This Row],[NextDueDate]]-TODAY())</f>
        <v>545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94</v>
      </c>
      <c r="C1172" s="15" t="str" cm="1">
        <f t="array" ref="C1172">IFERROR(_xlfn.XLOOKUP(B1172, tblPeople[PersonID], tblPeople[PersonName], ""), "")</f>
        <v>Moses Musyoka</v>
      </c>
      <c r="D1172" s="15" t="s">
        <v>17</v>
      </c>
      <c r="E1172" s="16" t="str">
        <f>IFERROR(_xlfn.XLOOKUP(D1172, tblCourses[CourseID], tblCourses[CourseName], ""), "")</f>
        <v>Safety Management Systems (Refresher)</v>
      </c>
      <c r="F1172" s="17">
        <v>46100</v>
      </c>
      <c r="G1172" s="17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2" s="15">
        <f ca="1">IF(OR(tblTraining[[#This Row],[Status]]="Renewed",tblTraining[[#This Row],[NextDueDate]]=""),"",tblTraining[[#This Row],[NextDueDate]]-TODAY())</f>
        <v>545</v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112</v>
      </c>
      <c r="C1173" s="15" t="str" cm="1">
        <f t="array" ref="C1173">IFERROR(_xlfn.XLOOKUP(B1173, tblPeople[PersonID], tblPeople[PersonName], ""), "")</f>
        <v>Patrick Mwangi</v>
      </c>
      <c r="D1173" s="15" t="s">
        <v>17</v>
      </c>
      <c r="E1173" s="16" t="str">
        <f>IFERROR(_xlfn.XLOOKUP(D1173, tblCourses[CourseID], tblCourses[CourseName], ""), "")</f>
        <v>Safety Management Systems (Refresher)</v>
      </c>
      <c r="F1173" s="17">
        <v>46100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3" s="15">
        <f ca="1">IF(OR(tblTraining[[#This Row],[Status]]="Renewed",tblTraining[[#This Row],[NextDueDate]]=""),"",tblTraining[[#This Row],[NextDueDate]]-TODAY())</f>
        <v>545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81</v>
      </c>
      <c r="C1174" s="15" t="str" cm="1">
        <f t="array" ref="C1174">IFERROR(_xlfn.XLOOKUP(B1174, tblPeople[PersonID], tblPeople[PersonName], ""), "")</f>
        <v>Gideon Mwasio</v>
      </c>
      <c r="D1174" s="15" t="s">
        <v>17</v>
      </c>
      <c r="E1174" s="16" t="str">
        <f>IFERROR(_xlfn.XLOOKUP(D1174, tblCourses[CourseID], tblCourses[CourseName], ""), "")</f>
        <v>Safety Management Systems (Refresher)</v>
      </c>
      <c r="F1174" s="17">
        <v>46100</v>
      </c>
      <c r="G1174" s="17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4" s="15">
        <f ca="1">IF(OR(tblTraining[[#This Row],[Status]]="Renewed",tblTraining[[#This Row],[NextDueDate]]=""),"",tblTraining[[#This Row],[NextDueDate]]-TODAY())</f>
        <v>545</v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90</v>
      </c>
      <c r="C1175" s="15" t="str" cm="1">
        <f t="array" ref="C1175">IFERROR(_xlfn.XLOOKUP(B1175, tblPeople[PersonID], tblPeople[PersonName], ""), "")</f>
        <v>Kendra Nambisia</v>
      </c>
      <c r="D1175" s="15" t="s">
        <v>17</v>
      </c>
      <c r="E1175" s="16" t="str">
        <f>IFERROR(_xlfn.XLOOKUP(D1175, tblCourses[CourseID], tblCourses[CourseName], ""), "")</f>
        <v>Safety Management Systems (Refresher)</v>
      </c>
      <c r="F1175" s="17">
        <v>46100</v>
      </c>
      <c r="G1175" s="17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5" s="15">
        <f ca="1">IF(OR(tblTraining[[#This Row],[Status]]="Renewed",tblTraining[[#This Row],[NextDueDate]]=""),"",tblTraining[[#This Row],[NextDueDate]]-TODAY())</f>
        <v>545</v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92</v>
      </c>
      <c r="C1176" s="15" t="str" cm="1">
        <f t="array" ref="C1176">IFERROR(_xlfn.XLOOKUP(B1176, tblPeople[PersonID], tblPeople[PersonName], ""), "")</f>
        <v>Reuben Otieno</v>
      </c>
      <c r="D1176" s="15" t="s">
        <v>17</v>
      </c>
      <c r="E1176" s="16" t="str">
        <f>IFERROR(_xlfn.XLOOKUP(D1176, tblCourses[CourseID], tblCourses[CourseName], ""), "")</f>
        <v>Safety Management Systems (Refresher)</v>
      </c>
      <c r="F1176" s="17">
        <v>46100</v>
      </c>
      <c r="G1176" s="17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6" s="15">
        <f ca="1">IF(OR(tblTraining[[#This Row],[Status]]="Renewed",tblTraining[[#This Row],[NextDueDate]]=""),"",tblTraining[[#This Row],[NextDueDate]]-TODAY())</f>
        <v>545</v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93</v>
      </c>
      <c r="C1177" s="15" t="str" cm="1">
        <f t="array" ref="C1177">IFERROR(_xlfn.XLOOKUP(B1177, tblPeople[PersonID], tblPeople[PersonName], ""), "")</f>
        <v>Stephen Tunje</v>
      </c>
      <c r="D1177" s="15" t="s">
        <v>17</v>
      </c>
      <c r="E1177" s="16" t="str">
        <f>IFERROR(_xlfn.XLOOKUP(D1177, tblCourses[CourseID], tblCourses[CourseName], ""), "")</f>
        <v>Safety Management Systems (Refresher)</v>
      </c>
      <c r="F1177" s="17">
        <v>46100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7" s="15">
        <f ca="1">IF(OR(tblTraining[[#This Row],[Status]]="Renewed",tblTraining[[#This Row],[NextDueDate]]=""),"",tblTraining[[#This Row],[NextDueDate]]-TODAY())</f>
        <v>545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209</v>
      </c>
      <c r="C1178" s="15" t="str" cm="1">
        <f t="array" ref="C1178">IFERROR(_xlfn.XLOOKUP(B1178, tblPeople[PersonID], tblPeople[PersonName], ""), "")</f>
        <v>Samuel Wacho</v>
      </c>
      <c r="D1178" s="15" t="s">
        <v>17</v>
      </c>
      <c r="E1178" s="16" t="str">
        <f>IFERROR(_xlfn.XLOOKUP(D1178, tblCourses[CourseID], tblCourses[CourseName], ""), "")</f>
        <v>Safety Management Systems (Refresher)</v>
      </c>
      <c r="F1178" s="17">
        <v>46100</v>
      </c>
      <c r="G1178" s="17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8" s="15">
        <f ca="1">IF(OR(tblTraining[[#This Row],[Status]]="Renewed",tblTraining[[#This Row],[NextDueDate]]=""),"",tblTraining[[#This Row],[NextDueDate]]-TODAY())</f>
        <v>545</v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153</v>
      </c>
      <c r="C1179" s="15" t="str" cm="1">
        <f t="array" ref="C1179">IFERROR(_xlfn.XLOOKUP(B1179, tblPeople[PersonID], tblPeople[PersonName], ""), "")</f>
        <v>Judith Wandera</v>
      </c>
      <c r="D1179" s="15" t="s">
        <v>17</v>
      </c>
      <c r="E1179" s="16" t="str">
        <f>IFERROR(_xlfn.XLOOKUP(D1179, tblCourses[CourseID], tblCourses[CourseName], ""), "")</f>
        <v>Safety Management Systems (Refresher)</v>
      </c>
      <c r="F1179" s="17">
        <v>46100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79" s="15">
        <f ca="1">IF(OR(tblTraining[[#This Row],[Status]]="Renewed",tblTraining[[#This Row],[NextDueDate]]=""),"",tblTraining[[#This Row],[NextDueDate]]-TODAY())</f>
        <v>545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436</v>
      </c>
      <c r="C1180" s="15" t="str" cm="1">
        <f t="array" ref="C1180">IFERROR(_xlfn.XLOOKUP(B1180, tblPeople[PersonID], tblPeople[PersonName], ""), "")</f>
        <v>Alfred Okudo</v>
      </c>
      <c r="D1180" s="15" t="s">
        <v>175</v>
      </c>
      <c r="E1180" s="16" t="str">
        <f>IFERROR(_xlfn.XLOOKUP(D1180, tblCourses[CourseID], tblCourses[CourseName], ""), "")</f>
        <v>Aircraft Maintenance Engineers' Licence</v>
      </c>
      <c r="F1180" s="17">
        <v>45957</v>
      </c>
      <c r="G1180" s="17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180" s="15">
        <f ca="1">IF(OR(tblTraining[[#This Row],[Status]]="Renewed",tblTraining[[#This Row],[NextDueDate]]=""),"",tblTraining[[#This Row],[NextDueDate]]-TODAY())</f>
        <v>401</v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1" spans="1:9" x14ac:dyDescent="0.25">
      <c r="A1181" s="15">
        <f t="shared" si="18"/>
        <v>1180</v>
      </c>
      <c r="B1181" s="15" t="s">
        <v>436</v>
      </c>
      <c r="C1181" s="15" t="str" cm="1">
        <f t="array" ref="C1181">IFERROR(_xlfn.XLOOKUP(B1181, tblPeople[PersonID], tblPeople[PersonName], ""), "")</f>
        <v>Alfred Okudo</v>
      </c>
      <c r="D1181" s="15" t="s">
        <v>178</v>
      </c>
      <c r="E1181" s="16" t="str">
        <f>IFERROR(_xlfn.XLOOKUP(D1181, tblCourses[CourseID], tblCourses[CourseName], ""), "")</f>
        <v>Cessna 208 Series (Caravan) With P&amp;WC PT6A-114/ -114A/ -140 Engines (Refresher)</v>
      </c>
      <c r="F1181" s="17">
        <v>44120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2" spans="1:9" x14ac:dyDescent="0.25">
      <c r="A1182" s="15">
        <f t="shared" si="18"/>
        <v>1181</v>
      </c>
      <c r="B1182" s="15" t="s">
        <v>436</v>
      </c>
      <c r="C1182" s="15" t="str" cm="1">
        <f t="array" ref="C1182">IFERROR(_xlfn.XLOOKUP(B1182, tblPeople[PersonID], tblPeople[PersonName], ""), "")</f>
        <v>Alfred Okudo</v>
      </c>
      <c r="D1182" s="15" t="s">
        <v>178</v>
      </c>
      <c r="E1182" s="16" t="str">
        <f>IFERROR(_xlfn.XLOOKUP(D1182, tblCourses[CourseID], tblCourses[CourseName], ""), "")</f>
        <v>Cessna 208 Series (Caravan) With P&amp;WC PT6A-114/ -114A/ -140 Engines (Refresher)</v>
      </c>
      <c r="F1182" s="17">
        <v>45051</v>
      </c>
      <c r="G1182" s="17" t="str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2" s="15" t="str">
        <f ca="1">IF(OR(tblTraining[[#This Row],[Status]]="Renewed",tblTraining[[#This Row],[NextDueDate]]=""),"",tblTraining[[#This Row],[NextDueDate]]-TODAY())</f>
        <v/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3" spans="1:9" x14ac:dyDescent="0.25">
      <c r="A1183" s="15">
        <f t="shared" si="18"/>
        <v>1182</v>
      </c>
      <c r="B1183" s="15" t="s">
        <v>436</v>
      </c>
      <c r="C1183" s="15" t="str" cm="1">
        <f t="array" ref="C1183">IFERROR(_xlfn.XLOOKUP(B1183, tblPeople[PersonID], tblPeople[PersonName], ""), "")</f>
        <v>Alfred Okudo</v>
      </c>
      <c r="D1183" s="15" t="s">
        <v>178</v>
      </c>
      <c r="E1183" s="16" t="str">
        <f>IFERROR(_xlfn.XLOOKUP(D1183, tblCourses[CourseID], tblCourses[CourseName], ""), "")</f>
        <v>Cessna 208 Series (Caravan) With P&amp;WC PT6A-114/ -114A/ -140 Engines (Refresher)</v>
      </c>
      <c r="F1183" s="17">
        <v>45819</v>
      </c>
      <c r="G1183" s="17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183" s="15">
        <f ca="1">IF(OR(tblTraining[[#This Row],[Status]]="Renewed",tblTraining[[#This Row],[NextDueDate]]=""),"",tblTraining[[#This Row],[NextDueDate]]-TODAY())</f>
        <v>263</v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>
        <f t="shared" si="18"/>
        <v>1183</v>
      </c>
      <c r="B1184" s="15" t="s">
        <v>86</v>
      </c>
      <c r="C1184" s="15" t="str" cm="1">
        <f t="array" ref="C1184">IFERROR(_xlfn.XLOOKUP(B1184, tblPeople[PersonID], tblPeople[PersonName], ""), "")</f>
        <v>Samuel Okoth</v>
      </c>
      <c r="D1184" s="15" t="s">
        <v>75</v>
      </c>
      <c r="E1184" s="16" t="str">
        <f>IFERROR(_xlfn.XLOOKUP(D1184, tblCourses[CourseID], tblCourses[CourseName], ""), "")</f>
        <v>Fuel Tank Safety Phase 1 &amp; 2 Course (Refresher)</v>
      </c>
      <c r="F1184" s="17">
        <v>46130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184" s="15">
        <f ca="1">IF(OR(tblTraining[[#This Row],[Status]]="Renewed",tblTraining[[#This Row],[NextDueDate]]=""),"",tblTraining[[#This Row],[NextDueDate]]-TODAY())</f>
        <v>575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87</v>
      </c>
      <c r="C1185" s="15" t="str" cm="1">
        <f t="array" ref="C1185">IFERROR(_xlfn.XLOOKUP(B1185, tblPeople[PersonID], tblPeople[PersonName], ""), "")</f>
        <v>Sydney Sawe</v>
      </c>
      <c r="D1185" s="15" t="s">
        <v>75</v>
      </c>
      <c r="E1185" s="16" t="str">
        <f>IFERROR(_xlfn.XLOOKUP(D1185, tblCourses[CourseID], tblCourses[CourseName], ""), "")</f>
        <v>Fuel Tank Safety Phase 1 &amp; 2 Course (Refresher)</v>
      </c>
      <c r="F1185" s="17">
        <v>46132</v>
      </c>
      <c r="G1185" s="17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185" s="15">
        <f ca="1">IF(OR(tblTraining[[#This Row],[Status]]="Renewed",tblTraining[[#This Row],[NextDueDate]]=""),"",tblTraining[[#This Row],[NextDueDate]]-TODAY())</f>
        <v>577</v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>
        <f t="shared" si="18"/>
        <v>1185</v>
      </c>
      <c r="B1186" s="15" t="s">
        <v>155</v>
      </c>
      <c r="C1186" s="15" t="str" cm="1">
        <f t="array" ref="C1186">IFERROR(_xlfn.XLOOKUP(B1186, tblPeople[PersonID], tblPeople[PersonName], ""), "")</f>
        <v>Urbanus Muema</v>
      </c>
      <c r="D1186" s="15" t="s">
        <v>75</v>
      </c>
      <c r="E1186" s="16" t="str">
        <f>IFERROR(_xlfn.XLOOKUP(D1186, tblCourses[CourseID], tblCourses[CourseName], ""), "")</f>
        <v>Fuel Tank Safety Phase 1 &amp; 2 Course (Refresher)</v>
      </c>
      <c r="F1186" s="17">
        <v>46159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186" s="15">
        <f ca="1">IF(OR(tblTraining[[#This Row],[Status]]="Renewed",tblTraining[[#This Row],[NextDueDate]]=""),"",tblTraining[[#This Row],[NextDueDate]]-TODAY())</f>
        <v>604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101</v>
      </c>
      <c r="C1187" s="15" t="str" cm="1">
        <f t="array" ref="C1187">IFERROR(_xlfn.XLOOKUP(B1187, tblPeople[PersonID], tblPeople[PersonName], ""), "")</f>
        <v>Paul Mzera</v>
      </c>
      <c r="D1187" s="15" t="s">
        <v>25</v>
      </c>
      <c r="E1187" s="16" t="str">
        <f>IFERROR(_xlfn.XLOOKUP(D1187, tblCourses[CourseID], tblCourses[CourseName], ""), "")</f>
        <v>Pratt &amp; Whitney Canada PT6A Engine With P&amp;WC PT6A
20/ 27/ 41/ 42/ 60A/ 67D/ 112/ 114A/ 140 (Refresher)</v>
      </c>
      <c r="F1187" s="17">
        <v>46098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187" s="15">
        <f ca="1">IF(OR(tblTraining[[#This Row],[Status]]="Renewed",tblTraining[[#This Row],[NextDueDate]]=""),"",tblTraining[[#This Row],[NextDueDate]]-TODAY())</f>
        <v>543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83</v>
      </c>
      <c r="C1188" s="15" t="str" cm="1">
        <f t="array" ref="C1188">IFERROR(_xlfn.XLOOKUP(B1188, tblPeople[PersonID], tblPeople[PersonName], ""), "")</f>
        <v>Wycliffe Kanana</v>
      </c>
      <c r="D1188" s="15" t="s">
        <v>17</v>
      </c>
      <c r="E1188" s="16" t="str">
        <f>IFERROR(_xlfn.XLOOKUP(D1188, tblCourses[CourseID], tblCourses[CourseName], ""), "")</f>
        <v>Safety Management Systems (Refresher)</v>
      </c>
      <c r="F1188" s="17">
        <v>46073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8" s="15">
        <f ca="1">IF(OR(tblTraining[[#This Row],[Status]]="Renewed",tblTraining[[#This Row],[NextDueDate]]=""),"",tblTraining[[#This Row],[NextDueDate]]-TODAY())</f>
        <v>517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98</v>
      </c>
      <c r="C1189" s="15" t="str" cm="1">
        <f t="array" ref="C1189">IFERROR(_xlfn.XLOOKUP(B1189, tblPeople[PersonID], tblPeople[PersonName], ""), "")</f>
        <v>Thadeus Mong’are</v>
      </c>
      <c r="D1189" s="15" t="s">
        <v>17</v>
      </c>
      <c r="E1189" s="16" t="str">
        <f>IFERROR(_xlfn.XLOOKUP(D1189, tblCourses[CourseID], tblCourses[CourseName], ""), "")</f>
        <v>Safety Management Systems (Refresher)</v>
      </c>
      <c r="F1189" s="17">
        <v>46073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189" s="15">
        <f ca="1">IF(OR(tblTraining[[#This Row],[Status]]="Renewed",tblTraining[[#This Row],[NextDueDate]]=""),"",tblTraining[[#This Row],[NextDueDate]]-TODAY())</f>
        <v>517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440</v>
      </c>
      <c r="C1190" s="15" t="str" cm="1">
        <f t="array" ref="C1190">IFERROR(_xlfn.XLOOKUP(B1190, tblPeople[PersonID], tblPeople[PersonName], ""), "")</f>
        <v>Francis Mutonga</v>
      </c>
      <c r="D1190" s="15" t="s">
        <v>24</v>
      </c>
      <c r="E1190" s="16" t="str">
        <f>IFERROR(_xlfn.XLOOKUP(D1190, tblCourses[CourseID], tblCourses[CourseName], ""), "")</f>
        <v>Human Factors in Aviation (Initial)</v>
      </c>
      <c r="F1190" s="17">
        <v>46166</v>
      </c>
      <c r="G1190" s="17" t="str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0" s="15" t="str">
        <f ca="1">IF(OR(tblTraining[[#This Row],[Status]]="Renewed",tblTraining[[#This Row],[NextDueDate]]=""),"",tblTraining[[#This Row],[NextDueDate]]-TODAY())</f>
        <v/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440</v>
      </c>
      <c r="C1191" s="15" t="str" cm="1">
        <f t="array" ref="C1191">IFERROR(_xlfn.XLOOKUP(B1191, tblPeople[PersonID], tblPeople[PersonName], ""), "")</f>
        <v>Francis Mutonga</v>
      </c>
      <c r="D1191" s="15" t="s">
        <v>22</v>
      </c>
      <c r="E1191" s="16" t="str">
        <f>IFERROR(_xlfn.XLOOKUP(D1191, tblCourses[CourseID], tblCourses[CourseName], ""), "")</f>
        <v>Human Factors in Aviation (Refresher)</v>
      </c>
      <c r="F1191" s="17">
        <v>46166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191" s="15">
        <f ca="1">IF(OR(tblTraining[[#This Row],[Status]]="Renewed",tblTraining[[#This Row],[NextDueDate]]=""),"",tblTraining[[#This Row],[NextDueDate]]-TODAY())</f>
        <v>611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390</v>
      </c>
      <c r="C1192" s="15" t="str" cm="1">
        <f t="array" ref="C1192">IFERROR(_xlfn.XLOOKUP(B1192, tblPeople[PersonID], tblPeople[PersonName], ""), "")</f>
        <v>Benson Gitahi</v>
      </c>
      <c r="D1192" s="15" t="s">
        <v>461</v>
      </c>
      <c r="E1192" s="16" t="str">
        <f>IFERROR(_xlfn.XLOOKUP(D1192, tblCourses[CourseID], tblCourses[CourseName], ""), "")</f>
        <v>Ramp Safety Training - Initial</v>
      </c>
      <c r="F1192" s="17">
        <v>46149</v>
      </c>
      <c r="G1192" s="17" t="str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2" s="15" t="str">
        <f ca="1">IF(OR(tblTraining[[#This Row],[Status]]="Renewed",tblTraining[[#This Row],[NextDueDate]]=""),"",tblTraining[[#This Row],[NextDueDate]]-TODAY())</f>
        <v/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390</v>
      </c>
      <c r="C1193" s="15" t="str" cm="1">
        <f t="array" ref="C1193">IFERROR(_xlfn.XLOOKUP(B1193, tblPeople[PersonID], tblPeople[PersonName], ""), "")</f>
        <v>Benson Gitahi</v>
      </c>
      <c r="D1193" s="15" t="s">
        <v>462</v>
      </c>
      <c r="E1193" s="16" t="str">
        <f>IFERROR(_xlfn.XLOOKUP(D1193, tblCourses[CourseID], tblCourses[CourseName], ""), "")</f>
        <v>Ramp Safety Training - Recurrent</v>
      </c>
      <c r="F1193" s="17">
        <v>46149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3" s="15">
        <f ca="1">IF(OR(tblTraining[[#This Row],[Status]]="Renewed",tblTraining[[#This Row],[NextDueDate]]=""),"",tblTraining[[#This Row],[NextDueDate]]-TODAY())</f>
        <v>594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402</v>
      </c>
      <c r="C1194" s="15" t="str" cm="1">
        <f t="array" ref="C1194">IFERROR(_xlfn.XLOOKUP(B1194, tblPeople[PersonID], tblPeople[PersonName], ""), "")</f>
        <v>Venessa Ikileng'</v>
      </c>
      <c r="D1194" s="15" t="s">
        <v>461</v>
      </c>
      <c r="E1194" s="16" t="str">
        <f>IFERROR(_xlfn.XLOOKUP(D1194, tblCourses[CourseID], tblCourses[CourseName], ""), "")</f>
        <v>Ramp Safety Training - Initial</v>
      </c>
      <c r="F1194" s="17">
        <v>46149</v>
      </c>
      <c r="G1194" s="17" t="str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4" s="15" t="str">
        <f ca="1">IF(OR(tblTraining[[#This Row],[Status]]="Renewed",tblTraining[[#This Row],[NextDueDate]]=""),"",tblTraining[[#This Row],[NextDueDate]]-TODAY())</f>
        <v/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402</v>
      </c>
      <c r="C1195" s="15" t="str" cm="1">
        <f t="array" ref="C1195">IFERROR(_xlfn.XLOOKUP(B1195, tblPeople[PersonID], tblPeople[PersonName], ""), "")</f>
        <v>Venessa Ikileng'</v>
      </c>
      <c r="D1195" s="15" t="s">
        <v>462</v>
      </c>
      <c r="E1195" s="16" t="str">
        <f>IFERROR(_xlfn.XLOOKUP(D1195, tblCourses[CourseID], tblCourses[CourseName], ""), "")</f>
        <v>Ramp Safety Training - Recurrent</v>
      </c>
      <c r="F1195" s="17">
        <v>46149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5" s="15">
        <f ca="1">IF(OR(tblTraining[[#This Row],[Status]]="Renewed",tblTraining[[#This Row],[NextDueDate]]=""),"",tblTraining[[#This Row],[NextDueDate]]-TODAY())</f>
        <v>594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403</v>
      </c>
      <c r="C1196" s="15" t="str" cm="1">
        <f t="array" ref="C1196">IFERROR(_xlfn.XLOOKUP(B1196, tblPeople[PersonID], tblPeople[PersonName], ""), "")</f>
        <v>Prudence Muhami</v>
      </c>
      <c r="D1196" s="15" t="s">
        <v>461</v>
      </c>
      <c r="E1196" s="16" t="str">
        <f>IFERROR(_xlfn.XLOOKUP(D1196, tblCourses[CourseID], tblCourses[CourseName], ""), "")</f>
        <v>Ramp Safety Training - Initial</v>
      </c>
      <c r="F1196" s="17">
        <v>46149</v>
      </c>
      <c r="G1196" s="17" t="str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6" s="15" t="str">
        <f ca="1">IF(OR(tblTraining[[#This Row],[Status]]="Renewed",tblTraining[[#This Row],[NextDueDate]]=""),"",tblTraining[[#This Row],[NextDueDate]]-TODAY())</f>
        <v/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403</v>
      </c>
      <c r="C1197" s="15" t="str" cm="1">
        <f t="array" ref="C1197">IFERROR(_xlfn.XLOOKUP(B1197, tblPeople[PersonID], tblPeople[PersonName], ""), "")</f>
        <v>Prudence Muhami</v>
      </c>
      <c r="D1197" s="15" t="s">
        <v>462</v>
      </c>
      <c r="E1197" s="16" t="str">
        <f>IFERROR(_xlfn.XLOOKUP(D1197, tblCourses[CourseID], tblCourses[CourseName], ""), "")</f>
        <v>Ramp Safety Training - Recurrent</v>
      </c>
      <c r="F1197" s="17">
        <v>46149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7" s="15">
        <f ca="1">IF(OR(tblTraining[[#This Row],[Status]]="Renewed",tblTraining[[#This Row],[NextDueDate]]=""),"",tblTraining[[#This Row],[NextDueDate]]-TODAY())</f>
        <v>594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406</v>
      </c>
      <c r="C1198" s="15" t="str" cm="1">
        <f t="array" ref="C1198">IFERROR(_xlfn.XLOOKUP(B1198, tblPeople[PersonID], tblPeople[PersonName], ""), "")</f>
        <v>James Muisyo</v>
      </c>
      <c r="D1198" s="15" t="s">
        <v>461</v>
      </c>
      <c r="E1198" s="16" t="str">
        <f>IFERROR(_xlfn.XLOOKUP(D1198, tblCourses[CourseID], tblCourses[CourseName], ""), "")</f>
        <v>Ramp Safety Training - Initial</v>
      </c>
      <c r="F1198" s="17">
        <v>46149</v>
      </c>
      <c r="G1198" s="17" t="str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98" s="15" t="str">
        <f ca="1">IF(OR(tblTraining[[#This Row],[Status]]="Renewed",tblTraining[[#This Row],[NextDueDate]]=""),"",tblTraining[[#This Row],[NextDueDate]]-TODAY())</f>
        <v/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406</v>
      </c>
      <c r="C1199" s="15" t="str" cm="1">
        <f t="array" ref="C1199">IFERROR(_xlfn.XLOOKUP(B1199, tblPeople[PersonID], tblPeople[PersonName], ""), "")</f>
        <v>James Muisyo</v>
      </c>
      <c r="D1199" s="15" t="s">
        <v>462</v>
      </c>
      <c r="E1199" s="16" t="str">
        <f>IFERROR(_xlfn.XLOOKUP(D1199, tblCourses[CourseID], tblCourses[CourseName], ""), "")</f>
        <v>Ramp Safety Training - Recurrent</v>
      </c>
      <c r="F1199" s="17">
        <v>46149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199" s="15">
        <f ca="1">IF(OR(tblTraining[[#This Row],[Status]]="Renewed",tblTraining[[#This Row],[NextDueDate]]=""),"",tblTraining[[#This Row],[NextDueDate]]-TODAY())</f>
        <v>594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435</v>
      </c>
      <c r="C1200" s="15" t="str" cm="1">
        <f t="array" ref="C1200">IFERROR(_xlfn.XLOOKUP(B1200, tblPeople[PersonID], tblPeople[PersonName], ""), "")</f>
        <v>Mary Chelagat</v>
      </c>
      <c r="D1200" s="15" t="s">
        <v>461</v>
      </c>
      <c r="E1200" s="16" t="str">
        <f>IFERROR(_xlfn.XLOOKUP(D1200, tblCourses[CourseID], tblCourses[CourseName], ""), "")</f>
        <v>Ramp Safety Training - Initial</v>
      </c>
      <c r="F1200" s="17">
        <v>46149</v>
      </c>
      <c r="G1200" s="17" t="str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0" s="15" t="str">
        <f ca="1">IF(OR(tblTraining[[#This Row],[Status]]="Renewed",tblTraining[[#This Row],[NextDueDate]]=""),"",tblTraining[[#This Row],[NextDueDate]]-TODAY())</f>
        <v/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435</v>
      </c>
      <c r="C1201" s="15" t="str" cm="1">
        <f t="array" ref="C1201">IFERROR(_xlfn.XLOOKUP(B1201, tblPeople[PersonID], tblPeople[PersonName], ""), "")</f>
        <v>Mary Chelagat</v>
      </c>
      <c r="D1201" s="15" t="s">
        <v>462</v>
      </c>
      <c r="E1201" s="16" t="str">
        <f>IFERROR(_xlfn.XLOOKUP(D1201, tblCourses[CourseID], tblCourses[CourseName], ""), "")</f>
        <v>Ramp Safety Training - Recurrent</v>
      </c>
      <c r="F1201" s="17">
        <v>46149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1" s="15">
        <f ca="1">IF(OR(tblTraining[[#This Row],[Status]]="Renewed",tblTraining[[#This Row],[NextDueDate]]=""),"",tblTraining[[#This Row],[NextDueDate]]-TODAY())</f>
        <v>594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436</v>
      </c>
      <c r="C1202" s="15" t="str" cm="1">
        <f t="array" ref="C1202">IFERROR(_xlfn.XLOOKUP(B1202, tblPeople[PersonID], tblPeople[PersonName], ""), "")</f>
        <v>Alfred Okudo</v>
      </c>
      <c r="D1202" s="15" t="s">
        <v>461</v>
      </c>
      <c r="E1202" s="16" t="str">
        <f>IFERROR(_xlfn.XLOOKUP(D1202, tblCourses[CourseID], tblCourses[CourseName], ""), "")</f>
        <v>Ramp Safety Training - Initial</v>
      </c>
      <c r="F1202" s="17">
        <v>46149</v>
      </c>
      <c r="G1202" s="17" t="str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2" s="15" t="str">
        <f ca="1">IF(OR(tblTraining[[#This Row],[Status]]="Renewed",tblTraining[[#This Row],[NextDueDate]]=""),"",tblTraining[[#This Row],[NextDueDate]]-TODAY())</f>
        <v/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3" spans="1:9" x14ac:dyDescent="0.25">
      <c r="A1203" s="15">
        <f t="shared" si="18"/>
        <v>1202</v>
      </c>
      <c r="B1203" s="15" t="s">
        <v>436</v>
      </c>
      <c r="C1203" s="15" t="str" cm="1">
        <f t="array" ref="C1203">IFERROR(_xlfn.XLOOKUP(B1203, tblPeople[PersonID], tblPeople[PersonName], ""), "")</f>
        <v>Alfred Okudo</v>
      </c>
      <c r="D1203" s="15" t="s">
        <v>462</v>
      </c>
      <c r="E1203" s="16" t="str">
        <f>IFERROR(_xlfn.XLOOKUP(D1203, tblCourses[CourseID], tblCourses[CourseName], ""), "")</f>
        <v>Ramp Safety Training - Recurrent</v>
      </c>
      <c r="F1203" s="17">
        <v>46149</v>
      </c>
      <c r="G1203" s="17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3" s="15">
        <f ca="1">IF(OR(tblTraining[[#This Row],[Status]]="Renewed",tblTraining[[#This Row],[NextDueDate]]=""),"",tblTraining[[#This Row],[NextDueDate]]-TODAY())</f>
        <v>594</v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4" spans="1:9" x14ac:dyDescent="0.25">
      <c r="A1204" s="15">
        <f t="shared" si="18"/>
        <v>1203</v>
      </c>
      <c r="B1204" s="15" t="s">
        <v>437</v>
      </c>
      <c r="C1204" s="15" t="str" cm="1">
        <f t="array" ref="C1204">IFERROR(_xlfn.XLOOKUP(B1204, tblPeople[PersonID], tblPeople[PersonName], ""), "")</f>
        <v>Martin Chege</v>
      </c>
      <c r="D1204" s="15" t="s">
        <v>461</v>
      </c>
      <c r="E1204" s="16" t="str">
        <f>IFERROR(_xlfn.XLOOKUP(D1204, tblCourses[CourseID], tblCourses[CourseName], ""), "")</f>
        <v>Ramp Safety Training - Initial</v>
      </c>
      <c r="F1204" s="17">
        <v>46149</v>
      </c>
      <c r="G1204" s="17" t="str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4" s="15" t="str">
        <f ca="1">IF(OR(tblTraining[[#This Row],[Status]]="Renewed",tblTraining[[#This Row],[NextDueDate]]=""),"",tblTraining[[#This Row],[NextDueDate]]-TODAY())</f>
        <v/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437</v>
      </c>
      <c r="C1205" s="15" t="str" cm="1">
        <f t="array" ref="C1205">IFERROR(_xlfn.XLOOKUP(B1205, tblPeople[PersonID], tblPeople[PersonName], ""), "")</f>
        <v>Martin Chege</v>
      </c>
      <c r="D1205" s="15" t="s">
        <v>462</v>
      </c>
      <c r="E1205" s="16" t="str">
        <f>IFERROR(_xlfn.XLOOKUP(D1205, tblCourses[CourseID], tblCourses[CourseName], ""), "")</f>
        <v>Ramp Safety Training - Recurrent</v>
      </c>
      <c r="F1205" s="17">
        <v>46149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5" s="15">
        <f ca="1">IF(OR(tblTraining[[#This Row],[Status]]="Renewed",tblTraining[[#This Row],[NextDueDate]]=""),"",tblTraining[[#This Row],[NextDueDate]]-TODAY())</f>
        <v>594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>
        <f t="shared" si="18"/>
        <v>1205</v>
      </c>
      <c r="B1206" s="15" t="s">
        <v>438</v>
      </c>
      <c r="C1206" s="15" t="str" cm="1">
        <f t="array" ref="C1206">IFERROR(_xlfn.XLOOKUP(B1206, tblPeople[PersonID], tblPeople[PersonName], ""), "")</f>
        <v>Brian Muga</v>
      </c>
      <c r="D1206" s="15" t="s">
        <v>461</v>
      </c>
      <c r="E1206" s="16" t="str">
        <f>IFERROR(_xlfn.XLOOKUP(D1206, tblCourses[CourseID], tblCourses[CourseName], ""), "")</f>
        <v>Ramp Safety Training - Initial</v>
      </c>
      <c r="F1206" s="17">
        <v>46149</v>
      </c>
      <c r="G1206" s="17" t="str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6" s="15" t="str">
        <f ca="1">IF(OR(tblTraining[[#This Row],[Status]]="Renewed",tblTraining[[#This Row],[NextDueDate]]=""),"",tblTraining[[#This Row],[NextDueDate]]-TODAY())</f>
        <v/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>
        <f t="shared" si="18"/>
        <v>1206</v>
      </c>
      <c r="B1207" s="15" t="s">
        <v>438</v>
      </c>
      <c r="C1207" s="15" t="str" cm="1">
        <f t="array" ref="C1207">IFERROR(_xlfn.XLOOKUP(B1207, tblPeople[PersonID], tblPeople[PersonName], ""), "")</f>
        <v>Brian Muga</v>
      </c>
      <c r="D1207" s="15" t="s">
        <v>462</v>
      </c>
      <c r="E1207" s="16" t="str">
        <f>IFERROR(_xlfn.XLOOKUP(D1207, tblCourses[CourseID], tblCourses[CourseName], ""), "")</f>
        <v>Ramp Safety Training - Recurrent</v>
      </c>
      <c r="F1207" s="17">
        <v>46149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7" s="15">
        <f ca="1">IF(OR(tblTraining[[#This Row],[Status]]="Renewed",tblTraining[[#This Row],[NextDueDate]]=""),"",tblTraining[[#This Row],[NextDueDate]]-TODAY())</f>
        <v>594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443</v>
      </c>
      <c r="C1208" s="15" t="str" cm="1">
        <f t="array" ref="C1208">IFERROR(_xlfn.XLOOKUP(B1208, tblPeople[PersonID], tblPeople[PersonName], ""), "")</f>
        <v>Evans Maingi</v>
      </c>
      <c r="D1208" s="15" t="s">
        <v>461</v>
      </c>
      <c r="E1208" s="16" t="str">
        <f>IFERROR(_xlfn.XLOOKUP(D1208, tblCourses[CourseID], tblCourses[CourseName], ""), "")</f>
        <v>Ramp Safety Training - Initial</v>
      </c>
      <c r="F1208" s="17">
        <v>46149</v>
      </c>
      <c r="G1208" s="17" t="str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8" s="15" t="str">
        <f ca="1">IF(OR(tblTraining[[#This Row],[Status]]="Renewed",tblTraining[[#This Row],[NextDueDate]]=""),"",tblTraining[[#This Row],[NextDueDate]]-TODAY())</f>
        <v/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443</v>
      </c>
      <c r="C1209" s="15" t="str" cm="1">
        <f t="array" ref="C1209">IFERROR(_xlfn.XLOOKUP(B1209, tblPeople[PersonID], tblPeople[PersonName], ""), "")</f>
        <v>Evans Maingi</v>
      </c>
      <c r="D1209" s="15" t="s">
        <v>462</v>
      </c>
      <c r="E1209" s="16" t="str">
        <f>IFERROR(_xlfn.XLOOKUP(D1209, tblCourses[CourseID], tblCourses[CourseName], ""), "")</f>
        <v>Ramp Safety Training - Recurrent</v>
      </c>
      <c r="F1209" s="17">
        <v>46149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09" s="15">
        <f ca="1">IF(OR(tblTraining[[#This Row],[Status]]="Renewed",tblTraining[[#This Row],[NextDueDate]]=""),"",tblTraining[[#This Row],[NextDueDate]]-TODAY())</f>
        <v>594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440</v>
      </c>
      <c r="C1210" s="15" t="str" cm="1">
        <f t="array" ref="C1210">IFERROR(_xlfn.XLOOKUP(B1210, tblPeople[PersonID], tblPeople[PersonName], ""), "")</f>
        <v>Francis Mutonga</v>
      </c>
      <c r="D1210" s="15" t="s">
        <v>461</v>
      </c>
      <c r="E1210" s="16" t="str">
        <f>IFERROR(_xlfn.XLOOKUP(D1210, tblCourses[CourseID], tblCourses[CourseName], ""), "")</f>
        <v>Ramp Safety Training - Initial</v>
      </c>
      <c r="F1210" s="17">
        <v>46149</v>
      </c>
      <c r="G1210" s="17" t="str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0" s="15" t="str">
        <f ca="1">IF(OR(tblTraining[[#This Row],[Status]]="Renewed",tblTraining[[#This Row],[NextDueDate]]=""),"",tblTraining[[#This Row],[NextDueDate]]-TODAY())</f>
        <v/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>
        <f t="shared" si="18"/>
        <v>1210</v>
      </c>
      <c r="B1211" s="15" t="s">
        <v>440</v>
      </c>
      <c r="C1211" s="15" t="str" cm="1">
        <f t="array" ref="C1211">IFERROR(_xlfn.XLOOKUP(B1211, tblPeople[PersonID], tblPeople[PersonName], ""), "")</f>
        <v>Francis Mutonga</v>
      </c>
      <c r="D1211" s="15" t="s">
        <v>462</v>
      </c>
      <c r="E1211" s="16" t="str">
        <f>IFERROR(_xlfn.XLOOKUP(D1211, tblCourses[CourseID], tblCourses[CourseName], ""), "")</f>
        <v>Ramp Safety Training - Recurrent</v>
      </c>
      <c r="F1211" s="17">
        <v>46149</v>
      </c>
      <c r="G1211" s="17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1" s="15">
        <f ca="1">IF(OR(tblTraining[[#This Row],[Status]]="Renewed",tblTraining[[#This Row],[NextDueDate]]=""),"",tblTraining[[#This Row],[NextDueDate]]-TODAY())</f>
        <v>594</v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390</v>
      </c>
      <c r="C1212" s="15" t="str" cm="1">
        <f t="array" ref="C1212">IFERROR(_xlfn.XLOOKUP(B1212, tblPeople[PersonID], tblPeople[PersonName], ""), "")</f>
        <v>Benson Gitahi</v>
      </c>
      <c r="D1212" s="15" t="s">
        <v>463</v>
      </c>
      <c r="E1212" s="16" t="str">
        <f>IFERROR(_xlfn.XLOOKUP(D1212, tblCourses[CourseID], tblCourses[CourseName], ""), "")</f>
        <v>Fire Safety Training</v>
      </c>
      <c r="F1212" s="17">
        <v>46148</v>
      </c>
      <c r="G1212" s="17" t="str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2" s="15" t="str">
        <f ca="1">IF(OR(tblTraining[[#This Row],[Status]]="Renewed",tblTraining[[#This Row],[NextDueDate]]=""),"",tblTraining[[#This Row],[NextDueDate]]-TODAY())</f>
        <v/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402</v>
      </c>
      <c r="C1213" s="15" t="str" cm="1">
        <f t="array" ref="C1213">IFERROR(_xlfn.XLOOKUP(B1213, tblPeople[PersonID], tblPeople[PersonName], ""), "")</f>
        <v>Venessa Ikileng'</v>
      </c>
      <c r="D1213" s="15" t="s">
        <v>463</v>
      </c>
      <c r="E1213" s="16" t="str">
        <f>IFERROR(_xlfn.XLOOKUP(D1213, tblCourses[CourseID], tblCourses[CourseName], ""), "")</f>
        <v>Fire Safety Training</v>
      </c>
      <c r="F1213" s="17">
        <v>46148</v>
      </c>
      <c r="G1213" s="17" t="str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3" s="15" t="str">
        <f ca="1">IF(OR(tblTraining[[#This Row],[Status]]="Renewed",tblTraining[[#This Row],[NextDueDate]]=""),"",tblTraining[[#This Row],[NextDueDate]]-TODAY())</f>
        <v/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403</v>
      </c>
      <c r="C1214" s="15" t="str" cm="1">
        <f t="array" ref="C1214">IFERROR(_xlfn.XLOOKUP(B1214, tblPeople[PersonID], tblPeople[PersonName], ""), "")</f>
        <v>Prudence Muhami</v>
      </c>
      <c r="D1214" s="15" t="s">
        <v>463</v>
      </c>
      <c r="E1214" s="16" t="str">
        <f>IFERROR(_xlfn.XLOOKUP(D1214, tblCourses[CourseID], tblCourses[CourseName], ""), "")</f>
        <v>Fire Safety Training</v>
      </c>
      <c r="F1214" s="17">
        <v>46148</v>
      </c>
      <c r="G1214" s="17" t="str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4" s="15" t="str">
        <f ca="1">IF(OR(tblTraining[[#This Row],[Status]]="Renewed",tblTraining[[#This Row],[NextDueDate]]=""),"",tblTraining[[#This Row],[NextDueDate]]-TODAY())</f>
        <v/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406</v>
      </c>
      <c r="C1215" s="15" t="str" cm="1">
        <f t="array" ref="C1215">IFERROR(_xlfn.XLOOKUP(B1215, tblPeople[PersonID], tblPeople[PersonName], ""), "")</f>
        <v>James Muisyo</v>
      </c>
      <c r="D1215" s="15" t="s">
        <v>463</v>
      </c>
      <c r="E1215" s="16" t="str">
        <f>IFERROR(_xlfn.XLOOKUP(D1215, tblCourses[CourseID], tblCourses[CourseName], ""), "")</f>
        <v>Fire Safety Training</v>
      </c>
      <c r="F1215" s="17">
        <v>46148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435</v>
      </c>
      <c r="C1216" s="15" t="str" cm="1">
        <f t="array" ref="C1216">IFERROR(_xlfn.XLOOKUP(B1216, tblPeople[PersonID], tblPeople[PersonName], ""), "")</f>
        <v>Mary Chelagat</v>
      </c>
      <c r="D1216" s="15" t="s">
        <v>463</v>
      </c>
      <c r="E1216" s="16" t="str">
        <f>IFERROR(_xlfn.XLOOKUP(D1216, tblCourses[CourseID], tblCourses[CourseName], ""), "")</f>
        <v>Fire Safety Training</v>
      </c>
      <c r="F1216" s="17">
        <v>46148</v>
      </c>
      <c r="G1216" s="17" t="str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6" s="15" t="str">
        <f ca="1">IF(OR(tblTraining[[#This Row],[Status]]="Renewed",tblTraining[[#This Row],[NextDueDate]]=""),"",tblTraining[[#This Row],[NextDueDate]]-TODAY())</f>
        <v/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436</v>
      </c>
      <c r="C1217" s="15" t="str" cm="1">
        <f t="array" ref="C1217">IFERROR(_xlfn.XLOOKUP(B1217, tblPeople[PersonID], tblPeople[PersonName], ""), "")</f>
        <v>Alfred Okudo</v>
      </c>
      <c r="D1217" s="15" t="s">
        <v>463</v>
      </c>
      <c r="E1217" s="16" t="str">
        <f>IFERROR(_xlfn.XLOOKUP(D1217, tblCourses[CourseID], tblCourses[CourseName], ""), "")</f>
        <v>Fire Safety Training</v>
      </c>
      <c r="F1217" s="17">
        <v>46148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437</v>
      </c>
      <c r="C1218" s="15" t="str" cm="1">
        <f t="array" ref="C1218">IFERROR(_xlfn.XLOOKUP(B1218, tblPeople[PersonID], tblPeople[PersonName], ""), "")</f>
        <v>Martin Chege</v>
      </c>
      <c r="D1218" s="15" t="s">
        <v>463</v>
      </c>
      <c r="E1218" s="16" t="str">
        <f>IFERROR(_xlfn.XLOOKUP(D1218, tblCourses[CourseID], tblCourses[CourseName], ""), "")</f>
        <v>Fire Safety Training</v>
      </c>
      <c r="F1218" s="17">
        <v>46148</v>
      </c>
      <c r="G1218" s="17" t="str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8" s="15" t="str">
        <f ca="1">IF(OR(tblTraining[[#This Row],[Status]]="Renewed",tblTraining[[#This Row],[NextDueDate]]=""),"",tblTraining[[#This Row],[NextDueDate]]-TODAY())</f>
        <v/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438</v>
      </c>
      <c r="C1219" s="15" t="str" cm="1">
        <f t="array" ref="C1219">IFERROR(_xlfn.XLOOKUP(B1219, tblPeople[PersonID], tblPeople[PersonName], ""), "")</f>
        <v>Brian Muga</v>
      </c>
      <c r="D1219" s="15" t="s">
        <v>463</v>
      </c>
      <c r="E1219" s="16" t="str">
        <f>IFERROR(_xlfn.XLOOKUP(D1219, tblCourses[CourseID], tblCourses[CourseName], ""), "")</f>
        <v>Fire Safety Training</v>
      </c>
      <c r="F1219" s="17">
        <v>46148</v>
      </c>
      <c r="G1219" s="17" t="str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9" s="15" t="str">
        <f ca="1">IF(OR(tblTraining[[#This Row],[Status]]="Renewed",tblTraining[[#This Row],[NextDueDate]]=""),"",tblTraining[[#This Row],[NextDueDate]]-TODAY())</f>
        <v/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443</v>
      </c>
      <c r="C1220" s="15" t="str" cm="1">
        <f t="array" ref="C1220">IFERROR(_xlfn.XLOOKUP(B1220, tblPeople[PersonID], tblPeople[PersonName], ""), "")</f>
        <v>Evans Maingi</v>
      </c>
      <c r="D1220" s="15" t="s">
        <v>463</v>
      </c>
      <c r="E1220" s="16" t="str">
        <f>IFERROR(_xlfn.XLOOKUP(D1220, tblCourses[CourseID], tblCourses[CourseName], ""), "")</f>
        <v>Fire Safety Training</v>
      </c>
      <c r="F1220" s="17">
        <v>46148</v>
      </c>
      <c r="G1220" s="17" t="str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0" s="15" t="str">
        <f ca="1">IF(OR(tblTraining[[#This Row],[Status]]="Renewed",tblTraining[[#This Row],[NextDueDate]]=""),"",tblTraining[[#This Row],[NextDueDate]]-TODAY())</f>
        <v/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440</v>
      </c>
      <c r="C1221" s="15" t="str" cm="1">
        <f t="array" ref="C1221">IFERROR(_xlfn.XLOOKUP(B1221, tblPeople[PersonID], tblPeople[PersonName], ""), "")</f>
        <v>Francis Mutonga</v>
      </c>
      <c r="D1221" s="15" t="s">
        <v>463</v>
      </c>
      <c r="E1221" s="16" t="str">
        <f>IFERROR(_xlfn.XLOOKUP(D1221, tblCourses[CourseID], tblCourses[CourseName], ""), "")</f>
        <v>Fire Safety Training</v>
      </c>
      <c r="F1221" s="17">
        <v>46148</v>
      </c>
      <c r="G1221" s="17" t="str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1" s="15" t="str">
        <f ca="1">IF(OR(tblTraining[[#This Row],[Status]]="Renewed",tblTraining[[#This Row],[NextDueDate]]=""),"",tblTraining[[#This Row],[NextDueDate]]-TODAY())</f>
        <v/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443</v>
      </c>
      <c r="C1222" s="15" t="str" cm="1">
        <f t="array" ref="C1222">IFERROR(_xlfn.XLOOKUP(B1222, tblPeople[PersonID], tblPeople[PersonName], ""), "")</f>
        <v>Evans Maingi</v>
      </c>
      <c r="D1222" s="15" t="s">
        <v>232</v>
      </c>
      <c r="E1222" s="16" t="str">
        <f>IFERROR(_xlfn.XLOOKUP(D1222, tblCourses[CourseID], tblCourses[CourseName], ""), "")</f>
        <v>Crew Resource Management (Initial)</v>
      </c>
      <c r="F1222" s="17">
        <v>46140</v>
      </c>
      <c r="G1222" s="17" t="str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2" s="15" t="str">
        <f ca="1">IF(OR(tblTraining[[#This Row],[Status]]="Renewed",tblTraining[[#This Row],[NextDueDate]]=""),"",tblTraining[[#This Row],[NextDueDate]]-TODAY())</f>
        <v/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443</v>
      </c>
      <c r="C1223" s="15" t="str" cm="1">
        <f t="array" ref="C1223">IFERROR(_xlfn.XLOOKUP(B1223, tblPeople[PersonID], tblPeople[PersonName], ""), "")</f>
        <v>Evans Maingi</v>
      </c>
      <c r="D1223" s="15" t="s">
        <v>231</v>
      </c>
      <c r="E1223" s="16" t="str">
        <f>IFERROR(_xlfn.XLOOKUP(D1223, tblCourses[CourseID], tblCourses[CourseName], ""), "")</f>
        <v>Crew Resource Management (Refresher)</v>
      </c>
      <c r="F1223" s="17">
        <v>46140</v>
      </c>
      <c r="G1223" s="17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23" s="15">
        <f ca="1">IF(OR(tblTraining[[#This Row],[Status]]="Renewed",tblTraining[[#This Row],[NextDueDate]]=""),"",tblTraining[[#This Row],[NextDueDate]]-TODAY())</f>
        <v>585</v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435</v>
      </c>
      <c r="C1224" s="15" t="str" cm="1">
        <f t="array" ref="C1224">IFERROR(_xlfn.XLOOKUP(B1224, tblPeople[PersonID], tblPeople[PersonName], ""), "")</f>
        <v>Mary Chelagat</v>
      </c>
      <c r="D1224" s="15" t="s">
        <v>24</v>
      </c>
      <c r="E1224" s="16" t="str">
        <f>IFERROR(_xlfn.XLOOKUP(D1224, tblCourses[CourseID], tblCourses[CourseName], ""), "")</f>
        <v>Human Factors in Aviation (Initial)</v>
      </c>
      <c r="F1224" s="17">
        <v>46167</v>
      </c>
      <c r="G1224" s="17" t="str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4" s="15" t="str">
        <f ca="1">IF(OR(tblTraining[[#This Row],[Status]]="Renewed",tblTraining[[#This Row],[NextDueDate]]=""),"",tblTraining[[#This Row],[NextDueDate]]-TODAY())</f>
        <v/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435</v>
      </c>
      <c r="C1225" s="15" t="str" cm="1">
        <f t="array" ref="C1225">IFERROR(_xlfn.XLOOKUP(B1225, tblPeople[PersonID], tblPeople[PersonName], ""), "")</f>
        <v>Mary Chelagat</v>
      </c>
      <c r="D1225" s="15" t="s">
        <v>22</v>
      </c>
      <c r="E1225" s="16" t="str">
        <f>IFERROR(_xlfn.XLOOKUP(D1225, tblCourses[CourseID], tblCourses[CourseName], ""), "")</f>
        <v>Human Factors in Aviation (Refresher)</v>
      </c>
      <c r="F1225" s="17">
        <v>46167</v>
      </c>
      <c r="G1225" s="17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25" s="15">
        <f ca="1">IF(OR(tblTraining[[#This Row],[Status]]="Renewed",tblTraining[[#This Row],[NextDueDate]]=""),"",tblTraining[[#This Row],[NextDueDate]]-TODAY())</f>
        <v>612</v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95</v>
      </c>
      <c r="C1226" s="15" t="str" cm="1">
        <f t="array" ref="C1226">IFERROR(_xlfn.XLOOKUP(B1226, tblPeople[PersonID], tblPeople[PersonName], ""), "")</f>
        <v>Walter Kibet</v>
      </c>
      <c r="D1226" s="15" t="s">
        <v>30</v>
      </c>
      <c r="E1226" s="16" t="str">
        <f>IFERROR(_xlfn.XLOOKUP(D1226, tblCourses[CourseID], tblCourses[CourseName], ""), "")</f>
        <v>Dangerous Goods Regulations (CBTA 7.3) (Refresher)</v>
      </c>
      <c r="F1226" s="17">
        <v>46127</v>
      </c>
      <c r="G1226" s="17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6" s="15">
        <f ca="1">IF(OR(tblTraining[[#This Row],[Status]]="Renewed",tblTraining[[#This Row],[NextDueDate]]=""),"",tblTraining[[#This Row],[NextDueDate]]-TODAY())</f>
        <v>572</v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98</v>
      </c>
      <c r="C1227" s="15" t="str" cm="1">
        <f t="array" ref="C1227">IFERROR(_xlfn.XLOOKUP(B1227, tblPeople[PersonID], tblPeople[PersonName], ""), "")</f>
        <v>Thadeus Mong’are</v>
      </c>
      <c r="D1227" s="15" t="s">
        <v>30</v>
      </c>
      <c r="E1227" s="16" t="str">
        <f>IFERROR(_xlfn.XLOOKUP(D1227, tblCourses[CourseID], tblCourses[CourseName], ""), "")</f>
        <v>Dangerous Goods Regulations (CBTA 7.3) (Refresher)</v>
      </c>
      <c r="F1227" s="17">
        <v>46127</v>
      </c>
      <c r="G1227" s="17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7" s="15">
        <f ca="1">IF(OR(tblTraining[[#This Row],[Status]]="Renewed",tblTraining[[#This Row],[NextDueDate]]=""),"",tblTraining[[#This Row],[NextDueDate]]-TODAY())</f>
        <v>572</v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153</v>
      </c>
      <c r="C1228" s="15" t="str" cm="1">
        <f t="array" ref="C1228">IFERROR(_xlfn.XLOOKUP(B1228, tblPeople[PersonID], tblPeople[PersonName], ""), "")</f>
        <v>Judith Wandera</v>
      </c>
      <c r="D1228" s="15" t="s">
        <v>30</v>
      </c>
      <c r="E1228" s="16" t="str">
        <f>IFERROR(_xlfn.XLOOKUP(D1228, tblCourses[CourseID], tblCourses[CourseName], ""), "")</f>
        <v>Dangerous Goods Regulations (CBTA 7.3) (Refresher)</v>
      </c>
      <c r="F1228" s="17">
        <v>46127</v>
      </c>
      <c r="G1228" s="17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8" s="15">
        <f ca="1">IF(OR(tblTraining[[#This Row],[Status]]="Renewed",tblTraining[[#This Row],[NextDueDate]]=""),"",tblTraining[[#This Row],[NextDueDate]]-TODAY())</f>
        <v>572</v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91</v>
      </c>
      <c r="C1229" s="15" t="str" cm="1">
        <f t="array" ref="C1229">IFERROR(_xlfn.XLOOKUP(B1229, tblPeople[PersonID], tblPeople[PersonName], ""), "")</f>
        <v>Dunstan Kwalanda</v>
      </c>
      <c r="D1229" s="15" t="s">
        <v>30</v>
      </c>
      <c r="E1229" s="16" t="str">
        <f>IFERROR(_xlfn.XLOOKUP(D1229, tblCourses[CourseID], tblCourses[CourseName], ""), "")</f>
        <v>Dangerous Goods Regulations (CBTA 7.3) (Refresher)</v>
      </c>
      <c r="F1229" s="17">
        <v>46127</v>
      </c>
      <c r="G1229" s="17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29" s="15">
        <f ca="1">IF(OR(tblTraining[[#This Row],[Status]]="Renewed",tblTraining[[#This Row],[NextDueDate]]=""),"",tblTraining[[#This Row],[NextDueDate]]-TODAY())</f>
        <v>572</v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105</v>
      </c>
      <c r="C1230" s="15" t="str" cm="1">
        <f t="array" ref="C1230">IFERROR(_xlfn.XLOOKUP(B1230, tblPeople[PersonID], tblPeople[PersonName], ""), "")</f>
        <v>Fred Magotsi</v>
      </c>
      <c r="D1230" s="15" t="s">
        <v>75</v>
      </c>
      <c r="E1230" s="16" t="str">
        <f>IFERROR(_xlfn.XLOOKUP(D1230, tblCourses[CourseID], tblCourses[CourseName], ""), "")</f>
        <v>Fuel Tank Safety Phase 1 &amp; 2 Course (Refresher)</v>
      </c>
      <c r="F1230" s="17">
        <v>46147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30" s="15">
        <f ca="1">IF(OR(tblTraining[[#This Row],[Status]]="Renewed",tblTraining[[#This Row],[NextDueDate]]=""),"",tblTraining[[#This Row],[NextDueDate]]-TODAY())</f>
        <v>592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261</v>
      </c>
      <c r="C1231" s="15" t="str" cm="1">
        <f t="array" ref="C1231">IFERROR(_xlfn.XLOOKUP(B1231, tblPeople[PersonID], tblPeople[PersonName], ""), "")</f>
        <v>Romy Okello</v>
      </c>
      <c r="D1231" s="15" t="s">
        <v>20</v>
      </c>
      <c r="E1231" s="16" t="str">
        <f>IFERROR(_xlfn.XLOOKUP(D1231, tblCourses[CourseID], tblCourses[CourseName], ""), "")</f>
        <v>Safety Management Systems (Initial)</v>
      </c>
      <c r="F1231" s="17">
        <v>45846</v>
      </c>
      <c r="G1231" s="17" t="str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1" s="15" t="str">
        <f ca="1">IF(OR(tblTraining[[#This Row],[Status]]="Renewed",tblTraining[[#This Row],[NextDueDate]]=""),"",tblTraining[[#This Row],[NextDueDate]]-TODAY())</f>
        <v/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261</v>
      </c>
      <c r="C1232" s="15" t="str" cm="1">
        <f t="array" ref="C1232">IFERROR(_xlfn.XLOOKUP(B1232, tblPeople[PersonID], tblPeople[PersonName], ""), "")</f>
        <v>Romy Okello</v>
      </c>
      <c r="D1232" s="15" t="s">
        <v>17</v>
      </c>
      <c r="E1232" s="16" t="str">
        <f>IFERROR(_xlfn.XLOOKUP(D1232, tblCourses[CourseID], tblCourses[CourseName], ""), "")</f>
        <v>Safety Management Systems (Refresher)</v>
      </c>
      <c r="F1232" s="17">
        <v>45846</v>
      </c>
      <c r="G1232" s="17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32" s="15">
        <f ca="1">IF(OR(tblTraining[[#This Row],[Status]]="Renewed",tblTraining[[#This Row],[NextDueDate]]=""),"",tblTraining[[#This Row],[NextDueDate]]-TODAY())</f>
        <v>290</v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465</v>
      </c>
      <c r="C1233" s="15" t="str" cm="1">
        <f t="array" ref="C1233">IFERROR(_xlfn.XLOOKUP(B1233, tblPeople[PersonID], tblPeople[PersonName], ""), "")</f>
        <v>Erick Mwanje</v>
      </c>
      <c r="D1233" s="15" t="s">
        <v>124</v>
      </c>
      <c r="E1233" s="16" t="str">
        <f>IFERROR(_xlfn.XLOOKUP(D1233, tblCourses[CourseID], tblCourses[CourseName], ""), "")</f>
        <v>Aviation Security (Initial)</v>
      </c>
      <c r="F1233" s="17">
        <v>46106</v>
      </c>
      <c r="G1233" s="17" t="str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3" s="15" t="str">
        <f ca="1">IF(OR(tblTraining[[#This Row],[Status]]="Renewed",tblTraining[[#This Row],[NextDueDate]]=""),"",tblTraining[[#This Row],[NextDueDate]]-TODAY())</f>
        <v/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465</v>
      </c>
      <c r="C1234" s="15" t="str" cm="1">
        <f t="array" ref="C1234">IFERROR(_xlfn.XLOOKUP(B1234, tblPeople[PersonID], tblPeople[PersonName], ""), "")</f>
        <v>Erick Mwanje</v>
      </c>
      <c r="D1234" s="15" t="s">
        <v>125</v>
      </c>
      <c r="E1234" s="16" t="str">
        <f>IFERROR(_xlfn.XLOOKUP(D1234, tblCourses[CourseID], tblCourses[CourseName], ""), "")</f>
        <v>Aviation Security (Refresher)</v>
      </c>
      <c r="F1234" s="17">
        <v>46106</v>
      </c>
      <c r="G1234" s="17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34" s="15">
        <f ca="1">IF(OR(tblTraining[[#This Row],[Status]]="Renewed",tblTraining[[#This Row],[NextDueDate]]=""),"",tblTraining[[#This Row],[NextDueDate]]-TODAY())</f>
        <v>551</v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465</v>
      </c>
      <c r="C1235" s="15" t="str" cm="1">
        <f t="array" ref="C1235">IFERROR(_xlfn.XLOOKUP(B1235, tblPeople[PersonID], tblPeople[PersonName], ""), "")</f>
        <v>Erick Mwanje</v>
      </c>
      <c r="D1235" s="15" t="s">
        <v>232</v>
      </c>
      <c r="E1235" s="16" t="str">
        <f>IFERROR(_xlfn.XLOOKUP(D1235, tblCourses[CourseID], tblCourses[CourseName], ""), "")</f>
        <v>Crew Resource Management (Initial)</v>
      </c>
      <c r="F1235" s="17">
        <v>46114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465</v>
      </c>
      <c r="C1236" s="15" t="str" cm="1">
        <f t="array" ref="C1236">IFERROR(_xlfn.XLOOKUP(B1236, tblPeople[PersonID], tblPeople[PersonName], ""), "")</f>
        <v>Erick Mwanje</v>
      </c>
      <c r="D1236" s="15" t="s">
        <v>231</v>
      </c>
      <c r="E1236" s="16" t="str">
        <f>IFERROR(_xlfn.XLOOKUP(D1236, tblCourses[CourseID], tblCourses[CourseName], ""), "")</f>
        <v>Crew Resource Management (Refresher)</v>
      </c>
      <c r="F1236" s="17">
        <v>46114</v>
      </c>
      <c r="G1236" s="17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36" s="15">
        <f ca="1">IF(OR(tblTraining[[#This Row],[Status]]="Renewed",tblTraining[[#This Row],[NextDueDate]]=""),"",tblTraining[[#This Row],[NextDueDate]]-TODAY())</f>
        <v>559</v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465</v>
      </c>
      <c r="C1237" s="15" t="str" cm="1">
        <f t="array" ref="C1237">IFERROR(_xlfn.XLOOKUP(B1237, tblPeople[PersonID], tblPeople[PersonName], ""), "")</f>
        <v>Erick Mwanje</v>
      </c>
      <c r="D1237" s="15" t="s">
        <v>445</v>
      </c>
      <c r="E1237" s="16" t="str">
        <f>IFERROR(_xlfn.XLOOKUP(D1237, tblCourses[CourseID], tblCourses[CourseName], ""), "")</f>
        <v>Emergency Response Plan Awareness</v>
      </c>
      <c r="F1237" s="17">
        <v>46119</v>
      </c>
      <c r="G1237" s="17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37" s="15">
        <f ca="1">IF(OR(tblTraining[[#This Row],[Status]]="Renewed",tblTraining[[#This Row],[NextDueDate]]=""),"",tblTraining[[#This Row],[NextDueDate]]-TODAY())</f>
        <v>564</v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465</v>
      </c>
      <c r="C1238" s="15" t="str" cm="1">
        <f t="array" ref="C1238">IFERROR(_xlfn.XLOOKUP(B1238, tblPeople[PersonID], tblPeople[PersonName], ""), "")</f>
        <v>Erick Mwanje</v>
      </c>
      <c r="D1238" s="15" t="s">
        <v>463</v>
      </c>
      <c r="E1238" s="16" t="str">
        <f>IFERROR(_xlfn.XLOOKUP(D1238, tblCourses[CourseID], tblCourses[CourseName], ""), "")</f>
        <v>Fire Safety Training</v>
      </c>
      <c r="F1238" s="17">
        <v>46112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465</v>
      </c>
      <c r="C1239" s="15" t="str" cm="1">
        <f t="array" ref="C1239">IFERROR(_xlfn.XLOOKUP(B1239, tblPeople[PersonID], tblPeople[PersonName], ""), "")</f>
        <v>Erick Mwanje</v>
      </c>
      <c r="D1239" s="15" t="s">
        <v>20</v>
      </c>
      <c r="E1239" s="16" t="str">
        <f>IFERROR(_xlfn.XLOOKUP(D1239, tblCourses[CourseID], tblCourses[CourseName], ""), "")</f>
        <v>Safety Management Systems (Initial)</v>
      </c>
      <c r="F1239" s="17">
        <v>46108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465</v>
      </c>
      <c r="C1240" s="15" t="str" cm="1">
        <f t="array" ref="C1240">IFERROR(_xlfn.XLOOKUP(B1240, tblPeople[PersonID], tblPeople[PersonName], ""), "")</f>
        <v>Erick Mwanje</v>
      </c>
      <c r="D1240" s="15" t="s">
        <v>17</v>
      </c>
      <c r="E1240" s="16" t="str">
        <f>IFERROR(_xlfn.XLOOKUP(D1240, tblCourses[CourseID], tblCourses[CourseName], ""), "")</f>
        <v>Safety Management Systems (Refresher)</v>
      </c>
      <c r="F1240" s="17">
        <v>46108</v>
      </c>
      <c r="G1240" s="17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0" s="15">
        <f ca="1">IF(OR(tblTraining[[#This Row],[Status]]="Renewed",tblTraining[[#This Row],[NextDueDate]]=""),"",tblTraining[[#This Row],[NextDueDate]]-TODAY())</f>
        <v>553</v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466</v>
      </c>
      <c r="C1241" s="15" t="str" cm="1">
        <f t="array" ref="C1241">IFERROR(_xlfn.XLOOKUP(B1241, tblPeople[PersonID], tblPeople[PersonName], ""), "")</f>
        <v>Dickson Mzungu</v>
      </c>
      <c r="D1241" s="15" t="s">
        <v>445</v>
      </c>
      <c r="E1241" s="16" t="str">
        <f>IFERROR(_xlfn.XLOOKUP(D1241, tblCourses[CourseID], tblCourses[CourseName], ""), "")</f>
        <v>Emergency Response Plan Awareness</v>
      </c>
      <c r="F1241" s="17">
        <v>46119</v>
      </c>
      <c r="G1241" s="17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41" s="15">
        <f ca="1">IF(OR(tblTraining[[#This Row],[Status]]="Renewed",tblTraining[[#This Row],[NextDueDate]]=""),"",tblTraining[[#This Row],[NextDueDate]]-TODAY())</f>
        <v>564</v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466</v>
      </c>
      <c r="C1242" s="15" t="str" cm="1">
        <f t="array" ref="C1242">IFERROR(_xlfn.XLOOKUP(B1242, tblPeople[PersonID], tblPeople[PersonName], ""), "")</f>
        <v>Dickson Mzungu</v>
      </c>
      <c r="D1242" s="15" t="s">
        <v>124</v>
      </c>
      <c r="E1242" s="16" t="str">
        <f>IFERROR(_xlfn.XLOOKUP(D1242, tblCourses[CourseID], tblCourses[CourseName], ""), "")</f>
        <v>Aviation Security (Initial)</v>
      </c>
      <c r="F1242" s="17">
        <v>46106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466</v>
      </c>
      <c r="C1243" s="15" t="str" cm="1">
        <f t="array" ref="C1243">IFERROR(_xlfn.XLOOKUP(B1243, tblPeople[PersonID], tblPeople[PersonName], ""), "")</f>
        <v>Dickson Mzungu</v>
      </c>
      <c r="D1243" s="15" t="s">
        <v>125</v>
      </c>
      <c r="E1243" s="16" t="str">
        <f>IFERROR(_xlfn.XLOOKUP(D1243, tblCourses[CourseID], tblCourses[CourseName], ""), "")</f>
        <v>Aviation Security (Refresher)</v>
      </c>
      <c r="F1243" s="17">
        <v>46106</v>
      </c>
      <c r="G1243" s="17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43" s="15">
        <f ca="1">IF(OR(tblTraining[[#This Row],[Status]]="Renewed",tblTraining[[#This Row],[NextDueDate]]=""),"",tblTraining[[#This Row],[NextDueDate]]-TODAY())</f>
        <v>551</v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466</v>
      </c>
      <c r="C1244" s="15" t="str" cm="1">
        <f t="array" ref="C1244">IFERROR(_xlfn.XLOOKUP(B1244, tblPeople[PersonID], tblPeople[PersonName], ""), "")</f>
        <v>Dickson Mzungu</v>
      </c>
      <c r="D1244" s="15" t="s">
        <v>232</v>
      </c>
      <c r="E1244" s="16" t="str">
        <f>IFERROR(_xlfn.XLOOKUP(D1244, tblCourses[CourseID], tblCourses[CourseName], ""), "")</f>
        <v>Crew Resource Management (Initial)</v>
      </c>
      <c r="F1244" s="17">
        <v>46114</v>
      </c>
      <c r="G1244" s="17" t="str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4" s="15" t="str">
        <f ca="1">IF(OR(tblTraining[[#This Row],[Status]]="Renewed",tblTraining[[#This Row],[NextDueDate]]=""),"",tblTraining[[#This Row],[NextDueDate]]-TODAY())</f>
        <v/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466</v>
      </c>
      <c r="C1245" s="15" t="str" cm="1">
        <f t="array" ref="C1245">IFERROR(_xlfn.XLOOKUP(B1245, tblPeople[PersonID], tblPeople[PersonName], ""), "")</f>
        <v>Dickson Mzungu</v>
      </c>
      <c r="D1245" s="15" t="s">
        <v>231</v>
      </c>
      <c r="E1245" s="16" t="str">
        <f>IFERROR(_xlfn.XLOOKUP(D1245, tblCourses[CourseID], tblCourses[CourseName], ""), "")</f>
        <v>Crew Resource Management (Refresher)</v>
      </c>
      <c r="F1245" s="17">
        <v>46114</v>
      </c>
      <c r="G1245" s="17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45" s="15">
        <f ca="1">IF(OR(tblTraining[[#This Row],[Status]]="Renewed",tblTraining[[#This Row],[NextDueDate]]=""),"",tblTraining[[#This Row],[NextDueDate]]-TODAY())</f>
        <v>559</v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466</v>
      </c>
      <c r="C1246" s="15" t="str" cm="1">
        <f t="array" ref="C1246">IFERROR(_xlfn.XLOOKUP(B1246, tblPeople[PersonID], tblPeople[PersonName], ""), "")</f>
        <v>Dickson Mzungu</v>
      </c>
      <c r="D1246" s="15" t="s">
        <v>463</v>
      </c>
      <c r="E1246" s="16" t="str">
        <f>IFERROR(_xlfn.XLOOKUP(D1246, tblCourses[CourseID], tblCourses[CourseName], ""), "")</f>
        <v>Fire Safety Training</v>
      </c>
      <c r="F1246" s="17">
        <v>46112</v>
      </c>
      <c r="G1246" s="17" t="str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6" s="15" t="str">
        <f ca="1">IF(OR(tblTraining[[#This Row],[Status]]="Renewed",tblTraining[[#This Row],[NextDueDate]]=""),"",tblTraining[[#This Row],[NextDueDate]]-TODAY())</f>
        <v/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466</v>
      </c>
      <c r="C1247" s="15" t="str" cm="1">
        <f t="array" ref="C1247">IFERROR(_xlfn.XLOOKUP(B1247, tblPeople[PersonID], tblPeople[PersonName], ""), "")</f>
        <v>Dickson Mzungu</v>
      </c>
      <c r="D1247" s="15" t="s">
        <v>20</v>
      </c>
      <c r="E1247" s="16" t="str">
        <f>IFERROR(_xlfn.XLOOKUP(D1247, tblCourses[CourseID], tblCourses[CourseName], ""), "")</f>
        <v>Safety Management Systems (Initial)</v>
      </c>
      <c r="F1247" s="17">
        <v>39962</v>
      </c>
      <c r="G1247" s="17" t="str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7" s="15" t="str">
        <f ca="1">IF(OR(tblTraining[[#This Row],[Status]]="Renewed",tblTraining[[#This Row],[NextDueDate]]=""),"",tblTraining[[#This Row],[NextDueDate]]-TODAY())</f>
        <v/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466</v>
      </c>
      <c r="C1248" s="15" t="str" cm="1">
        <f t="array" ref="C1248">IFERROR(_xlfn.XLOOKUP(B1248, tblPeople[PersonID], tblPeople[PersonName], ""), "")</f>
        <v>Dickson Mzungu</v>
      </c>
      <c r="D1248" s="15" t="s">
        <v>17</v>
      </c>
      <c r="E1248" s="16" t="str">
        <f>IFERROR(_xlfn.XLOOKUP(D1248, tblCourses[CourseID], tblCourses[CourseName], ""), "")</f>
        <v>Safety Management Systems (Refresher)</v>
      </c>
      <c r="F1248" s="17">
        <v>46108</v>
      </c>
      <c r="G1248" s="17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48" s="15">
        <f ca="1">IF(OR(tblTraining[[#This Row],[Status]]="Renewed",tblTraining[[#This Row],[NextDueDate]]=""),"",tblTraining[[#This Row],[NextDueDate]]-TODAY())</f>
        <v>553</v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467</v>
      </c>
      <c r="C1249" s="15" t="str" cm="1">
        <f t="array" ref="C1249">IFERROR(_xlfn.XLOOKUP(B1249, tblPeople[PersonID], tblPeople[PersonName], ""), "")</f>
        <v>Benard Kimiti</v>
      </c>
      <c r="D1249" s="15" t="s">
        <v>232</v>
      </c>
      <c r="E1249" s="16" t="str">
        <f>IFERROR(_xlfn.XLOOKUP(D1249, tblCourses[CourseID], tblCourses[CourseName], ""), "")</f>
        <v>Crew Resource Management (Initial)</v>
      </c>
      <c r="F1249" s="17">
        <v>46114</v>
      </c>
      <c r="G1249" s="17" t="str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9" s="15" t="str">
        <f ca="1">IF(OR(tblTraining[[#This Row],[Status]]="Renewed",tblTraining[[#This Row],[NextDueDate]]=""),"",tblTraining[[#This Row],[NextDueDate]]-TODAY())</f>
        <v/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467</v>
      </c>
      <c r="C1250" s="15" t="str" cm="1">
        <f t="array" ref="C1250">IFERROR(_xlfn.XLOOKUP(B1250, tblPeople[PersonID], tblPeople[PersonName], ""), "")</f>
        <v>Benard Kimiti</v>
      </c>
      <c r="D1250" s="15" t="s">
        <v>231</v>
      </c>
      <c r="E1250" s="16" t="str">
        <f>IFERROR(_xlfn.XLOOKUP(D1250, tblCourses[CourseID], tblCourses[CourseName], ""), "")</f>
        <v>Crew Resource Management (Refresher)</v>
      </c>
      <c r="F1250" s="17">
        <v>46114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50" s="15">
        <f ca="1">IF(OR(tblTraining[[#This Row],[Status]]="Renewed",tblTraining[[#This Row],[NextDueDate]]=""),"",tblTraining[[#This Row],[NextDueDate]]-TODAY())</f>
        <v>559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467</v>
      </c>
      <c r="C1251" s="15" t="str" cm="1">
        <f t="array" ref="C1251">IFERROR(_xlfn.XLOOKUP(B1251, tblPeople[PersonID], tblPeople[PersonName], ""), "")</f>
        <v>Benard Kimiti</v>
      </c>
      <c r="D1251" s="15" t="s">
        <v>124</v>
      </c>
      <c r="E1251" s="16" t="str">
        <f>IFERROR(_xlfn.XLOOKUP(D1251, tblCourses[CourseID], tblCourses[CourseName], ""), "")</f>
        <v>Aviation Security (Initial)</v>
      </c>
      <c r="F1251" s="17">
        <v>46106</v>
      </c>
      <c r="G1251" s="17" t="str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1" s="15" t="str">
        <f ca="1">IF(OR(tblTraining[[#This Row],[Status]]="Renewed",tblTraining[[#This Row],[NextDueDate]]=""),"",tblTraining[[#This Row],[NextDueDate]]-TODAY())</f>
        <v/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467</v>
      </c>
      <c r="C1252" s="15" t="str" cm="1">
        <f t="array" ref="C1252">IFERROR(_xlfn.XLOOKUP(B1252, tblPeople[PersonID], tblPeople[PersonName], ""), "")</f>
        <v>Benard Kimiti</v>
      </c>
      <c r="D1252" s="15" t="s">
        <v>125</v>
      </c>
      <c r="E1252" s="16" t="str">
        <f>IFERROR(_xlfn.XLOOKUP(D1252, tblCourses[CourseID], tblCourses[CourseName], ""), "")</f>
        <v>Aviation Security (Refresher)</v>
      </c>
      <c r="F1252" s="17">
        <v>46106</v>
      </c>
      <c r="G1252" s="17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2" s="15">
        <f ca="1">IF(OR(tblTraining[[#This Row],[Status]]="Renewed",tblTraining[[#This Row],[NextDueDate]]=""),"",tblTraining[[#This Row],[NextDueDate]]-TODAY())</f>
        <v>551</v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467</v>
      </c>
      <c r="C1253" s="15" t="str" cm="1">
        <f t="array" ref="C1253">IFERROR(_xlfn.XLOOKUP(B1253, tblPeople[PersonID], tblPeople[PersonName], ""), "")</f>
        <v>Benard Kimiti</v>
      </c>
      <c r="D1253" s="15" t="s">
        <v>445</v>
      </c>
      <c r="E1253" s="16" t="str">
        <f>IFERROR(_xlfn.XLOOKUP(D1253, tblCourses[CourseID], tblCourses[CourseName], ""), "")</f>
        <v>Emergency Response Plan Awareness</v>
      </c>
      <c r="F1253" s="17">
        <v>46119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53" s="15">
        <f ca="1">IF(OR(tblTraining[[#This Row],[Status]]="Renewed",tblTraining[[#This Row],[NextDueDate]]=""),"",tblTraining[[#This Row],[NextDueDate]]-TODAY())</f>
        <v>564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467</v>
      </c>
      <c r="C1254" s="15" t="str" cm="1">
        <f t="array" ref="C1254">IFERROR(_xlfn.XLOOKUP(B1254, tblPeople[PersonID], tblPeople[PersonName], ""), "")</f>
        <v>Benard Kimiti</v>
      </c>
      <c r="D1254" s="15" t="s">
        <v>463</v>
      </c>
      <c r="E1254" s="16" t="str">
        <f>IFERROR(_xlfn.XLOOKUP(D1254, tblCourses[CourseID], tblCourses[CourseName], ""), "")</f>
        <v>Fire Safety Training</v>
      </c>
      <c r="F1254" s="17">
        <v>46112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467</v>
      </c>
      <c r="C1255" s="15" t="str" cm="1">
        <f t="array" ref="C1255">IFERROR(_xlfn.XLOOKUP(B1255, tblPeople[PersonID], tblPeople[PersonName], ""), "")</f>
        <v>Benard Kimiti</v>
      </c>
      <c r="D1255" s="15" t="s">
        <v>20</v>
      </c>
      <c r="E1255" s="16" t="str">
        <f>IFERROR(_xlfn.XLOOKUP(D1255, tblCourses[CourseID], tblCourses[CourseName], ""), "")</f>
        <v>Safety Management Systems (Initial)</v>
      </c>
      <c r="F1255" s="17">
        <v>46108</v>
      </c>
      <c r="G1255" s="17" t="str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5" s="15" t="str">
        <f ca="1">IF(OR(tblTraining[[#This Row],[Status]]="Renewed",tblTraining[[#This Row],[NextDueDate]]=""),"",tblTraining[[#This Row],[NextDueDate]]-TODAY())</f>
        <v/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467</v>
      </c>
      <c r="C1256" s="15" t="str" cm="1">
        <f t="array" ref="C1256">IFERROR(_xlfn.XLOOKUP(B1256, tblPeople[PersonID], tblPeople[PersonName], ""), "")</f>
        <v>Benard Kimiti</v>
      </c>
      <c r="D1256" s="15" t="s">
        <v>17</v>
      </c>
      <c r="E1256" s="16" t="str">
        <f>IFERROR(_xlfn.XLOOKUP(D1256, tblCourses[CourseID], tblCourses[CourseName], ""), "")</f>
        <v>Safety Management Systems (Refresher)</v>
      </c>
      <c r="F1256" s="17">
        <v>46108</v>
      </c>
      <c r="G1256" s="17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56" s="15">
        <f ca="1">IF(OR(tblTraining[[#This Row],[Status]]="Renewed",tblTraining[[#This Row],[NextDueDate]]=""),"",tblTraining[[#This Row],[NextDueDate]]-TODAY())</f>
        <v>553</v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268</v>
      </c>
      <c r="C1257" s="15" t="str" cm="1">
        <f t="array" ref="C1257">IFERROR(_xlfn.XLOOKUP(B1257, tblPeople[PersonID], tblPeople[PersonName], ""), "")</f>
        <v>Dorine Edna</v>
      </c>
      <c r="D1257" s="15" t="s">
        <v>232</v>
      </c>
      <c r="E1257" s="16" t="str">
        <f>IFERROR(_xlfn.XLOOKUP(D1257, tblCourses[CourseID], tblCourses[CourseName], ""), "")</f>
        <v>Crew Resource Management (Initial)</v>
      </c>
      <c r="F1257" s="17">
        <v>45958</v>
      </c>
      <c r="G1257" s="17" t="str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7" s="15" t="str">
        <f ca="1">IF(OR(tblTraining[[#This Row],[Status]]="Renewed",tblTraining[[#This Row],[NextDueDate]]=""),"",tblTraining[[#This Row],[NextDueDate]]-TODAY())</f>
        <v/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268</v>
      </c>
      <c r="C1258" s="15" t="str" cm="1">
        <f t="array" ref="C1258">IFERROR(_xlfn.XLOOKUP(B1258, tblPeople[PersonID], tblPeople[PersonName], ""), "")</f>
        <v>Dorine Edna</v>
      </c>
      <c r="D1258" s="15" t="s">
        <v>231</v>
      </c>
      <c r="E1258" s="16" t="str">
        <f>IFERROR(_xlfn.XLOOKUP(D1258, tblCourses[CourseID], tblCourses[CourseName], ""), "")</f>
        <v>Crew Resource Management (Refresher)</v>
      </c>
      <c r="F1258" s="17">
        <v>45958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58" s="15">
        <f ca="1">IF(OR(tblTraining[[#This Row],[Status]]="Renewed",tblTraining[[#This Row],[NextDueDate]]=""),"",tblTraining[[#This Row],[NextDueDate]]-TODAY())</f>
        <v>402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211</v>
      </c>
      <c r="C1259" s="15" t="str" cm="1">
        <f t="array" ref="C1259">IFERROR(_xlfn.XLOOKUP(B1259, tblPeople[PersonID], tblPeople[PersonName], ""), "")</f>
        <v>Angeline Nthakyo</v>
      </c>
      <c r="D1259" s="15" t="s">
        <v>126</v>
      </c>
      <c r="E1259" s="16" t="str">
        <f>IFERROR(_xlfn.XLOOKUP(D1259, tblCourses[CourseID], tblCourses[CourseName], ""), "")</f>
        <v>Maintenance Indoctrination</v>
      </c>
      <c r="F1259" s="17">
        <v>45843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210</v>
      </c>
      <c r="C1260" s="15" t="str" cm="1">
        <f t="array" ref="C1260">IFERROR(_xlfn.XLOOKUP(B1260, tblPeople[PersonID], tblPeople[PersonName], ""), "")</f>
        <v>John Kihara</v>
      </c>
      <c r="D1260" s="15" t="s">
        <v>126</v>
      </c>
      <c r="E1260" s="16" t="str">
        <f>IFERROR(_xlfn.XLOOKUP(D1260, tblCourses[CourseID], tblCourses[CourseName], ""), "")</f>
        <v>Maintenance Indoctrination</v>
      </c>
      <c r="F1260" s="17">
        <v>45843</v>
      </c>
      <c r="G1260" s="17" t="str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0" s="15" t="str">
        <f ca="1">IF(OR(tblTraining[[#This Row],[Status]]="Renewed",tblTraining[[#This Row],[NextDueDate]]=""),"",tblTraining[[#This Row],[NextDueDate]]-TODAY())</f>
        <v/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261</v>
      </c>
      <c r="C1261" s="15" t="str" cm="1">
        <f t="array" ref="C1261">IFERROR(_xlfn.XLOOKUP(B1261, tblPeople[PersonID], tblPeople[PersonName], ""), "")</f>
        <v>Romy Okello</v>
      </c>
      <c r="D1261" s="15" t="s">
        <v>126</v>
      </c>
      <c r="E1261" s="16" t="str">
        <f>IFERROR(_xlfn.XLOOKUP(D1261, tblCourses[CourseID], tblCourses[CourseName], ""), "")</f>
        <v>Maintenance Indoctrination</v>
      </c>
      <c r="F1261" s="17">
        <v>45843</v>
      </c>
      <c r="G1261" s="17" t="str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1" s="15" t="str">
        <f ca="1">IF(OR(tblTraining[[#This Row],[Status]]="Renewed",tblTraining[[#This Row],[NextDueDate]]=""),"",tblTraining[[#This Row],[NextDueDate]]-TODAY())</f>
        <v/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468</v>
      </c>
      <c r="C1262" s="15" t="str" cm="1">
        <f t="array" ref="C1262">IFERROR(_xlfn.XLOOKUP(B1262, tblPeople[PersonID], tblPeople[PersonName], ""), "")</f>
        <v>Erick Peter</v>
      </c>
      <c r="D1262" s="15" t="s">
        <v>126</v>
      </c>
      <c r="E1262" s="16" t="str">
        <f>IFERROR(_xlfn.XLOOKUP(D1262, tblCourses[CourseID], tblCourses[CourseName], ""), "")</f>
        <v>Maintenance Indoctrination</v>
      </c>
      <c r="F1262" s="17">
        <v>45751</v>
      </c>
      <c r="G1262" s="17" t="str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2" s="15" t="str">
        <f ca="1">IF(OR(tblTraining[[#This Row],[Status]]="Renewed",tblTraining[[#This Row],[NextDueDate]]=""),"",tblTraining[[#This Row],[NextDueDate]]-TODAY())</f>
        <v/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468</v>
      </c>
      <c r="C1263" s="15" t="str" cm="1">
        <f t="array" ref="C1263">IFERROR(_xlfn.XLOOKUP(B1263, tblPeople[PersonID], tblPeople[PersonName], ""), "")</f>
        <v>Erick Peter</v>
      </c>
      <c r="D1263" s="15" t="s">
        <v>20</v>
      </c>
      <c r="E1263" s="16" t="str">
        <f>IFERROR(_xlfn.XLOOKUP(D1263, tblCourses[CourseID], tblCourses[CourseName], ""), "")</f>
        <v>Safety Management Systems (Initial)</v>
      </c>
      <c r="F1263" s="17">
        <v>45764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468</v>
      </c>
      <c r="C1264" s="15" t="str" cm="1">
        <f t="array" ref="C1264">IFERROR(_xlfn.XLOOKUP(B1264, tblPeople[PersonID], tblPeople[PersonName], ""), "")</f>
        <v>Erick Peter</v>
      </c>
      <c r="D1264" s="15" t="s">
        <v>17</v>
      </c>
      <c r="E1264" s="16" t="str">
        <f>IFERROR(_xlfn.XLOOKUP(D1264, tblCourses[CourseID], tblCourses[CourseName], ""), "")</f>
        <v>Safety Management Systems (Refresher)</v>
      </c>
      <c r="F1264" s="17">
        <v>45764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64" s="15">
        <f ca="1">IF(OR(tblTraining[[#This Row],[Status]]="Renewed",tblTraining[[#This Row],[NextDueDate]]=""),"",tblTraining[[#This Row],[NextDueDate]]-TODAY())</f>
        <v>208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468</v>
      </c>
      <c r="C1265" s="15" t="str" cm="1">
        <f t="array" ref="C1265">IFERROR(_xlfn.XLOOKUP(B1265, tblPeople[PersonID], tblPeople[PersonName], ""), "")</f>
        <v>Erick Peter</v>
      </c>
      <c r="D1265" s="15" t="s">
        <v>124</v>
      </c>
      <c r="E1265" s="16" t="str">
        <f>IFERROR(_xlfn.XLOOKUP(D1265, tblCourses[CourseID], tblCourses[CourseName], ""), "")</f>
        <v>Aviation Security (Initial)</v>
      </c>
      <c r="F1265" s="17">
        <v>46132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468</v>
      </c>
      <c r="C1266" s="15" t="str" cm="1">
        <f t="array" ref="C1266">IFERROR(_xlfn.XLOOKUP(B1266, tblPeople[PersonID], tblPeople[PersonName], ""), "")</f>
        <v>Erick Peter</v>
      </c>
      <c r="D1266" s="15" t="s">
        <v>125</v>
      </c>
      <c r="E1266" s="16" t="str">
        <f>IFERROR(_xlfn.XLOOKUP(D1266, tblCourses[CourseID], tblCourses[CourseName], ""), "")</f>
        <v>Aviation Security (Refresher)</v>
      </c>
      <c r="F1266" s="17">
        <v>46132</v>
      </c>
      <c r="G1266" s="17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66" s="15">
        <f ca="1">IF(OR(tblTraining[[#This Row],[Status]]="Renewed",tblTraining[[#This Row],[NextDueDate]]=""),"",tblTraining[[#This Row],[NextDueDate]]-TODAY())</f>
        <v>577</v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85</v>
      </c>
      <c r="C1267" s="15" t="str" cm="1">
        <f t="array" ref="C1267">IFERROR(_xlfn.XLOOKUP(B1267, tblPeople[PersonID], tblPeople[PersonName], ""), "")</f>
        <v>Titus Shunza</v>
      </c>
      <c r="D1267" s="15" t="s">
        <v>75</v>
      </c>
      <c r="E1267" s="16" t="str">
        <f>IFERROR(_xlfn.XLOOKUP(D1267, tblCourses[CourseID], tblCourses[CourseName], ""), "")</f>
        <v>Fuel Tank Safety Phase 1 &amp; 2 Course (Refresher)</v>
      </c>
      <c r="F1267" s="17">
        <v>46119</v>
      </c>
      <c r="G1267" s="17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7" s="15">
        <f ca="1">IF(OR(tblTraining[[#This Row],[Status]]="Renewed",tblTraining[[#This Row],[NextDueDate]]=""),"",tblTraining[[#This Row],[NextDueDate]]-TODAY())</f>
        <v>564</v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152</v>
      </c>
      <c r="C1268" s="15" t="str" cm="1">
        <f t="array" ref="C1268">IFERROR(_xlfn.XLOOKUP(B1268, tblPeople[PersonID], tblPeople[PersonName], ""), "")</f>
        <v>Majid Mohamed</v>
      </c>
      <c r="D1268" s="15" t="s">
        <v>75</v>
      </c>
      <c r="E1268" s="16" t="str">
        <f>IFERROR(_xlfn.XLOOKUP(D1268, tblCourses[CourseID], tblCourses[CourseName], ""), "")</f>
        <v>Fuel Tank Safety Phase 1 &amp; 2 Course (Refresher)</v>
      </c>
      <c r="F1268" s="17">
        <v>46104</v>
      </c>
      <c r="G1268" s="17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68" s="15">
        <f ca="1">IF(OR(tblTraining[[#This Row],[Status]]="Renewed",tblTraining[[#This Row],[NextDueDate]]=""),"",tblTraining[[#This Row],[NextDueDate]]-TODAY())</f>
        <v>549</v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92</v>
      </c>
      <c r="C1269" s="15" t="str" cm="1">
        <f t="array" ref="C1269">IFERROR(_xlfn.XLOOKUP(B1269, tblPeople[PersonID], tblPeople[PersonName], ""), "")</f>
        <v>Reuben Otieno</v>
      </c>
      <c r="D1269" s="15" t="s">
        <v>75</v>
      </c>
      <c r="E1269" s="16" t="str">
        <f>IFERROR(_xlfn.XLOOKUP(D1269, tblCourses[CourseID], tblCourses[CourseName], ""), "")</f>
        <v>Fuel Tank Safety Phase 1 &amp; 2 Course (Refresher)</v>
      </c>
      <c r="F1269" s="17">
        <v>46159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69" s="15">
        <f ca="1">IF(OR(tblTraining[[#This Row],[Status]]="Renewed",tblTraining[[#This Row],[NextDueDate]]=""),"",tblTraining[[#This Row],[NextDueDate]]-TODAY())</f>
        <v>604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402</v>
      </c>
      <c r="C1270" s="15" t="str" cm="1">
        <f t="array" ref="C1270">IFERROR(_xlfn.XLOOKUP(B1270, tblPeople[PersonID], tblPeople[PersonName], ""), "")</f>
        <v>Venessa Ikileng'</v>
      </c>
      <c r="D1270" s="15" t="s">
        <v>22</v>
      </c>
      <c r="E1270" s="16" t="str">
        <f>IFERROR(_xlfn.XLOOKUP(D1270, tblCourses[CourseID], tblCourses[CourseName], ""), "")</f>
        <v>Human Factors in Aviation (Refresher)</v>
      </c>
      <c r="F1270" s="17">
        <v>46168</v>
      </c>
      <c r="G1270" s="17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70" s="15">
        <f ca="1">IF(OR(tblTraining[[#This Row],[Status]]="Renewed",tblTraining[[#This Row],[NextDueDate]]=""),"",tblTraining[[#This Row],[NextDueDate]]-TODAY())</f>
        <v>613</v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438</v>
      </c>
      <c r="C1271" s="15" t="str" cm="1">
        <f t="array" ref="C1271">IFERROR(_xlfn.XLOOKUP(B1271, tblPeople[PersonID], tblPeople[PersonName], ""), "")</f>
        <v>Brian Muga</v>
      </c>
      <c r="D1271" s="15" t="s">
        <v>175</v>
      </c>
      <c r="E1271" s="16" t="str">
        <f>IFERROR(_xlfn.XLOOKUP(D1271, tblCourses[CourseID], tblCourses[CourseName], ""), "")</f>
        <v>Aircraft Maintenance Engineers' Licence</v>
      </c>
      <c r="F1271" s="17">
        <v>45975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71" s="15">
        <f ca="1">IF(OR(tblTraining[[#This Row],[Status]]="Renewed",tblTraining[[#This Row],[NextDueDate]]=""),"",tblTraining[[#This Row],[NextDueDate]]-TODAY())</f>
        <v>419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466</v>
      </c>
      <c r="C1272" s="15" t="str" cm="1">
        <f t="array" ref="C1272">IFERROR(_xlfn.XLOOKUP(B1272, tblPeople[PersonID], tblPeople[PersonName], ""), "")</f>
        <v>Dickson Mzungu</v>
      </c>
      <c r="D1272" s="15" t="s">
        <v>175</v>
      </c>
      <c r="E1272" s="16" t="str">
        <f>IFERROR(_xlfn.XLOOKUP(D1272, tblCourses[CourseID], tblCourses[CourseName], ""), "")</f>
        <v>Aircraft Maintenance Engineers' Licence</v>
      </c>
      <c r="F1272" s="17">
        <v>45496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3" spans="1:9" x14ac:dyDescent="0.25">
      <c r="A1273" s="15">
        <f t="shared" si="19"/>
        <v>1272</v>
      </c>
      <c r="B1273" s="15" t="s">
        <v>466</v>
      </c>
      <c r="C1273" s="15" t="str" cm="1">
        <f t="array" ref="C1273">IFERROR(_xlfn.XLOOKUP(B1273, tblPeople[PersonID], tblPeople[PersonName], ""), "")</f>
        <v>Dickson Mzungu</v>
      </c>
      <c r="D1273" s="15" t="s">
        <v>382</v>
      </c>
      <c r="E1273" s="16" t="str">
        <f>IFERROR(_xlfn.XLOOKUP(D1273, tblCourses[CourseID], tblCourses[CourseName], ""), "")</f>
        <v>DHC-8-400 Series with PWC 150A Engines (Initial)</v>
      </c>
      <c r="F1273" s="17">
        <v>40137</v>
      </c>
      <c r="G1273" s="17" t="str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3" s="15" t="str">
        <f ca="1">IF(OR(tblTraining[[#This Row],[Status]]="Renewed",tblTraining[[#This Row],[NextDueDate]]=""),"",tblTraining[[#This Row],[NextDueDate]]-TODAY())</f>
        <v/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466</v>
      </c>
      <c r="C1274" s="15" t="str" cm="1">
        <f t="array" ref="C1274">IFERROR(_xlfn.XLOOKUP(B1274, tblPeople[PersonID], tblPeople[PersonName], ""), "")</f>
        <v>Dickson Mzungu</v>
      </c>
      <c r="D1274" s="15" t="s">
        <v>383</v>
      </c>
      <c r="E1274" s="16" t="str">
        <f>IFERROR(_xlfn.XLOOKUP(D1274, tblCourses[CourseID], tblCourses[CourseName], ""), "")</f>
        <v>DHC-8-400 Series with PWC 150A Engines (Refresher)</v>
      </c>
      <c r="F1274" s="17">
        <v>42173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74" s="15">
        <f ca="1">IF(OR(tblTraining[[#This Row],[Status]]="Renewed",tblTraining[[#This Row],[NextDueDate]]=""),"",tblTraining[[#This Row],[NextDueDate]]-TODAY())</f>
        <v>-3382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75" spans="1:9" x14ac:dyDescent="0.25">
      <c r="A1275" s="15">
        <f t="shared" si="19"/>
        <v>1274</v>
      </c>
      <c r="B1275" s="15" t="s">
        <v>466</v>
      </c>
      <c r="C1275" s="15" t="str" cm="1">
        <f t="array" ref="C1275">IFERROR(_xlfn.XLOOKUP(B1275, tblPeople[PersonID], tblPeople[PersonName], ""), "")</f>
        <v>Dickson Mzungu</v>
      </c>
      <c r="D1275" s="15" t="s">
        <v>17</v>
      </c>
      <c r="E1275" s="16" t="str">
        <f>IFERROR(_xlfn.XLOOKUP(D1275, tblCourses[CourseID], tblCourses[CourseName], ""), "")</f>
        <v>Safety Management Systems (Refresher)</v>
      </c>
      <c r="F1275" s="17">
        <v>43358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6" spans="1:9" x14ac:dyDescent="0.25">
      <c r="A1276" s="15">
        <f t="shared" si="19"/>
        <v>1275</v>
      </c>
      <c r="B1276" s="15" t="s">
        <v>466</v>
      </c>
      <c r="C1276" s="15" t="str" cm="1">
        <f t="array" ref="C1276">IFERROR(_xlfn.XLOOKUP(B1276, tblPeople[PersonID], tblPeople[PersonName], ""), "")</f>
        <v>Dickson Mzungu</v>
      </c>
      <c r="D1276" s="15" t="s">
        <v>29</v>
      </c>
      <c r="E1276" s="16" t="str">
        <f>IFERROR(_xlfn.XLOOKUP(D1276, tblCourses[CourseID], tblCourses[CourseName], ""), "")</f>
        <v>DHC-8 100/200/300 with PWC 120/120A/121/123B/C/D/E Series Engines(Initial)</v>
      </c>
      <c r="F1276" s="17">
        <v>40067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466</v>
      </c>
      <c r="C1277" s="15" t="str" cm="1">
        <f t="array" ref="C1277">IFERROR(_xlfn.XLOOKUP(B1277, tblPeople[PersonID], tblPeople[PersonName], ""), "")</f>
        <v>Dickson Mzungu</v>
      </c>
      <c r="D1277" s="15" t="s">
        <v>28</v>
      </c>
      <c r="E1277" s="16" t="str">
        <f>IFERROR(_xlfn.XLOOKUP(D1277, tblCourses[CourseID], tblCourses[CourseName], ""), "")</f>
        <v>DHC-8 100/200/300 with PWC 120/120A/121/123B/C/D/E Series Engines(Refresher)</v>
      </c>
      <c r="F1277" s="17">
        <v>40067</v>
      </c>
      <c r="G1277" s="17" t="str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7" s="15" t="str">
        <f ca="1">IF(OR(tblTraining[[#This Row],[Status]]="Renewed",tblTraining[[#This Row],[NextDueDate]]=""),"",tblTraining[[#This Row],[NextDueDate]]-TODAY())</f>
        <v/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78" spans="1:9" x14ac:dyDescent="0.25">
      <c r="A1278" s="15">
        <f t="shared" si="19"/>
        <v>1277</v>
      </c>
      <c r="B1278" s="15" t="s">
        <v>466</v>
      </c>
      <c r="C1278" s="15" t="str" cm="1">
        <f t="array" ref="C1278">IFERROR(_xlfn.XLOOKUP(B1278, tblPeople[PersonID], tblPeople[PersonName], ""), "")</f>
        <v>Dickson Mzungu</v>
      </c>
      <c r="D1278" s="15" t="s">
        <v>28</v>
      </c>
      <c r="E1278" s="16" t="str">
        <f>IFERROR(_xlfn.XLOOKUP(D1278, tblCourses[CourseID], tblCourses[CourseName], ""), "")</f>
        <v>DHC-8 100/200/300 with PWC 120/120A/121/123B/C/D/E Series Engines(Refresher)</v>
      </c>
      <c r="F1278" s="17">
        <v>46129</v>
      </c>
      <c r="G1278" s="17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78" s="15">
        <f ca="1">IF(OR(tblTraining[[#This Row],[Status]]="Renewed",tblTraining[[#This Row],[NextDueDate]]=""),"",tblTraining[[#This Row],[NextDueDate]]-TODAY())</f>
        <v>574</v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436</v>
      </c>
      <c r="C1279" s="15" t="str" cm="1">
        <f t="array" ref="C1279">IFERROR(_xlfn.XLOOKUP(B1279, tblPeople[PersonID], tblPeople[PersonName], ""), "")</f>
        <v>Alfred Okudo</v>
      </c>
      <c r="D1279" s="15" t="s">
        <v>27</v>
      </c>
      <c r="E1279" s="16" t="str">
        <f>IFERROR(_xlfn.XLOOKUP(D1279, tblCourses[CourseID], tblCourses[CourseName], ""), "")</f>
        <v>Pratt &amp; Whitney Canada PT6A Engine With P&amp;WC PT6A
20/ 27/ 41/ 42/ 60A/ 67D/ 112/ 114A/ 140 (Initial)</v>
      </c>
      <c r="F1279" s="17">
        <v>40391</v>
      </c>
      <c r="G1279" s="17" t="str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9" s="15" t="str">
        <f ca="1">IF(OR(tblTraining[[#This Row],[Status]]="Renewed",tblTraining[[#This Row],[NextDueDate]]=""),"",tblTraining[[#This Row],[NextDueDate]]-TODAY())</f>
        <v/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436</v>
      </c>
      <c r="C1280" s="15" t="str" cm="1">
        <f t="array" ref="C1280">IFERROR(_xlfn.XLOOKUP(B1280, tblPeople[PersonID], tblPeople[PersonName], ""), "")</f>
        <v>Alfred Okudo</v>
      </c>
      <c r="D1280" s="15" t="s">
        <v>25</v>
      </c>
      <c r="E1280" s="16" t="str">
        <f>IFERROR(_xlfn.XLOOKUP(D1280, tblCourses[CourseID], tblCourses[CourseName], ""), "")</f>
        <v>Pratt &amp; Whitney Canada PT6A Engine With P&amp;WC PT6A
20/ 27/ 41/ 42/ 60A/ 67D/ 112/ 114A/ 140 (Refresher)</v>
      </c>
      <c r="F1280" s="17">
        <v>40391</v>
      </c>
      <c r="G1280" s="17" t="str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0" s="15" t="str">
        <f ca="1">IF(OR(tblTraining[[#This Row],[Status]]="Renewed",tblTraining[[#This Row],[NextDueDate]]=""),"",tblTraining[[#This Row],[NextDueDate]]-TODAY())</f>
        <v/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81" spans="1:9" x14ac:dyDescent="0.25">
      <c r="A1281" s="15">
        <f t="shared" si="19"/>
        <v>1280</v>
      </c>
      <c r="B1281" s="15" t="s">
        <v>436</v>
      </c>
      <c r="C1281" s="15" t="str" cm="1">
        <f t="array" ref="C1281">IFERROR(_xlfn.XLOOKUP(B1281, tblPeople[PersonID], tblPeople[PersonName], ""), "")</f>
        <v>Alfred Okudo</v>
      </c>
      <c r="D1281" s="15" t="s">
        <v>177</v>
      </c>
      <c r="E1281" s="16" t="str">
        <f>IFERROR(_xlfn.XLOOKUP(D1281, tblCourses[CourseID], tblCourses[CourseName], ""), "")</f>
        <v>Cessna 208 Series (Caravan) With P&amp;WC PT6A-114/ -114A/ -140 Engines (Initial)</v>
      </c>
      <c r="F1281" s="17">
        <v>42719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436</v>
      </c>
      <c r="C1282" s="15" t="str" cm="1">
        <f t="array" ref="C1282">IFERROR(_xlfn.XLOOKUP(B1282, tblPeople[PersonID], tblPeople[PersonName], ""), "")</f>
        <v>Alfred Okudo</v>
      </c>
      <c r="D1282" s="15" t="s">
        <v>25</v>
      </c>
      <c r="E1282" s="16" t="str">
        <f>IFERROR(_xlfn.XLOOKUP(D1282, tblCourses[CourseID], tblCourses[CourseName], ""), "")</f>
        <v>Pratt &amp; Whitney Canada PT6A Engine With P&amp;WC PT6A
20/ 27/ 41/ 42/ 60A/ 67D/ 112/ 114A/ 140 (Refresher)</v>
      </c>
      <c r="F1282" s="17">
        <v>42661</v>
      </c>
      <c r="G1282" s="17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282" s="15">
        <f ca="1">IF(OR(tblTraining[[#This Row],[Status]]="Renewed",tblTraining[[#This Row],[NextDueDate]]=""),"",tblTraining[[#This Row],[NextDueDate]]-TODAY())</f>
        <v>-2895</v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83" spans="1:9" x14ac:dyDescent="0.25">
      <c r="A1283" s="15">
        <f t="shared" si="19"/>
        <v>1282</v>
      </c>
      <c r="B1283" s="15" t="s">
        <v>436</v>
      </c>
      <c r="C1283" s="15" t="str" cm="1">
        <f t="array" ref="C1283">IFERROR(_xlfn.XLOOKUP(B1283, tblPeople[PersonID], tblPeople[PersonName], ""), "")</f>
        <v>Alfred Okudo</v>
      </c>
      <c r="D1283" s="15" t="s">
        <v>219</v>
      </c>
      <c r="E1283" s="16" t="str">
        <f>IFERROR(_xlfn.XLOOKUP(D1283, tblCourses[CourseID], tblCourses[CourseName], ""), "")</f>
        <v>Quality Management Systems (Initial)</v>
      </c>
      <c r="F1283" s="17">
        <v>45786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436</v>
      </c>
      <c r="C1284" s="15" t="str" cm="1">
        <f t="array" ref="C1284">IFERROR(_xlfn.XLOOKUP(B1284, tblPeople[PersonID], tblPeople[PersonName], ""), "")</f>
        <v>Alfred Okudo</v>
      </c>
      <c r="D1284" s="15" t="s">
        <v>169</v>
      </c>
      <c r="E1284" s="16" t="str">
        <f>IFERROR(_xlfn.XLOOKUP(D1284, tblCourses[CourseID], tblCourses[CourseName], ""), "")</f>
        <v>Quality Management Systems</v>
      </c>
      <c r="F1284" s="17">
        <v>45786</v>
      </c>
      <c r="G1284" s="17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284" s="15">
        <f ca="1">IF(OR(tblTraining[[#This Row],[Status]]="Renewed",tblTraining[[#This Row],[NextDueDate]]=""),"",tblTraining[[#This Row],[NextDueDate]]-TODAY())</f>
        <v>596</v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436</v>
      </c>
      <c r="C1285" s="15" t="str" cm="1">
        <f t="array" ref="C1285">IFERROR(_xlfn.XLOOKUP(B1285, tblPeople[PersonID], tblPeople[PersonName], ""), "")</f>
        <v>Alfred Okudo</v>
      </c>
      <c r="D1285" s="15" t="s">
        <v>33</v>
      </c>
      <c r="E1285" s="16" t="str">
        <f>IFERROR(_xlfn.XLOOKUP(D1285, tblCourses[CourseID], tblCourses[CourseName], ""), "")</f>
        <v>Audit Techniques</v>
      </c>
      <c r="F1285" s="17">
        <v>45799</v>
      </c>
      <c r="G1285" s="17" t="str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5" s="15" t="str">
        <f ca="1">IF(OR(tblTraining[[#This Row],[Status]]="Renewed",tblTraining[[#This Row],[NextDueDate]]=""),"",tblTraining[[#This Row],[NextDueDate]]-TODAY())</f>
        <v/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436</v>
      </c>
      <c r="C1286" s="15" t="str" cm="1">
        <f t="array" ref="C1286">IFERROR(_xlfn.XLOOKUP(B1286, tblPeople[PersonID], tblPeople[PersonName], ""), "")</f>
        <v>Alfred Okudo</v>
      </c>
      <c r="D1286" s="15" t="s">
        <v>479</v>
      </c>
      <c r="E1286" s="16" t="str">
        <f>IFERROR(_xlfn.XLOOKUP(D1286, tblCourses[CourseID], tblCourses[CourseName], ""), "")</f>
        <v>Aircraft Maintenance Engineers' Licence</v>
      </c>
      <c r="F1286" s="17">
        <v>40560</v>
      </c>
      <c r="G1286" s="17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286" s="15">
        <f ca="1">IF(OR(tblTraining[[#This Row],[Status]]="Renewed",tblTraining[[#This Row],[NextDueDate]]=""),"",tblTraining[[#This Row],[NextDueDate]]-TODAY())</f>
        <v>483</v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436</v>
      </c>
      <c r="C1287" s="15" t="str" cm="1">
        <f t="array" ref="C1287">IFERROR(_xlfn.XLOOKUP(B1287, tblPeople[PersonID], tblPeople[PersonName], ""), "")</f>
        <v>Alfred Okudo</v>
      </c>
      <c r="D1287" s="15" t="s">
        <v>480</v>
      </c>
      <c r="E1287" s="16" t="str">
        <f>IFERROR(_xlfn.XLOOKUP(D1287, tblCourses[CourseID], tblCourses[CourseName], ""), "")</f>
        <v>Aircraft Maintenance Engineers' Licence</v>
      </c>
      <c r="F1287" s="17">
        <v>45439</v>
      </c>
      <c r="G1287" s="17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287" s="15">
        <f ca="1">IF(OR(tblTraining[[#This Row],[Status]]="Renewed",tblTraining[[#This Row],[NextDueDate]]=""),"",tblTraining[[#This Row],[NextDueDate]]-TODAY())</f>
        <v>979</v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435</v>
      </c>
      <c r="C1288" s="15" t="str" cm="1">
        <f t="array" ref="C1288">IFERROR(_xlfn.XLOOKUP(B1288, tblPeople[PersonID], tblPeople[PersonName], ""), "")</f>
        <v>Mary Chelagat</v>
      </c>
      <c r="D1288" s="15" t="s">
        <v>27</v>
      </c>
      <c r="E1288" s="16" t="str">
        <f>IFERROR(_xlfn.XLOOKUP(D1288, tblCourses[CourseID], tblCourses[CourseName], ""), "")</f>
        <v>Pratt &amp; Whitney Canada PT6A Engine With P&amp;WC PT6A
20/ 27/ 41/ 42/ 60A/ 67D/ 112/ 114A/ 140 (Initial)</v>
      </c>
      <c r="F1288" s="17">
        <v>44463</v>
      </c>
      <c r="G1288" s="17" t="str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8" s="15" t="str">
        <f ca="1">IF(OR(tblTraining[[#This Row],[Status]]="Renewed",tblTraining[[#This Row],[NextDueDate]]=""),"",tblTraining[[#This Row],[NextDueDate]]-TODAY())</f>
        <v/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435</v>
      </c>
      <c r="C1289" s="15" t="str" cm="1">
        <f t="array" ref="C1289">IFERROR(_xlfn.XLOOKUP(B1289, tblPeople[PersonID], tblPeople[PersonName], ""), "")</f>
        <v>Mary Chelagat</v>
      </c>
      <c r="D1289" s="15" t="s">
        <v>25</v>
      </c>
      <c r="E1289" s="16" t="str">
        <f>IFERROR(_xlfn.XLOOKUP(D1289, tblCourses[CourseID], tblCourses[CourseName], ""), "")</f>
        <v>Pratt &amp; Whitney Canada PT6A Engine With P&amp;WC PT6A
20/ 27/ 41/ 42/ 60A/ 67D/ 112/ 114A/ 140 (Refresher)</v>
      </c>
      <c r="F1289" s="17">
        <v>44463</v>
      </c>
      <c r="G1289" s="17" t="str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9" s="15" t="str">
        <f ca="1">IF(OR(tblTraining[[#This Row],[Status]]="Renewed",tblTraining[[#This Row],[NextDueDate]]=""),"",tblTraining[[#This Row],[NextDueDate]]-TODAY())</f>
        <v/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0" spans="1:9" x14ac:dyDescent="0.25">
      <c r="A1290" s="15">
        <f t="shared" si="20"/>
        <v>1289</v>
      </c>
      <c r="B1290" s="15" t="s">
        <v>435</v>
      </c>
      <c r="C1290" s="15" t="str" cm="1">
        <f t="array" ref="C1290">IFERROR(_xlfn.XLOOKUP(B1290, tblPeople[PersonID], tblPeople[PersonName], ""), "")</f>
        <v>Mary Chelagat</v>
      </c>
      <c r="D1290" s="15" t="s">
        <v>25</v>
      </c>
      <c r="E1290" s="16" t="str">
        <f>IFERROR(_xlfn.XLOOKUP(D1290, tblCourses[CourseID], tblCourses[CourseName], ""), "")</f>
        <v>Pratt &amp; Whitney Canada PT6A Engine With P&amp;WC PT6A
20/ 27/ 41/ 42/ 60A/ 67D/ 112/ 114A/ 140 (Refresher)</v>
      </c>
      <c r="F1290" s="17">
        <v>45195</v>
      </c>
      <c r="G1290" s="17" t="str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0" s="15" t="str">
        <f ca="1">IF(OR(tblTraining[[#This Row],[Status]]="Renewed",tblTraining[[#This Row],[NextDueDate]]=""),"",tblTraining[[#This Row],[NextDueDate]]-TODAY())</f>
        <v/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1" spans="1:9" x14ac:dyDescent="0.25">
      <c r="A1291" s="15">
        <f t="shared" si="20"/>
        <v>1290</v>
      </c>
      <c r="B1291" s="15" t="s">
        <v>435</v>
      </c>
      <c r="C1291" s="15" t="str" cm="1">
        <f t="array" ref="C1291">IFERROR(_xlfn.XLOOKUP(B1291, tblPeople[PersonID], tblPeople[PersonName], ""), "")</f>
        <v>Mary Chelagat</v>
      </c>
      <c r="D1291" s="15" t="s">
        <v>177</v>
      </c>
      <c r="E1291" s="16" t="str">
        <f>IFERROR(_xlfn.XLOOKUP(D1291, tblCourses[CourseID], tblCourses[CourseName], ""), "")</f>
        <v>Cessna 208 Series (Caravan) With P&amp;WC PT6A-114/ -114A/ -140 Engines (Initial)</v>
      </c>
      <c r="F1291" s="17">
        <v>43865</v>
      </c>
      <c r="G1291" s="17" t="str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1" s="15" t="str">
        <f ca="1">IF(OR(tblTraining[[#This Row],[Status]]="Renewed",tblTraining[[#This Row],[NextDueDate]]=""),"",tblTraining[[#This Row],[NextDueDate]]-TODAY())</f>
        <v/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435</v>
      </c>
      <c r="C1292" s="15" t="str" cm="1">
        <f t="array" ref="C1292">IFERROR(_xlfn.XLOOKUP(B1292, tblPeople[PersonID], tblPeople[PersonName], ""), "")</f>
        <v>Mary Chelagat</v>
      </c>
      <c r="D1292" s="15" t="s">
        <v>178</v>
      </c>
      <c r="E1292" s="16" t="str">
        <f>IFERROR(_xlfn.XLOOKUP(D1292, tblCourses[CourseID], tblCourses[CourseName], ""), "")</f>
        <v>Cessna 208 Series (Caravan) With P&amp;WC PT6A-114/ -114A/ -140 Engines (Refresher)</v>
      </c>
      <c r="F1292" s="17">
        <v>43865</v>
      </c>
      <c r="G1292" s="17" t="str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2" s="15" t="str">
        <f ca="1">IF(OR(tblTraining[[#This Row],[Status]]="Renewed",tblTraining[[#This Row],[NextDueDate]]=""),"",tblTraining[[#This Row],[NextDueDate]]-TODAY())</f>
        <v/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3" spans="1:9" x14ac:dyDescent="0.25">
      <c r="A1293" s="15">
        <f t="shared" si="20"/>
        <v>1292</v>
      </c>
      <c r="B1293" s="15" t="s">
        <v>435</v>
      </c>
      <c r="C1293" s="15" t="str" cm="1">
        <f t="array" ref="C1293">IFERROR(_xlfn.XLOOKUP(B1293, tblPeople[PersonID], tblPeople[PersonName], ""), "")</f>
        <v>Mary Chelagat</v>
      </c>
      <c r="D1293" s="15" t="s">
        <v>178</v>
      </c>
      <c r="E1293" s="16" t="str">
        <f>IFERROR(_xlfn.XLOOKUP(D1293, tblCourses[CourseID], tblCourses[CourseName], ""), "")</f>
        <v>Cessna 208 Series (Caravan) With P&amp;WC PT6A-114/ -114A/ -140 Engines (Refresher)</v>
      </c>
      <c r="F1293" s="17">
        <v>45343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4" spans="1:9" x14ac:dyDescent="0.25">
      <c r="A1294" s="15">
        <f t="shared" si="20"/>
        <v>1293</v>
      </c>
      <c r="B1294" s="15" t="s">
        <v>435</v>
      </c>
      <c r="C1294" s="15" t="str" cm="1">
        <f t="array" ref="C1294">IFERROR(_xlfn.XLOOKUP(B1294, tblPeople[PersonID], tblPeople[PersonName], ""), "")</f>
        <v>Mary Chelagat</v>
      </c>
      <c r="D1294" s="15" t="s">
        <v>178</v>
      </c>
      <c r="E1294" s="16" t="str">
        <f>IFERROR(_xlfn.XLOOKUP(D1294, tblCourses[CourseID], tblCourses[CourseName], ""), "")</f>
        <v>Cessna 208 Series (Caravan) With P&amp;WC PT6A-114/ -114A/ -140 Engines (Refresher)</v>
      </c>
      <c r="F1294" s="17">
        <v>44596</v>
      </c>
      <c r="G1294" s="17" t="str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4" s="15" t="str">
        <f ca="1">IF(OR(tblTraining[[#This Row],[Status]]="Renewed",tblTraining[[#This Row],[NextDueDate]]=""),"",tblTraining[[#This Row],[NextDueDate]]-TODAY())</f>
        <v/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5" spans="1:9" x14ac:dyDescent="0.25">
      <c r="A1295" s="15">
        <f t="shared" si="20"/>
        <v>1294</v>
      </c>
      <c r="B1295" s="15" t="s">
        <v>435</v>
      </c>
      <c r="C1295" s="15" t="str" cm="1">
        <f t="array" ref="C1295">IFERROR(_xlfn.XLOOKUP(B1295, tblPeople[PersonID], tblPeople[PersonName], ""), "")</f>
        <v>Mary Chelagat</v>
      </c>
      <c r="D1295" s="15" t="s">
        <v>28</v>
      </c>
      <c r="E1295" s="16" t="str">
        <f>IFERROR(_xlfn.XLOOKUP(D1295, tblCourses[CourseID], tblCourses[CourseName], ""), "")</f>
        <v>DHC-8 100/200/300 with PWC 120/120A/121/123B/C/D/E Series Engines(Refresher)</v>
      </c>
      <c r="F1295" s="17">
        <v>45009</v>
      </c>
      <c r="G1295" s="17" t="str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5" s="15" t="str">
        <f ca="1">IF(OR(tblTraining[[#This Row],[Status]]="Renewed",tblTraining[[#This Row],[NextDueDate]]=""),"",tblTraining[[#This Row],[NextDueDate]]-TODAY())</f>
        <v/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6" spans="1:9" x14ac:dyDescent="0.25">
      <c r="A1296" s="15">
        <f t="shared" si="20"/>
        <v>1295</v>
      </c>
      <c r="B1296" s="15" t="s">
        <v>435</v>
      </c>
      <c r="C1296" s="15" t="str" cm="1">
        <f t="array" ref="C1296">IFERROR(_xlfn.XLOOKUP(B1296, tblPeople[PersonID], tblPeople[PersonName], ""), "")</f>
        <v>Mary Chelagat</v>
      </c>
      <c r="D1296" s="15" t="s">
        <v>76</v>
      </c>
      <c r="E1296" s="16" t="str">
        <f>IFERROR(_xlfn.XLOOKUP(D1296, tblCourses[CourseID], tblCourses[CourseName], ""), "")</f>
        <v>Fuel Tank Safety Phase 1 &amp; 2 Course (Initial)</v>
      </c>
      <c r="F1296" s="17">
        <v>44639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435</v>
      </c>
      <c r="C1297" s="15" t="str" cm="1">
        <f t="array" ref="C1297">IFERROR(_xlfn.XLOOKUP(B1297, tblPeople[PersonID], tblPeople[PersonName], ""), "")</f>
        <v>Mary Chelagat</v>
      </c>
      <c r="D1297" s="15" t="s">
        <v>75</v>
      </c>
      <c r="E1297" s="16" t="str">
        <f>IFERROR(_xlfn.XLOOKUP(D1297, tblCourses[CourseID], tblCourses[CourseName], ""), "")</f>
        <v>Fuel Tank Safety Phase 1 &amp; 2 Course (Refresher)</v>
      </c>
      <c r="F1297" s="17">
        <v>44639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8" spans="1:9" x14ac:dyDescent="0.25">
      <c r="A1298" s="15">
        <f t="shared" si="20"/>
        <v>1297</v>
      </c>
      <c r="B1298" s="15" t="s">
        <v>435</v>
      </c>
      <c r="C1298" s="15" t="str" cm="1">
        <f t="array" ref="C1298">IFERROR(_xlfn.XLOOKUP(B1298, tblPeople[PersonID], tblPeople[PersonName], ""), "")</f>
        <v>Mary Chelagat</v>
      </c>
      <c r="D1298" s="15" t="s">
        <v>78</v>
      </c>
      <c r="E1298" s="16" t="str">
        <f>IFERROR(_xlfn.XLOOKUP(D1298, tblCourses[CourseID], tblCourses[CourseName], ""), "")</f>
        <v>DHC8 -100/-200/-300 Collins Wheels &amp; Brakes Familiarization Training (Initial)</v>
      </c>
      <c r="F1298" s="17">
        <v>44392</v>
      </c>
      <c r="G1298" s="17" t="str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8" s="15" t="str">
        <f ca="1">IF(OR(tblTraining[[#This Row],[Status]]="Renewed",tblTraining[[#This Row],[NextDueDate]]=""),"",tblTraining[[#This Row],[NextDueDate]]-TODAY())</f>
        <v/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9" spans="1:9" x14ac:dyDescent="0.25">
      <c r="A1299" s="15">
        <f t="shared" si="20"/>
        <v>1298</v>
      </c>
      <c r="B1299" s="15" t="s">
        <v>435</v>
      </c>
      <c r="C1299" s="15" t="str" cm="1">
        <f t="array" ref="C1299">IFERROR(_xlfn.XLOOKUP(B1299, tblPeople[PersonID], tblPeople[PersonName], ""), "")</f>
        <v>Mary Chelagat</v>
      </c>
      <c r="D1299" s="15" t="s">
        <v>77</v>
      </c>
      <c r="E1299" s="16" t="str">
        <f>IFERROR(_xlfn.XLOOKUP(D1299, tblCourses[CourseID], tblCourses[CourseName], ""), "")</f>
        <v>DHC8 -100/-200/-300 Collins Wheels &amp; Brakes Familiarization Training (Refresher)</v>
      </c>
      <c r="F1299" s="17">
        <v>44392</v>
      </c>
      <c r="G1299" s="17" t="str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9" s="15" t="str">
        <f ca="1">IF(OR(tblTraining[[#This Row],[Status]]="Renewed",tblTraining[[#This Row],[NextDueDate]]=""),"",tblTraining[[#This Row],[NextDueDate]]-TODAY())</f>
        <v/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0" spans="1:9" x14ac:dyDescent="0.25">
      <c r="A1300" s="15">
        <f t="shared" si="20"/>
        <v>1299</v>
      </c>
      <c r="B1300" s="15" t="s">
        <v>204</v>
      </c>
      <c r="C1300" s="15" t="str" cm="1">
        <f t="array" ref="C1300">IFERROR(_xlfn.XLOOKUP(B1300, tblPeople[PersonID], tblPeople[PersonName], ""), "")</f>
        <v>Andrew Ondiek</v>
      </c>
      <c r="D1300" s="15" t="s">
        <v>177</v>
      </c>
      <c r="E1300" s="16" t="str">
        <f>IFERROR(_xlfn.XLOOKUP(D1300, tblCourses[CourseID], tblCourses[CourseName], ""), "")</f>
        <v>Cessna 208 Series (Caravan) With P&amp;WC PT6A-114/ -114A/ -140 Engines (Initial)</v>
      </c>
      <c r="F1300" s="17">
        <v>45590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204</v>
      </c>
      <c r="C1301" s="15" t="str" cm="1">
        <f t="array" ref="C1301">IFERROR(_xlfn.XLOOKUP(B1301, tblPeople[PersonID], tblPeople[PersonName], ""), "")</f>
        <v>Andrew Ondiek</v>
      </c>
      <c r="D1301" s="15" t="s">
        <v>178</v>
      </c>
      <c r="E1301" s="16" t="str">
        <f>IFERROR(_xlfn.XLOOKUP(D1301, tblCourses[CourseID], tblCourses[CourseName], ""), "")</f>
        <v>Cessna 208 Series (Caravan) With P&amp;WC PT6A-114/ -114A/ -140 Engines (Refresher)</v>
      </c>
      <c r="F1301" s="17">
        <v>45590</v>
      </c>
      <c r="G1301" s="17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01" s="15">
        <f ca="1">IF(OR(tblTraining[[#This Row],[Status]]="Renewed",tblTraining[[#This Row],[NextDueDate]]=""),"",tblTraining[[#This Row],[NextDueDate]]-TODAY())</f>
        <v>34</v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02" spans="1:9" x14ac:dyDescent="0.25">
      <c r="A1302" s="15">
        <f t="shared" si="20"/>
        <v>1301</v>
      </c>
      <c r="B1302" s="15" t="s">
        <v>204</v>
      </c>
      <c r="C1302" s="15" t="str" cm="1">
        <f t="array" ref="C1302">IFERROR(_xlfn.XLOOKUP(B1302, tblPeople[PersonID], tblPeople[PersonName], ""), "")</f>
        <v>Andrew Ondiek</v>
      </c>
      <c r="D1302" s="15" t="s">
        <v>126</v>
      </c>
      <c r="E1302" s="16" t="str">
        <f>IFERROR(_xlfn.XLOOKUP(D1302, tblCourses[CourseID], tblCourses[CourseName], ""), "")</f>
        <v>Maintenance Indoctrination</v>
      </c>
      <c r="F1302" s="17">
        <v>45843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x14ac:dyDescent="0.25">
      <c r="A1303" s="15">
        <f t="shared" si="20"/>
        <v>1302</v>
      </c>
      <c r="B1303" s="15" t="s">
        <v>467</v>
      </c>
      <c r="C1303" s="15" t="str" cm="1">
        <f t="array" ref="C1303">IFERROR(_xlfn.XLOOKUP(B1303, tblPeople[PersonID], tblPeople[PersonName], ""), "")</f>
        <v>Benard Kimiti</v>
      </c>
      <c r="D1303" s="15" t="s">
        <v>175</v>
      </c>
      <c r="E1303" s="16" t="str">
        <f>IFERROR(_xlfn.XLOOKUP(D1303, tblCourses[CourseID], tblCourses[CourseName], ""), "")</f>
        <v>Aircraft Maintenance Engineers' Licence</v>
      </c>
      <c r="F1303" s="17">
        <v>46076</v>
      </c>
      <c r="G1303" s="17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03" s="15">
        <f ca="1">IF(OR(tblTraining[[#This Row],[Status]]="Renewed",tblTraining[[#This Row],[NextDueDate]]=""),"",tblTraining[[#This Row],[NextDueDate]]-TODAY())</f>
        <v>520</v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4" spans="1:9" x14ac:dyDescent="0.25">
      <c r="A1304" s="15">
        <f t="shared" si="20"/>
        <v>1303</v>
      </c>
      <c r="B1304" s="15" t="s">
        <v>98</v>
      </c>
      <c r="C1304" s="15" t="str" cm="1">
        <f t="array" ref="C1304">IFERROR(_xlfn.XLOOKUP(B1304, tblPeople[PersonID], tblPeople[PersonName], ""), "")</f>
        <v>Thadeus Mong’are</v>
      </c>
      <c r="D1304" s="15" t="s">
        <v>29</v>
      </c>
      <c r="E1304" s="16" t="str">
        <f>IFERROR(_xlfn.XLOOKUP(D1304, tblCourses[CourseID], tblCourses[CourseName], ""), "")</f>
        <v>DHC-8 100/200/300 with PWC 120/120A/121/123B/C/D/E Series Engines(Initial)</v>
      </c>
      <c r="F1304" s="17">
        <v>46108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5" spans="1:9" x14ac:dyDescent="0.25">
      <c r="A1305" s="15">
        <f t="shared" si="20"/>
        <v>1304</v>
      </c>
      <c r="B1305" s="15" t="s">
        <v>98</v>
      </c>
      <c r="C1305" s="15" t="str" cm="1">
        <f t="array" ref="C1305">IFERROR(_xlfn.XLOOKUP(B1305, tblPeople[PersonID], tblPeople[PersonName], ""), "")</f>
        <v>Thadeus Mong’are</v>
      </c>
      <c r="D1305" s="15" t="s">
        <v>28</v>
      </c>
      <c r="E1305" s="16" t="str">
        <f>IFERROR(_xlfn.XLOOKUP(D1305, tblCourses[CourseID], tblCourses[CourseName], ""), "")</f>
        <v>DHC-8 100/200/300 with PWC 120/120A/121/123B/C/D/E Series Engines(Refresher)</v>
      </c>
      <c r="F1305" s="17">
        <v>46108</v>
      </c>
      <c r="G1305" s="17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05" s="15">
        <f ca="1">IF(OR(tblTraining[[#This Row],[Status]]="Renewed",tblTraining[[#This Row],[NextDueDate]]=""),"",tblTraining[[#This Row],[NextDueDate]]-TODAY())</f>
        <v>553</v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x14ac:dyDescent="0.25">
      <c r="A1306" s="15">
        <f t="shared" si="20"/>
        <v>1305</v>
      </c>
      <c r="B1306" s="15" t="s">
        <v>503</v>
      </c>
      <c r="C1306" s="15" t="str" cm="1">
        <f t="array" ref="C1306">IFERROR(_xlfn.XLOOKUP(B1306, tblPeople[PersonID], tblPeople[PersonName], ""), "")</f>
        <v>Bruce Mukabi</v>
      </c>
      <c r="D1306" s="15" t="s">
        <v>126</v>
      </c>
      <c r="E1306" s="16" t="str">
        <f>IFERROR(_xlfn.XLOOKUP(D1306, tblCourses[CourseID], tblCourses[CourseName], ""), "")</f>
        <v>Maintenance Indoctrination</v>
      </c>
      <c r="F1306" s="17">
        <v>44263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7" spans="1:9" x14ac:dyDescent="0.25">
      <c r="A1307" s="15">
        <f t="shared" si="20"/>
        <v>1306</v>
      </c>
      <c r="B1307" s="15" t="s">
        <v>503</v>
      </c>
      <c r="C1307" s="15" t="str" cm="1">
        <f t="array" ref="C1307">IFERROR(_xlfn.XLOOKUP(B1307, tblPeople[PersonID], tblPeople[PersonName], ""), "")</f>
        <v>Bruce Mukabi</v>
      </c>
      <c r="D1307" s="15" t="s">
        <v>504</v>
      </c>
      <c r="E1307" s="16" t="str">
        <f>IFERROR(_xlfn.XLOOKUP(D1307, tblCourses[CourseID], tblCourses[CourseName], ""), "")</f>
        <v>Aviation Security Management</v>
      </c>
      <c r="F1307" s="17">
        <v>42244</v>
      </c>
      <c r="G1307" s="17" t="str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7" s="15" t="str">
        <f ca="1">IF(OR(tblTraining[[#This Row],[Status]]="Renewed",tblTraining[[#This Row],[NextDueDate]]=""),"",tblTraining[[#This Row],[NextDueDate]]-TODAY())</f>
        <v/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503</v>
      </c>
      <c r="C1308" s="15" t="str" cm="1">
        <f t="array" ref="C1308">IFERROR(_xlfn.XLOOKUP(B1308, tblPeople[PersonID], tblPeople[PersonName], ""), "")</f>
        <v>Bruce Mukabi</v>
      </c>
      <c r="D1308" s="15" t="s">
        <v>219</v>
      </c>
      <c r="E1308" s="16" t="str">
        <f>IFERROR(_xlfn.XLOOKUP(D1308, tblCourses[CourseID], tblCourses[CourseName], ""), "")</f>
        <v>Quality Management Systems (Initial)</v>
      </c>
      <c r="F1308" s="17">
        <v>42384</v>
      </c>
      <c r="G1308" s="17" t="str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8" s="15" t="str">
        <f ca="1">IF(OR(tblTraining[[#This Row],[Status]]="Renewed",tblTraining[[#This Row],[NextDueDate]]=""),"",tblTraining[[#This Row],[NextDueDate]]-TODAY())</f>
        <v/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503</v>
      </c>
      <c r="C1309" s="15" t="str" cm="1">
        <f t="array" ref="C1309">IFERROR(_xlfn.XLOOKUP(B1309, tblPeople[PersonID], tblPeople[PersonName], ""), "")</f>
        <v>Bruce Mukabi</v>
      </c>
      <c r="D1309" s="15" t="s">
        <v>169</v>
      </c>
      <c r="E1309" s="16" t="str">
        <f>IFERROR(_xlfn.XLOOKUP(D1309, tblCourses[CourseID], tblCourses[CourseName], ""), "")</f>
        <v>Quality Management Systems</v>
      </c>
      <c r="F1309" s="17">
        <v>42384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0" spans="1:9" x14ac:dyDescent="0.25">
      <c r="A1310" s="15">
        <f t="shared" si="20"/>
        <v>1309</v>
      </c>
      <c r="B1310" s="15" t="s">
        <v>503</v>
      </c>
      <c r="C1310" s="15" t="str" cm="1">
        <f t="array" ref="C1310">IFERROR(_xlfn.XLOOKUP(B1310, tblPeople[PersonID], tblPeople[PersonName], ""), "")</f>
        <v>Bruce Mukabi</v>
      </c>
      <c r="D1310" s="15" t="s">
        <v>20</v>
      </c>
      <c r="E1310" s="16" t="str">
        <f>IFERROR(_xlfn.XLOOKUP(D1310, tblCourses[CourseID], tblCourses[CourseName], ""), "")</f>
        <v>Safety Management Systems (Initial)</v>
      </c>
      <c r="F1310" s="17">
        <v>42272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1" spans="1:9" x14ac:dyDescent="0.25">
      <c r="A1311" s="15">
        <f t="shared" si="20"/>
        <v>1310</v>
      </c>
      <c r="B1311" s="15" t="s">
        <v>503</v>
      </c>
      <c r="C1311" s="15" t="str" cm="1">
        <f t="array" ref="C1311">IFERROR(_xlfn.XLOOKUP(B1311, tblPeople[PersonID], tblPeople[PersonName], ""), "")</f>
        <v>Bruce Mukabi</v>
      </c>
      <c r="D1311" s="15" t="s">
        <v>17</v>
      </c>
      <c r="E1311" s="16" t="str">
        <f>IFERROR(_xlfn.XLOOKUP(D1311, tblCourses[CourseID], tblCourses[CourseName], ""), "")</f>
        <v>Safety Management Systems (Refresher)</v>
      </c>
      <c r="F1311" s="17">
        <v>42272</v>
      </c>
      <c r="G1311" s="17" t="str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1" s="15" t="str">
        <f ca="1">IF(OR(tblTraining[[#This Row],[Status]]="Renewed",tblTraining[[#This Row],[NextDueDate]]=""),"",tblTraining[[#This Row],[NextDueDate]]-TODAY())</f>
        <v/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2" spans="1:9" x14ac:dyDescent="0.25">
      <c r="A1312" s="15">
        <f t="shared" si="20"/>
        <v>1311</v>
      </c>
      <c r="B1312" s="15" t="s">
        <v>503</v>
      </c>
      <c r="C1312" s="15" t="str" cm="1">
        <f t="array" ref="C1312">IFERROR(_xlfn.XLOOKUP(B1312, tblPeople[PersonID], tblPeople[PersonName], ""), "")</f>
        <v>Bruce Mukabi</v>
      </c>
      <c r="D1312" s="15" t="s">
        <v>17</v>
      </c>
      <c r="E1312" s="16" t="str">
        <f>IFERROR(_xlfn.XLOOKUP(D1312, tblCourses[CourseID], tblCourses[CourseName], ""), "")</f>
        <v>Safety Management Systems (Refresher)</v>
      </c>
      <c r="F1312" s="17">
        <v>44833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3" spans="1:9" x14ac:dyDescent="0.25">
      <c r="A1313" s="15">
        <f t="shared" si="20"/>
        <v>1312</v>
      </c>
      <c r="B1313" s="15" t="s">
        <v>503</v>
      </c>
      <c r="C1313" s="15" t="str" cm="1">
        <f t="array" ref="C1313">IFERROR(_xlfn.XLOOKUP(B1313, tblPeople[PersonID], tblPeople[PersonName], ""), "")</f>
        <v>Bruce Mukabi</v>
      </c>
      <c r="D1313" s="15" t="s">
        <v>506</v>
      </c>
      <c r="E1313" s="16" t="str">
        <f>IFERROR(_xlfn.XLOOKUP(D1313, tblCourses[CourseID], tblCourses[CourseName], ""), "")</f>
        <v>Comp. Based Training for Dangerous Goods Instructor (IATA DGR 1.5 &amp; CBTA Appendix H)</v>
      </c>
      <c r="F1313" s="17">
        <v>44876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x14ac:dyDescent="0.25">
      <c r="A1314" s="15">
        <f t="shared" si="20"/>
        <v>1313</v>
      </c>
      <c r="B1314" s="15" t="s">
        <v>503</v>
      </c>
      <c r="C1314" s="15" t="str" cm="1">
        <f t="array" ref="C1314">IFERROR(_xlfn.XLOOKUP(B1314, tblPeople[PersonID], tblPeople[PersonName], ""), "")</f>
        <v>Bruce Mukabi</v>
      </c>
      <c r="D1314" s="15" t="s">
        <v>17</v>
      </c>
      <c r="E1314" s="16" t="str">
        <f>IFERROR(_xlfn.XLOOKUP(D1314, tblCourses[CourseID], tblCourses[CourseName], ""), "")</f>
        <v>Safety Management Systems (Refresher)</v>
      </c>
      <c r="F1314" s="17">
        <v>45531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503</v>
      </c>
      <c r="C1315" s="15" t="str" cm="1">
        <f t="array" ref="C1315">IFERROR(_xlfn.XLOOKUP(B1315, tblPeople[PersonID], tblPeople[PersonName], ""), "")</f>
        <v>Bruce Mukabi</v>
      </c>
      <c r="D1315" s="15" t="s">
        <v>232</v>
      </c>
      <c r="E1315" s="16" t="str">
        <f>IFERROR(_xlfn.XLOOKUP(D1315, tblCourses[CourseID], tblCourses[CourseName], ""), "")</f>
        <v>Crew Resource Management (Initial)</v>
      </c>
      <c r="F1315" s="17">
        <v>45506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6" spans="1:9" x14ac:dyDescent="0.25">
      <c r="A1316" s="15">
        <f t="shared" si="20"/>
        <v>1315</v>
      </c>
      <c r="B1316" s="15" t="s">
        <v>503</v>
      </c>
      <c r="C1316" s="15" t="str" cm="1">
        <f t="array" ref="C1316">IFERROR(_xlfn.XLOOKUP(B1316, tblPeople[PersonID], tblPeople[PersonName], ""), "")</f>
        <v>Bruce Mukabi</v>
      </c>
      <c r="D1316" s="15" t="s">
        <v>231</v>
      </c>
      <c r="E1316" s="16" t="str">
        <f>IFERROR(_xlfn.XLOOKUP(D1316, tblCourses[CourseID], tblCourses[CourseName], ""), "")</f>
        <v>Crew Resource Management (Refresher)</v>
      </c>
      <c r="F1316" s="17">
        <v>45506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503</v>
      </c>
      <c r="C1317" s="15" t="str" cm="1">
        <f t="array" ref="C1317">IFERROR(_xlfn.XLOOKUP(B1317, tblPeople[PersonID], tblPeople[PersonName], ""), "")</f>
        <v>Bruce Mukabi</v>
      </c>
      <c r="D1317" s="15" t="s">
        <v>509</v>
      </c>
      <c r="E1317" s="16" t="str">
        <f>IFERROR(_xlfn.XLOOKUP(D1317, tblCourses[CourseID], tblCourses[CourseName], ""), "")</f>
        <v>Professional Skills for DGR Instructors - Categories 1,2,3,6</v>
      </c>
      <c r="F1317" s="17">
        <v>44687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8" spans="1:9" x14ac:dyDescent="0.25">
      <c r="A1318" s="15">
        <f t="shared" si="20"/>
        <v>1317</v>
      </c>
      <c r="B1318" s="15" t="s">
        <v>503</v>
      </c>
      <c r="C1318" s="15" t="str" cm="1">
        <f t="array" ref="C1318">IFERROR(_xlfn.XLOOKUP(B1318, tblPeople[PersonID], tblPeople[PersonName], ""), "")</f>
        <v>Bruce Mukabi</v>
      </c>
      <c r="D1318" s="15" t="s">
        <v>506</v>
      </c>
      <c r="E1318" s="16" t="str">
        <f>IFERROR(_xlfn.XLOOKUP(D1318, tblCourses[CourseID], tblCourses[CourseName], ""), "")</f>
        <v>Comp. Based Training for Dangerous Goods Instructor (IATA DGR 1.5 &amp; CBTA Appendix H)</v>
      </c>
      <c r="F1318" s="17">
        <v>45626</v>
      </c>
      <c r="G1318" s="17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18" s="15">
        <f ca="1">IF(OR(tblTraining[[#This Row],[Status]]="Renewed",tblTraining[[#This Row],[NextDueDate]]=""),"",tblTraining[[#This Row],[NextDueDate]]-TODAY())</f>
        <v>70</v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9" spans="1:9" x14ac:dyDescent="0.25">
      <c r="A1319" s="15">
        <f t="shared" si="20"/>
        <v>1318</v>
      </c>
      <c r="B1319" s="15" t="s">
        <v>465</v>
      </c>
      <c r="C1319" s="15" t="str" cm="1">
        <f t="array" ref="C1319">IFERROR(_xlfn.XLOOKUP(B1319, tblPeople[PersonID], tblPeople[PersonName], ""), "")</f>
        <v>Erick Mwanje</v>
      </c>
      <c r="D1319" s="15" t="s">
        <v>24</v>
      </c>
      <c r="E1319" s="16" t="str">
        <f>IFERROR(_xlfn.XLOOKUP(D1319, tblCourses[CourseID], tblCourses[CourseName], ""), "")</f>
        <v>Human Factors in Aviation (Initial)</v>
      </c>
      <c r="F1319" s="17">
        <v>46166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>
        <f t="shared" si="20"/>
        <v>1319</v>
      </c>
      <c r="B1320" s="15" t="s">
        <v>465</v>
      </c>
      <c r="C1320" s="15" t="str" cm="1">
        <f t="array" ref="C1320">IFERROR(_xlfn.XLOOKUP(B1320, tblPeople[PersonID], tblPeople[PersonName], ""), "")</f>
        <v>Erick Mwanje</v>
      </c>
      <c r="D1320" s="15" t="s">
        <v>22</v>
      </c>
      <c r="E1320" s="16" t="str">
        <f>IFERROR(_xlfn.XLOOKUP(D1320, tblCourses[CourseID], tblCourses[CourseName], ""), "")</f>
        <v>Human Factors in Aviation (Refresher)</v>
      </c>
      <c r="F1320" s="17">
        <v>46166</v>
      </c>
      <c r="G1320" s="17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0" s="15">
        <f ca="1">IF(OR(tblTraining[[#This Row],[Status]]="Renewed",tblTraining[[#This Row],[NextDueDate]]=""),"",tblTraining[[#This Row],[NextDueDate]]-TODAY())</f>
        <v>611</v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1" spans="1:9" x14ac:dyDescent="0.25">
      <c r="A1321" s="15">
        <f t="shared" si="20"/>
        <v>1320</v>
      </c>
      <c r="B1321" s="15" t="s">
        <v>465</v>
      </c>
      <c r="C1321" s="15" t="str" cm="1">
        <f t="array" ref="C1321">IFERROR(_xlfn.XLOOKUP(B1321, tblPeople[PersonID], tblPeople[PersonName], ""), "")</f>
        <v>Erick Mwanje</v>
      </c>
      <c r="D1321" s="15" t="s">
        <v>126</v>
      </c>
      <c r="E1321" s="16" t="str">
        <f>IFERROR(_xlfn.XLOOKUP(D1321, tblCourses[CourseID], tblCourses[CourseName], ""), "")</f>
        <v>Maintenance Indoctrination</v>
      </c>
      <c r="F1321" s="17">
        <v>46102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>
        <f t="shared" si="20"/>
        <v>1321</v>
      </c>
      <c r="B1322" s="15" t="s">
        <v>467</v>
      </c>
      <c r="C1322" s="15" t="str" cm="1">
        <f t="array" ref="C1322">IFERROR(_xlfn.XLOOKUP(B1322, tblPeople[PersonID], tblPeople[PersonName], ""), "")</f>
        <v>Benard Kimiti</v>
      </c>
      <c r="D1322" s="15" t="s">
        <v>126</v>
      </c>
      <c r="E1322" s="16" t="str">
        <f>IFERROR(_xlfn.XLOOKUP(D1322, tblCourses[CourseID], tblCourses[CourseName], ""), "")</f>
        <v>Maintenance Indoctrination</v>
      </c>
      <c r="F1322" s="17">
        <v>46102</v>
      </c>
      <c r="G1322" s="17" t="str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2" s="15" t="str">
        <f ca="1">IF(OR(tblTraining[[#This Row],[Status]]="Renewed",tblTraining[[#This Row],[NextDueDate]]=""),"",tblTraining[[#This Row],[NextDueDate]]-TODAY())</f>
        <v/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3" spans="1:9" x14ac:dyDescent="0.25">
      <c r="A1323" s="15">
        <f t="shared" si="20"/>
        <v>1322</v>
      </c>
      <c r="B1323" s="15" t="s">
        <v>466</v>
      </c>
      <c r="C1323" s="15" t="str" cm="1">
        <f t="array" ref="C1323">IFERROR(_xlfn.XLOOKUP(B1323, tblPeople[PersonID], tblPeople[PersonName], ""), "")</f>
        <v>Dickson Mzungu</v>
      </c>
      <c r="D1323" s="15" t="s">
        <v>126</v>
      </c>
      <c r="E1323" s="16" t="str">
        <f>IFERROR(_xlfn.XLOOKUP(D1323, tblCourses[CourseID], tblCourses[CourseName], ""), "")</f>
        <v>Maintenance Indoctrination</v>
      </c>
      <c r="F1323" s="17">
        <v>46102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4" spans="1:9" x14ac:dyDescent="0.25">
      <c r="A1324" s="15">
        <f t="shared" si="20"/>
        <v>1323</v>
      </c>
      <c r="B1324" s="15" t="s">
        <v>436</v>
      </c>
      <c r="C1324" s="15" t="str" cm="1">
        <f t="array" ref="C1324">IFERROR(_xlfn.XLOOKUP(B1324, tblPeople[PersonID], tblPeople[PersonName], ""), "")</f>
        <v>Alfred Okudo</v>
      </c>
      <c r="D1324" s="15" t="s">
        <v>24</v>
      </c>
      <c r="E1324" s="16" t="str">
        <f>IFERROR(_xlfn.XLOOKUP(D1324, tblCourses[CourseID], tblCourses[CourseName], ""), "")</f>
        <v>Human Factors in Aviation (Initial)</v>
      </c>
      <c r="F1324" s="17">
        <v>46169</v>
      </c>
      <c r="G1324" s="17" t="str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4" s="15" t="str">
        <f ca="1">IF(OR(tblTraining[[#This Row],[Status]]="Renewed",tblTraining[[#This Row],[NextDueDate]]=""),"",tblTraining[[#This Row],[NextDueDate]]-TODAY())</f>
        <v/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436</v>
      </c>
      <c r="C1325" s="15" t="str" cm="1">
        <f t="array" ref="C1325">IFERROR(_xlfn.XLOOKUP(B1325, tblPeople[PersonID], tblPeople[PersonName], ""), "")</f>
        <v>Alfred Okudo</v>
      </c>
      <c r="D1325" s="15" t="s">
        <v>22</v>
      </c>
      <c r="E1325" s="16" t="str">
        <f>IFERROR(_xlfn.XLOOKUP(D1325, tblCourses[CourseID], tblCourses[CourseName], ""), "")</f>
        <v>Human Factors in Aviation (Refresher)</v>
      </c>
      <c r="F1325" s="17">
        <v>46169</v>
      </c>
      <c r="G1325" s="17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25" s="15">
        <f ca="1">IF(OR(tblTraining[[#This Row],[Status]]="Renewed",tblTraining[[#This Row],[NextDueDate]]=""),"",tblTraining[[#This Row],[NextDueDate]]-TODAY())</f>
        <v>614</v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103</v>
      </c>
      <c r="C1326" s="15" t="str" cm="1">
        <f t="array" ref="C1326">IFERROR(_xlfn.XLOOKUP(B1326, tblPeople[PersonID], tblPeople[PersonName], ""), "")</f>
        <v>Smith Harun</v>
      </c>
      <c r="D1326" s="15" t="s">
        <v>75</v>
      </c>
      <c r="E1326" s="16" t="str">
        <f>IFERROR(_xlfn.XLOOKUP(D1326, tblCourses[CourseID], tblCourses[CourseName], ""), "")</f>
        <v>Fuel Tank Safety Phase 1 &amp; 2 Course (Refresher)</v>
      </c>
      <c r="F1326" s="17">
        <v>46146</v>
      </c>
      <c r="G1326" s="17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26" s="15">
        <f ca="1">IF(OR(tblTraining[[#This Row],[Status]]="Renewed",tblTraining[[#This Row],[NextDueDate]]=""),"",tblTraining[[#This Row],[NextDueDate]]-TODAY())</f>
        <v>591</v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466</v>
      </c>
      <c r="C1327" s="15" t="str" cm="1">
        <f t="array" ref="C1327">IFERROR(_xlfn.XLOOKUP(B1327, tblPeople[PersonID], tblPeople[PersonName], ""), "")</f>
        <v>Dickson Mzungu</v>
      </c>
      <c r="D1327" s="15" t="s">
        <v>24</v>
      </c>
      <c r="E1327" s="16" t="str">
        <f>IFERROR(_xlfn.XLOOKUP(D1327, tblCourses[CourseID], tblCourses[CourseName], ""), "")</f>
        <v>Human Factors in Aviation (Initial)</v>
      </c>
      <c r="F1327" s="17">
        <v>46166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466</v>
      </c>
      <c r="C1328" s="15" t="str" cm="1">
        <f t="array" ref="C1328">IFERROR(_xlfn.XLOOKUP(B1328, tblPeople[PersonID], tblPeople[PersonName], ""), "")</f>
        <v>Dickson Mzungu</v>
      </c>
      <c r="D1328" s="15" t="s">
        <v>22</v>
      </c>
      <c r="E1328" s="16" t="str">
        <f>IFERROR(_xlfn.XLOOKUP(D1328, tblCourses[CourseID], tblCourses[CourseName], ""), "")</f>
        <v>Human Factors in Aviation (Refresher)</v>
      </c>
      <c r="F1328" s="17">
        <v>46166</v>
      </c>
      <c r="G1328" s="17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28" s="15">
        <f ca="1">IF(OR(tblTraining[[#This Row],[Status]]="Renewed",tblTraining[[#This Row],[NextDueDate]]=""),"",tblTraining[[#This Row],[NextDueDate]]-TODAY())</f>
        <v>611</v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406</v>
      </c>
      <c r="C1329" s="15" t="str" cm="1">
        <f t="array" ref="C1329">IFERROR(_xlfn.XLOOKUP(B1329, tblPeople[PersonID], tblPeople[PersonName], ""), "")</f>
        <v>James Muisyo</v>
      </c>
      <c r="D1329" s="15" t="s">
        <v>22</v>
      </c>
      <c r="E1329" s="16" t="str">
        <f>IFERROR(_xlfn.XLOOKUP(D1329, tblCourses[CourseID], tblCourses[CourseName], ""), "")</f>
        <v>Human Factors in Aviation (Refresher)</v>
      </c>
      <c r="F1329" s="17">
        <v>46172</v>
      </c>
      <c r="G1329" s="17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29" s="15">
        <f ca="1">IF(OR(tblTraining[[#This Row],[Status]]="Renewed",tblTraining[[#This Row],[NextDueDate]]=""),"",tblTraining[[#This Row],[NextDueDate]]-TODAY())</f>
        <v>617</v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149</v>
      </c>
      <c r="C1330" s="15" t="str" cm="1">
        <f t="array" ref="C1330">IFERROR(_xlfn.XLOOKUP(B1330, tblPeople[PersonID], tblPeople[PersonName], ""), "")</f>
        <v>Kea Kazungu</v>
      </c>
      <c r="D1330" s="15" t="s">
        <v>190</v>
      </c>
      <c r="E1330" s="16" t="str">
        <f>IFERROR(_xlfn.XLOOKUP(D1330, tblCourses[CourseID], tblCourses[CourseName], ""), "")</f>
        <v>Stock Receiving Inspection</v>
      </c>
      <c r="F1330" s="17">
        <v>46087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1" spans="1:9" x14ac:dyDescent="0.25">
      <c r="A1331" s="15">
        <f t="shared" si="20"/>
        <v>1330</v>
      </c>
      <c r="B1331" s="15" t="s">
        <v>95</v>
      </c>
      <c r="C1331" s="15" t="str" cm="1">
        <f t="array" ref="C1331">IFERROR(_xlfn.XLOOKUP(B1331, tblPeople[PersonID], tblPeople[PersonName], ""), "")</f>
        <v>Walter Kibet</v>
      </c>
      <c r="D1331" s="15" t="s">
        <v>190</v>
      </c>
      <c r="E1331" s="16" t="str">
        <f>IFERROR(_xlfn.XLOOKUP(D1331, tblCourses[CourseID], tblCourses[CourseName], ""), "")</f>
        <v>Stock Receiving Inspection</v>
      </c>
      <c r="F1331" s="17">
        <v>46087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2" spans="1:9" x14ac:dyDescent="0.25">
      <c r="A1332" s="15">
        <f t="shared" si="20"/>
        <v>1331</v>
      </c>
      <c r="B1332" s="15" t="s">
        <v>100</v>
      </c>
      <c r="C1332" s="15" t="str" cm="1">
        <f t="array" ref="C1332">IFERROR(_xlfn.XLOOKUP(B1332, tblPeople[PersonID], tblPeople[PersonName], ""), "")</f>
        <v>John Muriithi</v>
      </c>
      <c r="D1332" s="15" t="s">
        <v>190</v>
      </c>
      <c r="E1332" s="16" t="str">
        <f>IFERROR(_xlfn.XLOOKUP(D1332, tblCourses[CourseID], tblCourses[CourseName], ""), "")</f>
        <v>Stock Receiving Inspection</v>
      </c>
      <c r="F1332" s="17">
        <v>46087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3" spans="1:9" x14ac:dyDescent="0.25">
      <c r="A1333" s="15">
        <f t="shared" si="20"/>
        <v>1332</v>
      </c>
      <c r="B1333" s="15" t="s">
        <v>135</v>
      </c>
      <c r="C1333" s="15" t="str" cm="1">
        <f t="array" ref="C1333">IFERROR(_xlfn.XLOOKUP(B1333, tblPeople[PersonID], tblPeople[PersonName], ""), "")</f>
        <v>Francis Muriuki</v>
      </c>
      <c r="D1333" s="15" t="s">
        <v>190</v>
      </c>
      <c r="E1333" s="16" t="str">
        <f>IFERROR(_xlfn.XLOOKUP(D1333, tblCourses[CourseID], tblCourses[CourseName], ""), "")</f>
        <v>Stock Receiving Inspection</v>
      </c>
      <c r="F1333" s="17">
        <v>46087</v>
      </c>
      <c r="G1333" s="17" t="str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3" s="15" t="str">
        <f ca="1">IF(OR(tblTraining[[#This Row],[Status]]="Renewed",tblTraining[[#This Row],[NextDueDate]]=""),"",tblTraining[[#This Row],[NextDueDate]]-TODAY())</f>
        <v/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4" spans="1:9" x14ac:dyDescent="0.25">
      <c r="A1334" s="15">
        <f t="shared" si="20"/>
        <v>1333</v>
      </c>
      <c r="B1334" s="15" t="s">
        <v>85</v>
      </c>
      <c r="C1334" s="15" t="str" cm="1">
        <f t="array" ref="C1334">IFERROR(_xlfn.XLOOKUP(B1334, tblPeople[PersonID], tblPeople[PersonName], ""), "")</f>
        <v>Titus Shunza</v>
      </c>
      <c r="D1334" s="15" t="s">
        <v>190</v>
      </c>
      <c r="E1334" s="16" t="str">
        <f>IFERROR(_xlfn.XLOOKUP(D1334, tblCourses[CourseID], tblCourses[CourseName], ""), "")</f>
        <v>Stock Receiving Inspection</v>
      </c>
      <c r="F1334" s="17">
        <v>46087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5" spans="1:9" x14ac:dyDescent="0.25">
      <c r="A1335" s="15">
        <f t="shared" si="20"/>
        <v>1334</v>
      </c>
      <c r="B1335" s="15" t="s">
        <v>209</v>
      </c>
      <c r="C1335" s="15" t="str" cm="1">
        <f t="array" ref="C1335">IFERROR(_xlfn.XLOOKUP(B1335, tblPeople[PersonID], tblPeople[PersonName], ""), "")</f>
        <v>Samuel Wacho</v>
      </c>
      <c r="D1335" s="15" t="s">
        <v>190</v>
      </c>
      <c r="E1335" s="16" t="str">
        <f>IFERROR(_xlfn.XLOOKUP(D1335, tblCourses[CourseID], tblCourses[CourseName], ""), "")</f>
        <v>Stock Receiving Inspection</v>
      </c>
      <c r="F1335" s="17">
        <v>46087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117</v>
      </c>
      <c r="C1336" s="15" t="str" cm="1">
        <f t="array" ref="C1336">IFERROR(_xlfn.XLOOKUP(B1336, tblPeople[PersonID], tblPeople[PersonName], ""), "")</f>
        <v>Mercy Etende</v>
      </c>
      <c r="D1336" s="15" t="s">
        <v>419</v>
      </c>
      <c r="E1336" s="16" t="str">
        <f>IFERROR(_xlfn.XLOOKUP(D1336, tblCourses[CourseID], tblCourses[CourseName], ""), "")</f>
        <v>Electrostatic Discharge Sensitive (ESDs)</v>
      </c>
      <c r="F1336" s="17">
        <v>46092</v>
      </c>
      <c r="G1336" s="17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6" s="15">
        <f ca="1">IF(OR(tblTraining[[#This Row],[Status]]="Renewed",tblTraining[[#This Row],[NextDueDate]]=""),"",tblTraining[[#This Row],[NextDueDate]]-TODAY())</f>
        <v>537</v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>
        <f t="shared" si="20"/>
        <v>1336</v>
      </c>
      <c r="B1337" s="15" t="s">
        <v>104</v>
      </c>
      <c r="C1337" s="15" t="str" cm="1">
        <f t="array" ref="C1337">IFERROR(_xlfn.XLOOKUP(B1337, tblPeople[PersonID], tblPeople[PersonName], ""), "")</f>
        <v>Douglas Hurgins</v>
      </c>
      <c r="D1337" s="15" t="s">
        <v>419</v>
      </c>
      <c r="E1337" s="16" t="str">
        <f>IFERROR(_xlfn.XLOOKUP(D1337, tblCourses[CourseID], tblCourses[CourseName], ""), "")</f>
        <v>Electrostatic Discharge Sensitive (ESDs)</v>
      </c>
      <c r="F1337" s="17">
        <v>46092</v>
      </c>
      <c r="G1337" s="17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7" s="15">
        <f ca="1">IF(OR(tblTraining[[#This Row],[Status]]="Renewed",tblTraining[[#This Row],[NextDueDate]]=""),"",tblTraining[[#This Row],[NextDueDate]]-TODAY())</f>
        <v>537</v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8" spans="1:9" x14ac:dyDescent="0.25">
      <c r="A1338" s="15">
        <f t="shared" si="20"/>
        <v>1337</v>
      </c>
      <c r="B1338" s="15" t="s">
        <v>149</v>
      </c>
      <c r="C1338" s="15" t="str" cm="1">
        <f t="array" ref="C1338">IFERROR(_xlfn.XLOOKUP(B1338, tblPeople[PersonID], tblPeople[PersonName], ""), "")</f>
        <v>Kea Kazungu</v>
      </c>
      <c r="D1338" s="15" t="s">
        <v>419</v>
      </c>
      <c r="E1338" s="16" t="str">
        <f>IFERROR(_xlfn.XLOOKUP(D1338, tblCourses[CourseID], tblCourses[CourseName], ""), "")</f>
        <v>Electrostatic Discharge Sensitive (ESDs)</v>
      </c>
      <c r="F1338" s="17">
        <v>46092</v>
      </c>
      <c r="G1338" s="17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8" s="15">
        <f ca="1">IF(OR(tblTraining[[#This Row],[Status]]="Renewed",tblTraining[[#This Row],[NextDueDate]]=""),"",tblTraining[[#This Row],[NextDueDate]]-TODAY())</f>
        <v>537</v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>
        <f t="shared" si="20"/>
        <v>1338</v>
      </c>
      <c r="B1339" s="15" t="s">
        <v>95</v>
      </c>
      <c r="C1339" s="15" t="str" cm="1">
        <f t="array" ref="C1339">IFERROR(_xlfn.XLOOKUP(B1339, tblPeople[PersonID], tblPeople[PersonName], ""), "")</f>
        <v>Walter Kibet</v>
      </c>
      <c r="D1339" s="15" t="s">
        <v>419</v>
      </c>
      <c r="E1339" s="16" t="str">
        <f>IFERROR(_xlfn.XLOOKUP(D1339, tblCourses[CourseID], tblCourses[CourseName], ""), "")</f>
        <v>Electrostatic Discharge Sensitive (ESDs)</v>
      </c>
      <c r="F1339" s="17">
        <v>46092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39" s="15">
        <f ca="1">IF(OR(tblTraining[[#This Row],[Status]]="Renewed",tblTraining[[#This Row],[NextDueDate]]=""),"",tblTraining[[#This Row],[NextDueDate]]-TODAY())</f>
        <v>537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155</v>
      </c>
      <c r="C1340" s="15" t="str" cm="1">
        <f t="array" ref="C1340">IFERROR(_xlfn.XLOOKUP(B1340, tblPeople[PersonID], tblPeople[PersonName], ""), "")</f>
        <v>Urbanus Muema</v>
      </c>
      <c r="D1340" s="15" t="s">
        <v>419</v>
      </c>
      <c r="E1340" s="16" t="str">
        <f>IFERROR(_xlfn.XLOOKUP(D1340, tblCourses[CourseID], tblCourses[CourseName], ""), "")</f>
        <v>Electrostatic Discharge Sensitive (ESDs)</v>
      </c>
      <c r="F1340" s="17">
        <v>46092</v>
      </c>
      <c r="G1340" s="17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0" s="15">
        <f ca="1">IF(OR(tblTraining[[#This Row],[Status]]="Renewed",tblTraining[[#This Row],[NextDueDate]]=""),"",tblTraining[[#This Row],[NextDueDate]]-TODAY())</f>
        <v>537</v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>
        <f t="shared" si="20"/>
        <v>1340</v>
      </c>
      <c r="B1341" s="15" t="s">
        <v>100</v>
      </c>
      <c r="C1341" s="15" t="str" cm="1">
        <f t="array" ref="C1341">IFERROR(_xlfn.XLOOKUP(B1341, tblPeople[PersonID], tblPeople[PersonName], ""), "")</f>
        <v>John Muriithi</v>
      </c>
      <c r="D1341" s="15" t="s">
        <v>419</v>
      </c>
      <c r="E1341" s="16" t="str">
        <f>IFERROR(_xlfn.XLOOKUP(D1341, tblCourses[CourseID], tblCourses[CourseName], ""), "")</f>
        <v>Electrostatic Discharge Sensitive (ESDs)</v>
      </c>
      <c r="F1341" s="17">
        <v>46092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1" s="15">
        <f ca="1">IF(OR(tblTraining[[#This Row],[Status]]="Renewed",tblTraining[[#This Row],[NextDueDate]]=""),"",tblTraining[[#This Row],[NextDueDate]]-TODAY())</f>
        <v>537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>
        <f t="shared" si="20"/>
        <v>1341</v>
      </c>
      <c r="B1342" s="15" t="s">
        <v>135</v>
      </c>
      <c r="C1342" s="15" t="str" cm="1">
        <f t="array" ref="C1342">IFERROR(_xlfn.XLOOKUP(B1342, tblPeople[PersonID], tblPeople[PersonName], ""), "")</f>
        <v>Francis Muriuki</v>
      </c>
      <c r="D1342" s="15" t="s">
        <v>419</v>
      </c>
      <c r="E1342" s="16" t="str">
        <f>IFERROR(_xlfn.XLOOKUP(D1342, tblCourses[CourseID], tblCourses[CourseName], ""), "")</f>
        <v>Electrostatic Discharge Sensitive (ESDs)</v>
      </c>
      <c r="F1342" s="17">
        <v>46092</v>
      </c>
      <c r="G1342" s="17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2" s="15">
        <f ca="1">IF(OR(tblTraining[[#This Row],[Status]]="Renewed",tblTraining[[#This Row],[NextDueDate]]=""),"",tblTraining[[#This Row],[NextDueDate]]-TODAY())</f>
        <v>537</v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85</v>
      </c>
      <c r="C1343" s="15" t="str" cm="1">
        <f t="array" ref="C1343">IFERROR(_xlfn.XLOOKUP(B1343, tblPeople[PersonID], tblPeople[PersonName], ""), "")</f>
        <v>Titus Shunza</v>
      </c>
      <c r="D1343" s="15" t="s">
        <v>419</v>
      </c>
      <c r="E1343" s="16" t="str">
        <f>IFERROR(_xlfn.XLOOKUP(D1343, tblCourses[CourseID], tblCourses[CourseName], ""), "")</f>
        <v>Electrostatic Discharge Sensitive (ESDs)</v>
      </c>
      <c r="F1343" s="17">
        <v>46092</v>
      </c>
      <c r="G1343" s="17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3" s="15">
        <f ca="1">IF(OR(tblTraining[[#This Row],[Status]]="Renewed",tblTraining[[#This Row],[NextDueDate]]=""),"",tblTraining[[#This Row],[NextDueDate]]-TODAY())</f>
        <v>537</v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117</v>
      </c>
      <c r="C1344" s="15" t="str" cm="1">
        <f t="array" ref="C1344">IFERROR(_xlfn.XLOOKUP(B1344, tblPeople[PersonID], tblPeople[PersonName], ""), "")</f>
        <v>Mercy Etende</v>
      </c>
      <c r="D1344" s="15" t="s">
        <v>421</v>
      </c>
      <c r="E1344" s="16" t="str">
        <f>IFERROR(_xlfn.XLOOKUP(D1344, tblCourses[CourseID], tblCourses[CourseName], ""), "")</f>
        <v>EASA Awareness Initial</v>
      </c>
      <c r="F1344" s="17">
        <v>46092</v>
      </c>
      <c r="G1344" s="17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4" s="15">
        <f ca="1">IF(OR(tblTraining[[#This Row],[Status]]="Renewed",tblTraining[[#This Row],[NextDueDate]]=""),"",tblTraining[[#This Row],[NextDueDate]]-TODAY())</f>
        <v>537</v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104</v>
      </c>
      <c r="C1345" s="15" t="str" cm="1">
        <f t="array" ref="C1345">IFERROR(_xlfn.XLOOKUP(B1345, tblPeople[PersonID], tblPeople[PersonName], ""), "")</f>
        <v>Douglas Hurgins</v>
      </c>
      <c r="D1345" s="15" t="s">
        <v>421</v>
      </c>
      <c r="E1345" s="16" t="str">
        <f>IFERROR(_xlfn.XLOOKUP(D1345, tblCourses[CourseID], tblCourses[CourseName], ""), "")</f>
        <v>EASA Awareness Initial</v>
      </c>
      <c r="F1345" s="17">
        <v>46092</v>
      </c>
      <c r="G1345" s="17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5" s="15">
        <f ca="1">IF(OR(tblTraining[[#This Row],[Status]]="Renewed",tblTraining[[#This Row],[NextDueDate]]=""),"",tblTraining[[#This Row],[NextDueDate]]-TODAY())</f>
        <v>537</v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149</v>
      </c>
      <c r="C1346" s="15" t="str" cm="1">
        <f t="array" ref="C1346">IFERROR(_xlfn.XLOOKUP(B1346, tblPeople[PersonID], tblPeople[PersonName], ""), "")</f>
        <v>Kea Kazungu</v>
      </c>
      <c r="D1346" s="15" t="s">
        <v>421</v>
      </c>
      <c r="E1346" s="16" t="str">
        <f>IFERROR(_xlfn.XLOOKUP(D1346, tblCourses[CourseID], tblCourses[CourseName], ""), "")</f>
        <v>EASA Awareness Initial</v>
      </c>
      <c r="F1346" s="17">
        <v>46092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6" s="15">
        <f ca="1">IF(OR(tblTraining[[#This Row],[Status]]="Renewed",tblTraining[[#This Row],[NextDueDate]]=""),"",tblTraining[[#This Row],[NextDueDate]]-TODAY())</f>
        <v>537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95</v>
      </c>
      <c r="C1347" s="15" t="str" cm="1">
        <f t="array" ref="C1347">IFERROR(_xlfn.XLOOKUP(B1347, tblPeople[PersonID], tblPeople[PersonName], ""), "")</f>
        <v>Walter Kibet</v>
      </c>
      <c r="D1347" s="15" t="s">
        <v>421</v>
      </c>
      <c r="E1347" s="16" t="str">
        <f>IFERROR(_xlfn.XLOOKUP(D1347, tblCourses[CourseID], tblCourses[CourseName], ""), "")</f>
        <v>EASA Awareness Initial</v>
      </c>
      <c r="F1347" s="17">
        <v>46092</v>
      </c>
      <c r="G1347" s="17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7" s="15">
        <f ca="1">IF(OR(tblTraining[[#This Row],[Status]]="Renewed",tblTraining[[#This Row],[NextDueDate]]=""),"",tblTraining[[#This Row],[NextDueDate]]-TODAY())</f>
        <v>537</v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155</v>
      </c>
      <c r="C1348" s="15" t="str" cm="1">
        <f t="array" ref="C1348">IFERROR(_xlfn.XLOOKUP(B1348, tblPeople[PersonID], tblPeople[PersonName], ""), "")</f>
        <v>Urbanus Muema</v>
      </c>
      <c r="D1348" s="15" t="s">
        <v>421</v>
      </c>
      <c r="E1348" s="16" t="str">
        <f>IFERROR(_xlfn.XLOOKUP(D1348, tblCourses[CourseID], tblCourses[CourseName], ""), "")</f>
        <v>EASA Awareness Initial</v>
      </c>
      <c r="F1348" s="17">
        <v>46092</v>
      </c>
      <c r="G1348" s="17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8" s="15">
        <f ca="1">IF(OR(tblTraining[[#This Row],[Status]]="Renewed",tblTraining[[#This Row],[NextDueDate]]=""),"",tblTraining[[#This Row],[NextDueDate]]-TODAY())</f>
        <v>537</v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100</v>
      </c>
      <c r="C1349" s="15" t="str" cm="1">
        <f t="array" ref="C1349">IFERROR(_xlfn.XLOOKUP(B1349, tblPeople[PersonID], tblPeople[PersonName], ""), "")</f>
        <v>John Muriithi</v>
      </c>
      <c r="D1349" s="15" t="s">
        <v>421</v>
      </c>
      <c r="E1349" s="16" t="str">
        <f>IFERROR(_xlfn.XLOOKUP(D1349, tblCourses[CourseID], tblCourses[CourseName], ""), "")</f>
        <v>EASA Awareness Initial</v>
      </c>
      <c r="F1349" s="17">
        <v>46092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49" s="15">
        <f ca="1">IF(OR(tblTraining[[#This Row],[Status]]="Renewed",tblTraining[[#This Row],[NextDueDate]]=""),"",tblTraining[[#This Row],[NextDueDate]]-TODAY())</f>
        <v>537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135</v>
      </c>
      <c r="C1350" s="15" t="str" cm="1">
        <f t="array" ref="C1350">IFERROR(_xlfn.XLOOKUP(B1350, tblPeople[PersonID], tblPeople[PersonName], ""), "")</f>
        <v>Francis Muriuki</v>
      </c>
      <c r="D1350" s="15" t="s">
        <v>421</v>
      </c>
      <c r="E1350" s="16" t="str">
        <f>IFERROR(_xlfn.XLOOKUP(D1350, tblCourses[CourseID], tblCourses[CourseName], ""), "")</f>
        <v>EASA Awareness Initial</v>
      </c>
      <c r="F1350" s="17">
        <v>46092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0" s="15">
        <f ca="1">IF(OR(tblTraining[[#This Row],[Status]]="Renewed",tblTraining[[#This Row],[NextDueDate]]=""),"",tblTraining[[#This Row],[NextDueDate]]-TODAY())</f>
        <v>537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85</v>
      </c>
      <c r="C1351" s="15" t="str" cm="1">
        <f t="array" ref="C1351">IFERROR(_xlfn.XLOOKUP(B1351, tblPeople[PersonID], tblPeople[PersonName], ""), "")</f>
        <v>Titus Shunza</v>
      </c>
      <c r="D1351" s="15" t="s">
        <v>421</v>
      </c>
      <c r="E1351" s="16" t="str">
        <f>IFERROR(_xlfn.XLOOKUP(D1351, tblCourses[CourseID], tblCourses[CourseName], ""), "")</f>
        <v>EASA Awareness Initial</v>
      </c>
      <c r="F1351" s="17">
        <v>46092</v>
      </c>
      <c r="G1351" s="17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1" s="15">
        <f ca="1">IF(OR(tblTraining[[#This Row],[Status]]="Renewed",tblTraining[[#This Row],[NextDueDate]]=""),"",tblTraining[[#This Row],[NextDueDate]]-TODAY())</f>
        <v>537</v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2" spans="1:9" x14ac:dyDescent="0.25">
      <c r="A1352" s="15">
        <f t="shared" si="21"/>
        <v>1351</v>
      </c>
      <c r="B1352" s="15" t="s">
        <v>209</v>
      </c>
      <c r="C1352" s="15" t="str" cm="1">
        <f t="array" ref="C1352">IFERROR(_xlfn.XLOOKUP(B1352, tblPeople[PersonID], tblPeople[PersonName], ""), "")</f>
        <v>Samuel Wacho</v>
      </c>
      <c r="D1352" s="15" t="s">
        <v>421</v>
      </c>
      <c r="E1352" s="16" t="str">
        <f>IFERROR(_xlfn.XLOOKUP(D1352, tblCourses[CourseID], tblCourses[CourseName], ""), "")</f>
        <v>EASA Awareness Initial</v>
      </c>
      <c r="F1352" s="17">
        <v>46092</v>
      </c>
      <c r="G1352" s="17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2" s="15">
        <f ca="1">IF(OR(tblTraining[[#This Row],[Status]]="Renewed",tblTraining[[#This Row],[NextDueDate]]=""),"",tblTraining[[#This Row],[NextDueDate]]-TODAY())</f>
        <v>537</v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3" spans="1:9" x14ac:dyDescent="0.25">
      <c r="A1353" s="15">
        <f t="shared" si="21"/>
        <v>1352</v>
      </c>
      <c r="B1353" s="15" t="s">
        <v>209</v>
      </c>
      <c r="C1353" s="15" t="str" cm="1">
        <f t="array" ref="C1353">IFERROR(_xlfn.XLOOKUP(B1353, tblPeople[PersonID], tblPeople[PersonName], ""), "")</f>
        <v>Samuel Wacho</v>
      </c>
      <c r="D1353" s="15" t="s">
        <v>419</v>
      </c>
      <c r="E1353" s="16" t="str">
        <f>IFERROR(_xlfn.XLOOKUP(D1353, tblCourses[CourseID], tblCourses[CourseName], ""), "")</f>
        <v>Electrostatic Discharge Sensitive (ESDs)</v>
      </c>
      <c r="F1353" s="17">
        <v>46092</v>
      </c>
      <c r="G1353" s="17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3" s="15">
        <f ca="1">IF(OR(tblTraining[[#This Row],[Status]]="Renewed",tblTraining[[#This Row],[NextDueDate]]=""),"",tblTraining[[#This Row],[NextDueDate]]-TODAY())</f>
        <v>537</v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4" spans="1:9" x14ac:dyDescent="0.25">
      <c r="A1354" s="15">
        <f t="shared" si="21"/>
        <v>1353</v>
      </c>
      <c r="B1354" s="15" t="s">
        <v>117</v>
      </c>
      <c r="C1354" s="15" t="str" cm="1">
        <f t="array" ref="C1354">IFERROR(_xlfn.XLOOKUP(B1354, tblPeople[PersonID], tblPeople[PersonName], ""), "")</f>
        <v>Mercy Etende</v>
      </c>
      <c r="D1354" s="15" t="s">
        <v>190</v>
      </c>
      <c r="E1354" s="16" t="str">
        <f>IFERROR(_xlfn.XLOOKUP(D1354, tblCourses[CourseID], tblCourses[CourseName], ""), "")</f>
        <v>Stock Receiving Inspection</v>
      </c>
      <c r="F1354" s="17">
        <v>46092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5" spans="1:9" x14ac:dyDescent="0.25">
      <c r="A1355" s="15">
        <f t="shared" si="21"/>
        <v>1354</v>
      </c>
      <c r="B1355" s="15" t="s">
        <v>104</v>
      </c>
      <c r="C1355" s="15" t="str" cm="1">
        <f t="array" ref="C1355">IFERROR(_xlfn.XLOOKUP(B1355, tblPeople[PersonID], tblPeople[PersonName], ""), "")</f>
        <v>Douglas Hurgins</v>
      </c>
      <c r="D1355" s="15" t="s">
        <v>190</v>
      </c>
      <c r="E1355" s="16" t="str">
        <f>IFERROR(_xlfn.XLOOKUP(D1355, tblCourses[CourseID], tblCourses[CourseName], ""), "")</f>
        <v>Stock Receiving Inspection</v>
      </c>
      <c r="F1355" s="17">
        <v>46092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6" spans="1:9" x14ac:dyDescent="0.25">
      <c r="A1356" s="15">
        <f t="shared" si="21"/>
        <v>1355</v>
      </c>
      <c r="B1356" s="15" t="s">
        <v>149</v>
      </c>
      <c r="C1356" s="15" t="str" cm="1">
        <f t="array" ref="C1356">IFERROR(_xlfn.XLOOKUP(B1356, tblPeople[PersonID], tblPeople[PersonName], ""), "")</f>
        <v>Kea Kazungu</v>
      </c>
      <c r="D1356" s="15" t="s">
        <v>190</v>
      </c>
      <c r="E1356" s="16" t="str">
        <f>IFERROR(_xlfn.XLOOKUP(D1356, tblCourses[CourseID], tblCourses[CourseName], ""), "")</f>
        <v>Stock Receiving Inspection</v>
      </c>
      <c r="F1356" s="17">
        <v>46092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7" spans="1:9" x14ac:dyDescent="0.25">
      <c r="A1357" s="15">
        <f t="shared" si="21"/>
        <v>1356</v>
      </c>
      <c r="B1357" s="15" t="s">
        <v>95</v>
      </c>
      <c r="C1357" s="15" t="str" cm="1">
        <f t="array" ref="C1357">IFERROR(_xlfn.XLOOKUP(B1357, tblPeople[PersonID], tblPeople[PersonName], ""), "")</f>
        <v>Walter Kibet</v>
      </c>
      <c r="D1357" s="15" t="s">
        <v>190</v>
      </c>
      <c r="E1357" s="16" t="str">
        <f>IFERROR(_xlfn.XLOOKUP(D1357, tblCourses[CourseID], tblCourses[CourseName], ""), "")</f>
        <v>Stock Receiving Inspection</v>
      </c>
      <c r="F1357" s="17">
        <v>46092</v>
      </c>
      <c r="G1357" s="17" t="str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7" s="15" t="str">
        <f ca="1">IF(OR(tblTraining[[#This Row],[Status]]="Renewed",tblTraining[[#This Row],[NextDueDate]]=""),"",tblTraining[[#This Row],[NextDueDate]]-TODAY())</f>
        <v/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>
        <f t="shared" si="21"/>
        <v>1357</v>
      </c>
      <c r="B1358" s="15" t="s">
        <v>155</v>
      </c>
      <c r="C1358" s="15" t="str" cm="1">
        <f t="array" ref="C1358">IFERROR(_xlfn.XLOOKUP(B1358, tblPeople[PersonID], tblPeople[PersonName], ""), "")</f>
        <v>Urbanus Muema</v>
      </c>
      <c r="D1358" s="15" t="s">
        <v>190</v>
      </c>
      <c r="E1358" s="16" t="str">
        <f>IFERROR(_xlfn.XLOOKUP(D1358, tblCourses[CourseID], tblCourses[CourseName], ""), "")</f>
        <v>Stock Receiving Inspection</v>
      </c>
      <c r="F1358" s="17">
        <v>46092</v>
      </c>
      <c r="G1358" s="17" t="str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8" s="15" t="str">
        <f ca="1">IF(OR(tblTraining[[#This Row],[Status]]="Renewed",tblTraining[[#This Row],[NextDueDate]]=""),"",tblTraining[[#This Row],[NextDueDate]]-TODAY())</f>
        <v/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>
        <f t="shared" si="21"/>
        <v>1358</v>
      </c>
      <c r="B1359" s="15" t="s">
        <v>100</v>
      </c>
      <c r="C1359" s="15" t="str" cm="1">
        <f t="array" ref="C1359">IFERROR(_xlfn.XLOOKUP(B1359, tblPeople[PersonID], tblPeople[PersonName], ""), "")</f>
        <v>John Muriithi</v>
      </c>
      <c r="D1359" s="15" t="s">
        <v>190</v>
      </c>
      <c r="E1359" s="16" t="str">
        <f>IFERROR(_xlfn.XLOOKUP(D1359, tblCourses[CourseID], tblCourses[CourseName], ""), "")</f>
        <v>Stock Receiving Inspection</v>
      </c>
      <c r="F1359" s="17">
        <v>46092</v>
      </c>
      <c r="G1359" s="17" t="str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9" s="15" t="str">
        <f ca="1">IF(OR(tblTraining[[#This Row],[Status]]="Renewed",tblTraining[[#This Row],[NextDueDate]]=""),"",tblTraining[[#This Row],[NextDueDate]]-TODAY())</f>
        <v/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>
        <f t="shared" si="21"/>
        <v>1359</v>
      </c>
      <c r="B1360" s="15" t="s">
        <v>135</v>
      </c>
      <c r="C1360" s="15" t="str" cm="1">
        <f t="array" ref="C1360">IFERROR(_xlfn.XLOOKUP(B1360, tblPeople[PersonID], tblPeople[PersonName], ""), "")</f>
        <v>Francis Muriuki</v>
      </c>
      <c r="D1360" s="15" t="s">
        <v>190</v>
      </c>
      <c r="E1360" s="16" t="str">
        <f>IFERROR(_xlfn.XLOOKUP(D1360, tblCourses[CourseID], tblCourses[CourseName], ""), "")</f>
        <v>Stock Receiving Inspection</v>
      </c>
      <c r="F1360" s="17">
        <v>46092</v>
      </c>
      <c r="G1360" s="17" t="str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0" s="15" t="str">
        <f ca="1">IF(OR(tblTraining[[#This Row],[Status]]="Renewed",tblTraining[[#This Row],[NextDueDate]]=""),"",tblTraining[[#This Row],[NextDueDate]]-TODAY())</f>
        <v/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85</v>
      </c>
      <c r="C1361" s="15" t="str" cm="1">
        <f t="array" ref="C1361">IFERROR(_xlfn.XLOOKUP(B1361, tblPeople[PersonID], tblPeople[PersonName], ""), "")</f>
        <v>Titus Shunza</v>
      </c>
      <c r="D1361" s="15" t="s">
        <v>190</v>
      </c>
      <c r="E1361" s="16" t="str">
        <f>IFERROR(_xlfn.XLOOKUP(D1361, tblCourses[CourseID], tblCourses[CourseName], ""), "")</f>
        <v>Stock Receiving Inspection</v>
      </c>
      <c r="F1361" s="17">
        <v>46092</v>
      </c>
      <c r="G1361" s="17" t="str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1" s="15" t="str">
        <f ca="1">IF(OR(tblTraining[[#This Row],[Status]]="Renewed",tblTraining[[#This Row],[NextDueDate]]=""),"",tblTraining[[#This Row],[NextDueDate]]-TODAY())</f>
        <v/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209</v>
      </c>
      <c r="C1362" s="15" t="str" cm="1">
        <f t="array" ref="C1362">IFERROR(_xlfn.XLOOKUP(B1362, tblPeople[PersonID], tblPeople[PersonName], ""), "")</f>
        <v>Samuel Wacho</v>
      </c>
      <c r="D1362" s="15" t="s">
        <v>190</v>
      </c>
      <c r="E1362" s="16" t="str">
        <f>IFERROR(_xlfn.XLOOKUP(D1362, tblCourses[CourseID], tblCourses[CourseName], ""), "")</f>
        <v>Stock Receiving Inspection</v>
      </c>
      <c r="F1362" s="17">
        <v>46092</v>
      </c>
      <c r="G1362" s="17" t="str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2" s="15" t="str">
        <f ca="1">IF(OR(tblTraining[[#This Row],[Status]]="Renewed",tblTraining[[#This Row],[NextDueDate]]=""),"",tblTraining[[#This Row],[NextDueDate]]-TODAY())</f>
        <v/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438</v>
      </c>
      <c r="C1363" s="15" t="str" cm="1">
        <f t="array" ref="C1363">IFERROR(_xlfn.XLOOKUP(B1363, tblPeople[PersonID], tblPeople[PersonName], ""), "")</f>
        <v>Brian Muga</v>
      </c>
      <c r="D1363" s="15" t="s">
        <v>24</v>
      </c>
      <c r="E1363" s="16" t="str">
        <f>IFERROR(_xlfn.XLOOKUP(D1363, tblCourses[CourseID], tblCourses[CourseName], ""), "")</f>
        <v>Human Factors in Aviation (Initial)</v>
      </c>
      <c r="F1363" s="17">
        <v>46173</v>
      </c>
      <c r="G1363" s="17" t="str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3" s="15" t="str">
        <f ca="1">IF(OR(tblTraining[[#This Row],[Status]]="Renewed",tblTraining[[#This Row],[NextDueDate]]=""),"",tblTraining[[#This Row],[NextDueDate]]-TODAY())</f>
        <v/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438</v>
      </c>
      <c r="C1364" s="15" t="str" cm="1">
        <f t="array" ref="C1364">IFERROR(_xlfn.XLOOKUP(B1364, tblPeople[PersonID], tblPeople[PersonName], ""), "")</f>
        <v>Brian Muga</v>
      </c>
      <c r="D1364" s="15" t="s">
        <v>22</v>
      </c>
      <c r="E1364" s="16" t="str">
        <f>IFERROR(_xlfn.XLOOKUP(D1364, tblCourses[CourseID], tblCourses[CourseName], ""), "")</f>
        <v>Human Factors in Aviation (Refresher)</v>
      </c>
      <c r="F1364" s="17">
        <v>46173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64" s="15">
        <f ca="1">IF(OR(tblTraining[[#This Row],[Status]]="Renewed",tblTraining[[#This Row],[NextDueDate]]=""),"",tblTraining[[#This Row],[NextDueDate]]-TODAY())</f>
        <v>618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211</v>
      </c>
      <c r="C1365" s="15" t="str" cm="1">
        <f t="array" ref="C1365">IFERROR(_xlfn.XLOOKUP(B1365, tblPeople[PersonID], tblPeople[PersonName], ""), "")</f>
        <v>Angeline Nthakyo</v>
      </c>
      <c r="D1365" s="15" t="s">
        <v>353</v>
      </c>
      <c r="E1365" s="16" t="str">
        <f>IFERROR(_xlfn.XLOOKUP(D1365, tblCourses[CourseID], tblCourses[CourseName], ""), "")</f>
        <v>Maintenance Procedures &amp; Standard Maintenance Practices (Initial)</v>
      </c>
      <c r="F1365" s="17">
        <v>45843</v>
      </c>
      <c r="G1365" s="17" t="str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5" s="15" t="str">
        <f ca="1">IF(OR(tblTraining[[#This Row],[Status]]="Renewed",tblTraining[[#This Row],[NextDueDate]]=""),"",tblTraining[[#This Row],[NextDueDate]]-TODAY())</f>
        <v/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211</v>
      </c>
      <c r="C1366" s="15" t="str" cm="1">
        <f t="array" ref="C1366">IFERROR(_xlfn.XLOOKUP(B1366, tblPeople[PersonID], tblPeople[PersonName], ""), "")</f>
        <v>Angeline Nthakyo</v>
      </c>
      <c r="D1366" s="15" t="s">
        <v>198</v>
      </c>
      <c r="E1366" s="16" t="str">
        <f>IFERROR(_xlfn.XLOOKUP(D1366, tblCourses[CourseID], tblCourses[CourseName], ""), "")</f>
        <v>Maintenance Procedures &amp; Standard Maintenance Practices (Refresher)</v>
      </c>
      <c r="F1366" s="17">
        <v>45843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6" s="15">
        <f ca="1">IF(OR(tblTraining[[#This Row],[Status]]="Renewed",tblTraining[[#This Row],[NextDueDate]]=""),"",tblTraining[[#This Row],[NextDueDate]]-TODAY())</f>
        <v>287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210</v>
      </c>
      <c r="C1367" s="15" t="str" cm="1">
        <f t="array" ref="C1367">IFERROR(_xlfn.XLOOKUP(B1367, tblPeople[PersonID], tblPeople[PersonName], ""), "")</f>
        <v>John Kihara</v>
      </c>
      <c r="D1367" s="15" t="s">
        <v>353</v>
      </c>
      <c r="E1367" s="16" t="str">
        <f>IFERROR(_xlfn.XLOOKUP(D1367, tblCourses[CourseID], tblCourses[CourseName], ""), "")</f>
        <v>Maintenance Procedures &amp; Standard Maintenance Practices (Initial)</v>
      </c>
      <c r="F1367" s="17">
        <v>45843</v>
      </c>
      <c r="G1367" s="17" t="str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7" s="15" t="str">
        <f ca="1">IF(OR(tblTraining[[#This Row],[Status]]="Renewed",tblTraining[[#This Row],[NextDueDate]]=""),"",tblTraining[[#This Row],[NextDueDate]]-TODAY())</f>
        <v/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210</v>
      </c>
      <c r="C1368" s="15" t="str" cm="1">
        <f t="array" ref="C1368">IFERROR(_xlfn.XLOOKUP(B1368, tblPeople[PersonID], tblPeople[PersonName], ""), "")</f>
        <v>John Kihara</v>
      </c>
      <c r="D1368" s="15" t="s">
        <v>198</v>
      </c>
      <c r="E1368" s="16" t="str">
        <f>IFERROR(_xlfn.XLOOKUP(D1368, tblCourses[CourseID], tblCourses[CourseName], ""), "")</f>
        <v>Maintenance Procedures &amp; Standard Maintenance Practices (Refresher)</v>
      </c>
      <c r="F1368" s="17">
        <v>45843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68" s="15">
        <f ca="1">IF(OR(tblTraining[[#This Row],[Status]]="Renewed",tblTraining[[#This Row],[NextDueDate]]=""),"",tblTraining[[#This Row],[NextDueDate]]-TODAY())</f>
        <v>287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261</v>
      </c>
      <c r="C1369" s="15" t="str" cm="1">
        <f t="array" ref="C1369">IFERROR(_xlfn.XLOOKUP(B1369, tblPeople[PersonID], tblPeople[PersonName], ""), "")</f>
        <v>Romy Okello</v>
      </c>
      <c r="D1369" s="15" t="s">
        <v>353</v>
      </c>
      <c r="E1369" s="16" t="str">
        <f>IFERROR(_xlfn.XLOOKUP(D1369, tblCourses[CourseID], tblCourses[CourseName], ""), "")</f>
        <v>Maintenance Procedures &amp; Standard Maintenance Practices (Initial)</v>
      </c>
      <c r="F1369" s="17">
        <v>45843</v>
      </c>
      <c r="G1369" s="17" t="str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9" s="15" t="str">
        <f ca="1">IF(OR(tblTraining[[#This Row],[Status]]="Renewed",tblTraining[[#This Row],[NextDueDate]]=""),"",tblTraining[[#This Row],[NextDueDate]]-TODAY())</f>
        <v/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261</v>
      </c>
      <c r="C1370" s="15" t="str" cm="1">
        <f t="array" ref="C1370">IFERROR(_xlfn.XLOOKUP(B1370, tblPeople[PersonID], tblPeople[PersonName], ""), "")</f>
        <v>Romy Okello</v>
      </c>
      <c r="D1370" s="15" t="s">
        <v>198</v>
      </c>
      <c r="E1370" s="16" t="str">
        <f>IFERROR(_xlfn.XLOOKUP(D1370, tblCourses[CourseID], tblCourses[CourseName], ""), "")</f>
        <v>Maintenance Procedures &amp; Standard Maintenance Practices (Refresher)</v>
      </c>
      <c r="F1370" s="17">
        <v>45843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70" s="15">
        <f ca="1">IF(OR(tblTraining[[#This Row],[Status]]="Renewed",tblTraining[[#This Row],[NextDueDate]]=""),"",tblTraining[[#This Row],[NextDueDate]]-TODAY())</f>
        <v>287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204</v>
      </c>
      <c r="C1371" s="15" t="str" cm="1">
        <f t="array" ref="C1371">IFERROR(_xlfn.XLOOKUP(B1371, tblPeople[PersonID], tblPeople[PersonName], ""), "")</f>
        <v>Andrew Ondiek</v>
      </c>
      <c r="D1371" s="15" t="s">
        <v>353</v>
      </c>
      <c r="E1371" s="16" t="str">
        <f>IFERROR(_xlfn.XLOOKUP(D1371, tblCourses[CourseID], tblCourses[CourseName], ""), "")</f>
        <v>Maintenance Procedures &amp; Standard Maintenance Practices (Initial)</v>
      </c>
      <c r="F1371" s="17">
        <v>45843</v>
      </c>
      <c r="G1371" s="17" t="str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1" s="15" t="str">
        <f ca="1">IF(OR(tblTraining[[#This Row],[Status]]="Renewed",tblTraining[[#This Row],[NextDueDate]]=""),"",tblTraining[[#This Row],[NextDueDate]]-TODAY())</f>
        <v/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204</v>
      </c>
      <c r="C1372" s="15" t="str" cm="1">
        <f t="array" ref="C1372">IFERROR(_xlfn.XLOOKUP(B1372, tblPeople[PersonID], tblPeople[PersonName], ""), "")</f>
        <v>Andrew Ondiek</v>
      </c>
      <c r="D1372" s="15" t="s">
        <v>198</v>
      </c>
      <c r="E1372" s="16" t="str">
        <f>IFERROR(_xlfn.XLOOKUP(D1372, tblCourses[CourseID], tblCourses[CourseName], ""), "")</f>
        <v>Maintenance Procedures &amp; Standard Maintenance Practices (Refresher)</v>
      </c>
      <c r="F1372" s="17">
        <v>45843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72" s="15">
        <f ca="1">IF(OR(tblTraining[[#This Row],[Status]]="Renewed",tblTraining[[#This Row],[NextDueDate]]=""),"",tblTraining[[#This Row],[NextDueDate]]-TODAY())</f>
        <v>287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97</v>
      </c>
      <c r="C1373" s="15" t="str" cm="1">
        <f t="array" ref="C1373">IFERROR(_xlfn.XLOOKUP(B1373, tblPeople[PersonID], tblPeople[PersonName], ""), "")</f>
        <v>Thomas Wambunya</v>
      </c>
      <c r="D1373" s="15" t="s">
        <v>75</v>
      </c>
      <c r="E1373" s="16" t="str">
        <f>IFERROR(_xlfn.XLOOKUP(D1373, tblCourses[CourseID], tblCourses[CourseName], ""), "")</f>
        <v>Fuel Tank Safety Phase 1 &amp; 2 Course (Refresher)</v>
      </c>
      <c r="F1373" s="17">
        <v>46151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73" s="15">
        <f ca="1">IF(OR(tblTraining[[#This Row],[Status]]="Renewed",tblTraining[[#This Row],[NextDueDate]]=""),"",tblTraining[[#This Row],[NextDueDate]]-TODAY())</f>
        <v>596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97</v>
      </c>
      <c r="C1374" s="15" t="str" cm="1">
        <f t="array" ref="C1374">IFERROR(_xlfn.XLOOKUP(B1374, tblPeople[PersonID], tblPeople[PersonName], ""), "")</f>
        <v>Thomas Wambunya</v>
      </c>
      <c r="D1374" s="15" t="s">
        <v>22</v>
      </c>
      <c r="E1374" s="16" t="str">
        <f>IFERROR(_xlfn.XLOOKUP(D1374, tblCourses[CourseID], tblCourses[CourseName], ""), "")</f>
        <v>Human Factors in Aviation (Refresher)</v>
      </c>
      <c r="F1374" s="17">
        <v>46071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74" s="15">
        <f ca="1">IF(OR(tblTraining[[#This Row],[Status]]="Renewed",tblTraining[[#This Row],[NextDueDate]]=""),"",tblTraining[[#This Row],[NextDueDate]]-TODAY())</f>
        <v>515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437</v>
      </c>
      <c r="C1375" s="15" t="str" cm="1">
        <f t="array" ref="C1375">IFERROR(_xlfn.XLOOKUP(B1375, tblPeople[PersonID], tblPeople[PersonName], ""), "")</f>
        <v>Martin Chege</v>
      </c>
      <c r="D1375" s="15" t="s">
        <v>24</v>
      </c>
      <c r="E1375" s="16" t="str">
        <f>IFERROR(_xlfn.XLOOKUP(D1375, tblCourses[CourseID], tblCourses[CourseName], ""), "")</f>
        <v>Human Factors in Aviation (Initial)</v>
      </c>
      <c r="F1375" s="17">
        <v>46175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437</v>
      </c>
      <c r="C1376" s="15" t="str" cm="1">
        <f t="array" ref="C1376">IFERROR(_xlfn.XLOOKUP(B1376, tblPeople[PersonID], tblPeople[PersonName], ""), "")</f>
        <v>Martin Chege</v>
      </c>
      <c r="D1376" s="15" t="s">
        <v>22</v>
      </c>
      <c r="E1376" s="16" t="str">
        <f>IFERROR(_xlfn.XLOOKUP(D1376, tblCourses[CourseID], tblCourses[CourseName], ""), "")</f>
        <v>Human Factors in Aviation (Refresher)</v>
      </c>
      <c r="F1376" s="17">
        <v>46175</v>
      </c>
      <c r="G1376" s="17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6" s="15">
        <f ca="1">IF(OR(tblTraining[[#This Row],[Status]]="Renewed",tblTraining[[#This Row],[NextDueDate]]=""),"",tblTraining[[#This Row],[NextDueDate]]-TODAY())</f>
        <v>620</v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403</v>
      </c>
      <c r="C1377" s="15" t="str" cm="1">
        <f t="array" ref="C1377">IFERROR(_xlfn.XLOOKUP(B1377, tblPeople[PersonID], tblPeople[PersonName], ""), "")</f>
        <v>Prudence Muhami</v>
      </c>
      <c r="D1377" s="15" t="s">
        <v>22</v>
      </c>
      <c r="E1377" s="16" t="str">
        <f>IFERROR(_xlfn.XLOOKUP(D1377, tblCourses[CourseID], tblCourses[CourseName], ""), "")</f>
        <v>Human Factors in Aviation (Refresher)</v>
      </c>
      <c r="F1377" s="17">
        <v>46175</v>
      </c>
      <c r="G1377" s="17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77" s="15">
        <f ca="1">IF(OR(tblTraining[[#This Row],[Status]]="Renewed",tblTraining[[#This Row],[NextDueDate]]=""),"",tblTraining[[#This Row],[NextDueDate]]-TODAY())</f>
        <v>620</v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443</v>
      </c>
      <c r="C1378" s="15" t="str" cm="1">
        <f t="array" ref="C1378">IFERROR(_xlfn.XLOOKUP(B1378, tblPeople[PersonID], tblPeople[PersonName], ""), "")</f>
        <v>Evans Maingi</v>
      </c>
      <c r="D1378" s="15" t="s">
        <v>24</v>
      </c>
      <c r="E1378" s="16" t="str">
        <f>IFERROR(_xlfn.XLOOKUP(D1378, tblCourses[CourseID], tblCourses[CourseName], ""), "")</f>
        <v>Human Factors in Aviation (Initial)</v>
      </c>
      <c r="F1378" s="17">
        <v>46176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443</v>
      </c>
      <c r="C1379" s="15" t="str" cm="1">
        <f t="array" ref="C1379">IFERROR(_xlfn.XLOOKUP(B1379, tblPeople[PersonID], tblPeople[PersonName], ""), "")</f>
        <v>Evans Maingi</v>
      </c>
      <c r="D1379" s="15" t="s">
        <v>22</v>
      </c>
      <c r="E1379" s="16" t="str">
        <f>IFERROR(_xlfn.XLOOKUP(D1379, tblCourses[CourseID], tblCourses[CourseName], ""), "")</f>
        <v>Human Factors in Aviation (Refresher)</v>
      </c>
      <c r="F1379" s="17">
        <v>46176</v>
      </c>
      <c r="G1379" s="17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379" s="15">
        <f ca="1">IF(OR(tblTraining[[#This Row],[Status]]="Renewed",tblTraining[[#This Row],[NextDueDate]]=""),"",tblTraining[[#This Row],[NextDueDate]]-TODAY())</f>
        <v>621</v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435</v>
      </c>
      <c r="C1380" s="15" t="str" cm="1">
        <f t="array" ref="C1380">IFERROR(_xlfn.XLOOKUP(B1380, tblPeople[PersonID], tblPeople[PersonName], ""), "")</f>
        <v>Mary Chelagat</v>
      </c>
      <c r="D1380" s="15" t="s">
        <v>178</v>
      </c>
      <c r="E1380" s="16" t="str">
        <f>IFERROR(_xlfn.XLOOKUP(D1380, tblCourses[CourseID], tblCourses[CourseName], ""), "")</f>
        <v>Cessna 208 Series (Caravan) With P&amp;WC PT6A-114/ -114A/ -140 Engines (Refresher)</v>
      </c>
      <c r="F1380" s="17">
        <v>46162</v>
      </c>
      <c r="G1380" s="17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380" s="15">
        <f ca="1">IF(OR(tblTraining[[#This Row],[Status]]="Renewed",tblTraining[[#This Row],[NextDueDate]]=""),"",tblTraining[[#This Row],[NextDueDate]]-TODAY())</f>
        <v>607</v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209</v>
      </c>
      <c r="C1381" s="15" t="str" cm="1">
        <f t="array" ref="C1381">IFERROR(_xlfn.XLOOKUP(B1381, tblPeople[PersonID], tblPeople[PersonName], ""), "")</f>
        <v>Samuel Wacho</v>
      </c>
      <c r="D1381" s="15" t="s">
        <v>75</v>
      </c>
      <c r="E1381" s="16" t="str">
        <f>IFERROR(_xlfn.XLOOKUP(D1381, tblCourses[CourseID], tblCourses[CourseName], ""), "")</f>
        <v>Fuel Tank Safety Phase 1 &amp; 2 Course (Refresher)</v>
      </c>
      <c r="F1381" s="17">
        <v>46180</v>
      </c>
      <c r="G1381" s="17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381" s="15">
        <f ca="1">IF(OR(tblTraining[[#This Row],[Status]]="Renewed",tblTraining[[#This Row],[NextDueDate]]=""),"",tblTraining[[#This Row],[NextDueDate]]-TODAY())</f>
        <v>625</v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85</v>
      </c>
      <c r="C1382" s="15" t="str" cm="1">
        <f t="array" ref="C1382">IFERROR(_xlfn.XLOOKUP(B1382, tblPeople[PersonID], tblPeople[PersonName], ""), "")</f>
        <v>Titus Shunza</v>
      </c>
      <c r="D1382" s="15" t="s">
        <v>198</v>
      </c>
      <c r="E1382" s="16" t="str">
        <f>IFERROR(_xlfn.XLOOKUP(D1382, tblCourses[CourseID], tblCourses[CourseName], ""), "")</f>
        <v>Maintenance Procedures &amp; Standard Maintenance Practices (Refresher)</v>
      </c>
      <c r="F1382" s="17">
        <v>44505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83" spans="1:9" x14ac:dyDescent="0.25">
      <c r="A1383" s="15">
        <f t="shared" si="21"/>
        <v>1382</v>
      </c>
      <c r="B1383" s="15" t="s">
        <v>438</v>
      </c>
      <c r="C1383" s="15" t="str" cm="1">
        <f t="array" ref="C1383">IFERROR(_xlfn.XLOOKUP(B1383, tblPeople[PersonID], tblPeople[PersonName], ""), "")</f>
        <v>Brian Muga</v>
      </c>
      <c r="D1383" s="15" t="s">
        <v>110</v>
      </c>
      <c r="E1383" s="16" t="str">
        <f>IFERROR(_xlfn.XLOOKUP(D1383, tblCourses[CourseID], tblCourses[CourseName], ""), "")</f>
        <v>Electrical Wiring Interconnection System Target Groups 1 &amp; 2 (Initial)</v>
      </c>
      <c r="F1383" s="17">
        <v>46179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438</v>
      </c>
      <c r="C1384" s="15" t="str" cm="1">
        <f t="array" ref="C1384">IFERROR(_xlfn.XLOOKUP(B1384, tblPeople[PersonID], tblPeople[PersonName], ""), "")</f>
        <v>Brian Muga</v>
      </c>
      <c r="D1384" s="15" t="s">
        <v>109</v>
      </c>
      <c r="E1384" s="16" t="str">
        <f>IFERROR(_xlfn.XLOOKUP(D1384, tblCourses[CourseID], tblCourses[CourseName], ""), "")</f>
        <v>Electrical Wiring Interconnection System Target Groups 1 &amp; 2 (Refresher)</v>
      </c>
      <c r="F1384" s="17">
        <v>46179</v>
      </c>
      <c r="G1384" s="17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384" s="15">
        <f ca="1">IF(OR(tblTraining[[#This Row],[Status]]="Renewed",tblTraining[[#This Row],[NextDueDate]]=""),"",tblTraining[[#This Row],[NextDueDate]]-TODAY())</f>
        <v>624</v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149</v>
      </c>
      <c r="C1385" s="15" t="str" cm="1">
        <f t="array" ref="C1385">IFERROR(_xlfn.XLOOKUP(B1385, tblPeople[PersonID], tblPeople[PersonName], ""), "")</f>
        <v>Kea Kazungu</v>
      </c>
      <c r="D1385" s="15" t="s">
        <v>75</v>
      </c>
      <c r="E1385" s="16" t="str">
        <f>IFERROR(_xlfn.XLOOKUP(D1385, tblCourses[CourseID], tblCourses[CourseName], ""), "")</f>
        <v>Fuel Tank Safety Phase 1 &amp; 2 Course (Refresher)</v>
      </c>
      <c r="F1385" s="17">
        <v>46189</v>
      </c>
      <c r="G1385" s="17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85" s="15">
        <f ca="1">IF(OR(tblTraining[[#This Row],[Status]]="Renewed",tblTraining[[#This Row],[NextDueDate]]=""),"",tblTraining[[#This Row],[NextDueDate]]-TODAY())</f>
        <v>634</v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354</v>
      </c>
      <c r="C1386" s="15" t="str" cm="1">
        <f t="array" ref="C1386">IFERROR(_xlfn.XLOOKUP(B1386, tblPeople[PersonID], tblPeople[PersonName], ""), "")</f>
        <v>Jackline Muembu</v>
      </c>
      <c r="D1386" s="15" t="s">
        <v>22</v>
      </c>
      <c r="E1386" s="16" t="str">
        <f>IFERROR(_xlfn.XLOOKUP(D1386, tblCourses[CourseID], tblCourses[CourseName], ""), "")</f>
        <v>Human Factors in Aviation (Refresher)</v>
      </c>
      <c r="F1386" s="17">
        <v>46189</v>
      </c>
      <c r="G1386" s="17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386" s="15">
        <f ca="1">IF(OR(tblTraining[[#This Row],[Status]]="Renewed",tblTraining[[#This Row],[NextDueDate]]=""),"",tblTraining[[#This Row],[NextDueDate]]-TODAY())</f>
        <v>634</v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466</v>
      </c>
      <c r="C1387" s="15" t="str" cm="1">
        <f t="array" ref="C1387">IFERROR(_xlfn.XLOOKUP(B1387, tblPeople[PersonID], tblPeople[PersonName], ""), "")</f>
        <v>Dickson Mzungu</v>
      </c>
      <c r="D1387" s="15" t="s">
        <v>110</v>
      </c>
      <c r="E1387" s="16" t="str">
        <f>IFERROR(_xlfn.XLOOKUP(D1387, tblCourses[CourseID], tblCourses[CourseName], ""), "")</f>
        <v>Electrical Wiring Interconnection System Target Groups 1 &amp; 2 (Initial)</v>
      </c>
      <c r="F1387" s="17">
        <v>46186</v>
      </c>
      <c r="G1387" s="17" t="str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7" s="15" t="str">
        <f ca="1">IF(OR(tblTraining[[#This Row],[Status]]="Renewed",tblTraining[[#This Row],[NextDueDate]]=""),"",tblTraining[[#This Row],[NextDueDate]]-TODAY())</f>
        <v/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466</v>
      </c>
      <c r="C1388" s="15" t="str" cm="1">
        <f t="array" ref="C1388">IFERROR(_xlfn.XLOOKUP(B1388, tblPeople[PersonID], tblPeople[PersonName], ""), "")</f>
        <v>Dickson Mzungu</v>
      </c>
      <c r="D1388" s="15" t="s">
        <v>109</v>
      </c>
      <c r="E1388" s="16" t="str">
        <f>IFERROR(_xlfn.XLOOKUP(D1388, tblCourses[CourseID], tblCourses[CourseName], ""), "")</f>
        <v>Electrical Wiring Interconnection System Target Groups 1 &amp; 2 (Refresher)</v>
      </c>
      <c r="F1388" s="17">
        <v>46186</v>
      </c>
      <c r="G1388" s="17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88" s="15">
        <f ca="1">IF(OR(tblTraining[[#This Row],[Status]]="Renewed",tblTraining[[#This Row],[NextDueDate]]=""),"",tblTraining[[#This Row],[NextDueDate]]-TODAY())</f>
        <v>631</v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204</v>
      </c>
      <c r="C1389" s="15" t="str" cm="1">
        <f t="array" ref="C1389">IFERROR(_xlfn.XLOOKUP(B1389, tblPeople[PersonID], tblPeople[PersonName], ""), "")</f>
        <v>Andrew Ondiek</v>
      </c>
      <c r="D1389" s="15" t="s">
        <v>110</v>
      </c>
      <c r="E1389" s="16" t="str">
        <f>IFERROR(_xlfn.XLOOKUP(D1389, tblCourses[CourseID], tblCourses[CourseName], ""), "")</f>
        <v>Electrical Wiring Interconnection System Target Groups 1 &amp; 2 (Initial)</v>
      </c>
      <c r="F1389" s="17">
        <v>46187</v>
      </c>
      <c r="G1389" s="17" t="str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9" s="15" t="str">
        <f ca="1">IF(OR(tblTraining[[#This Row],[Status]]="Renewed",tblTraining[[#This Row],[NextDueDate]]=""),"",tblTraining[[#This Row],[NextDueDate]]-TODAY())</f>
        <v/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204</v>
      </c>
      <c r="C1390" s="15" t="str" cm="1">
        <f t="array" ref="C1390">IFERROR(_xlfn.XLOOKUP(B1390, tblPeople[PersonID], tblPeople[PersonName], ""), "")</f>
        <v>Andrew Ondiek</v>
      </c>
      <c r="D1390" s="15" t="s">
        <v>109</v>
      </c>
      <c r="E1390" s="16" t="str">
        <f>IFERROR(_xlfn.XLOOKUP(D1390, tblCourses[CourseID], tblCourses[CourseName], ""), "")</f>
        <v>Electrical Wiring Interconnection System Target Groups 1 &amp; 2 (Refresher)</v>
      </c>
      <c r="F1390" s="17">
        <v>46187</v>
      </c>
      <c r="G1390" s="17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0" s="15">
        <f ca="1">IF(OR(tblTraining[[#This Row],[Status]]="Renewed",tblTraining[[#This Row],[NextDueDate]]=""),"",tblTraining[[#This Row],[NextDueDate]]-TODAY())</f>
        <v>632</v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93</v>
      </c>
      <c r="C1391" s="15" t="str" cm="1">
        <f t="array" ref="C1391">IFERROR(_xlfn.XLOOKUP(B1391, tblPeople[PersonID], tblPeople[PersonName], ""), "")</f>
        <v>Stephen Tunje</v>
      </c>
      <c r="D1391" s="15" t="s">
        <v>75</v>
      </c>
      <c r="E1391" s="16" t="str">
        <f>IFERROR(_xlfn.XLOOKUP(D1391, tblCourses[CourseID], tblCourses[CourseName], ""), "")</f>
        <v>Fuel Tank Safety Phase 1 &amp; 2 Course (Refresher)</v>
      </c>
      <c r="F1391" s="17">
        <v>46187</v>
      </c>
      <c r="G1391" s="17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1" s="15">
        <f ca="1">IF(OR(tblTraining[[#This Row],[Status]]="Renewed",tblTraining[[#This Row],[NextDueDate]]=""),"",tblTraining[[#This Row],[NextDueDate]]-TODAY())</f>
        <v>632</v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436</v>
      </c>
      <c r="C1392" s="15" t="str" cm="1">
        <f t="array" ref="C1392">IFERROR(_xlfn.XLOOKUP(B1392, tblPeople[PersonID], tblPeople[PersonName], ""), "")</f>
        <v>Alfred Okudo</v>
      </c>
      <c r="D1392" s="15" t="s">
        <v>110</v>
      </c>
      <c r="E1392" s="16" t="str">
        <f>IFERROR(_xlfn.XLOOKUP(D1392, tblCourses[CourseID], tblCourses[CourseName], ""), "")</f>
        <v>Electrical Wiring Interconnection System Target Groups 1 &amp; 2 (Initial)</v>
      </c>
      <c r="F1392" s="17">
        <v>46187</v>
      </c>
      <c r="G1392" s="17" t="str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2" s="15" t="str">
        <f ca="1">IF(OR(tblTraining[[#This Row],[Status]]="Renewed",tblTraining[[#This Row],[NextDueDate]]=""),"",tblTraining[[#This Row],[NextDueDate]]-TODAY())</f>
        <v/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436</v>
      </c>
      <c r="C1393" s="15" t="str" cm="1">
        <f t="array" ref="C1393">IFERROR(_xlfn.XLOOKUP(B1393, tblPeople[PersonID], tblPeople[PersonName], ""), "")</f>
        <v>Alfred Okudo</v>
      </c>
      <c r="D1393" s="15" t="s">
        <v>109</v>
      </c>
      <c r="E1393" s="16" t="str">
        <f>IFERROR(_xlfn.XLOOKUP(D1393, tblCourses[CourseID], tblCourses[CourseName], ""), "")</f>
        <v>Electrical Wiring Interconnection System Target Groups 1 &amp; 2 (Refresher)</v>
      </c>
      <c r="F1393" s="17">
        <v>46187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3" s="15">
        <f ca="1">IF(OR(tblTraining[[#This Row],[Status]]="Renewed",tblTraining[[#This Row],[NextDueDate]]=""),"",tblTraining[[#This Row],[NextDueDate]]-TODAY())</f>
        <v>632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211</v>
      </c>
      <c r="C1394" s="15" t="str" cm="1">
        <f t="array" ref="C1394">IFERROR(_xlfn.XLOOKUP(B1394, tblPeople[PersonID], tblPeople[PersonName], ""), "")</f>
        <v>Angeline Nthakyo</v>
      </c>
      <c r="D1394" s="15" t="s">
        <v>110</v>
      </c>
      <c r="E1394" s="16" t="str">
        <f>IFERROR(_xlfn.XLOOKUP(D1394, tblCourses[CourseID], tblCourses[CourseName], ""), "")</f>
        <v>Electrical Wiring Interconnection System Target Groups 1 &amp; 2 (Initial)</v>
      </c>
      <c r="F1394" s="17">
        <v>46187</v>
      </c>
      <c r="G1394" s="17" t="str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4" s="15" t="str">
        <f ca="1">IF(OR(tblTraining[[#This Row],[Status]]="Renewed",tblTraining[[#This Row],[NextDueDate]]=""),"",tblTraining[[#This Row],[NextDueDate]]-TODAY())</f>
        <v/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211</v>
      </c>
      <c r="C1395" s="15" t="str" cm="1">
        <f t="array" ref="C1395">IFERROR(_xlfn.XLOOKUP(B1395, tblPeople[PersonID], tblPeople[PersonName], ""), "")</f>
        <v>Angeline Nthakyo</v>
      </c>
      <c r="D1395" s="15" t="s">
        <v>109</v>
      </c>
      <c r="E1395" s="16" t="str">
        <f>IFERROR(_xlfn.XLOOKUP(D1395, tblCourses[CourseID], tblCourses[CourseName], ""), "")</f>
        <v>Electrical Wiring Interconnection System Target Groups 1 &amp; 2 (Refresher)</v>
      </c>
      <c r="F1395" s="17">
        <v>46187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5" s="15">
        <f ca="1">IF(OR(tblTraining[[#This Row],[Status]]="Renewed",tblTraining[[#This Row],[NextDueDate]]=""),"",tblTraining[[#This Row],[NextDueDate]]-TODAY())</f>
        <v>632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440</v>
      </c>
      <c r="C1396" s="15" t="str" cm="1">
        <f t="array" ref="C1396">IFERROR(_xlfn.XLOOKUP(B1396, tblPeople[PersonID], tblPeople[PersonName], ""), "")</f>
        <v>Francis Mutonga</v>
      </c>
      <c r="D1396" s="15" t="s">
        <v>110</v>
      </c>
      <c r="E1396" s="16" t="str">
        <f>IFERROR(_xlfn.XLOOKUP(D1396, tblCourses[CourseID], tblCourses[CourseName], ""), "")</f>
        <v>Electrical Wiring Interconnection System Target Groups 1 &amp; 2 (Initial)</v>
      </c>
      <c r="F1396" s="17">
        <v>46186</v>
      </c>
      <c r="G1396" s="17" t="str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6" s="15" t="str">
        <f ca="1">IF(OR(tblTraining[[#This Row],[Status]]="Renewed",tblTraining[[#This Row],[NextDueDate]]=""),"",tblTraining[[#This Row],[NextDueDate]]-TODAY())</f>
        <v/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440</v>
      </c>
      <c r="C1397" s="15" t="str" cm="1">
        <f t="array" ref="C1397">IFERROR(_xlfn.XLOOKUP(B1397, tblPeople[PersonID], tblPeople[PersonName], ""), "")</f>
        <v>Francis Mutonga</v>
      </c>
      <c r="D1397" s="15" t="s">
        <v>109</v>
      </c>
      <c r="E1397" s="16" t="str">
        <f>IFERROR(_xlfn.XLOOKUP(D1397, tblCourses[CourseID], tblCourses[CourseName], ""), "")</f>
        <v>Electrical Wiring Interconnection System Target Groups 1 &amp; 2 (Refresher)</v>
      </c>
      <c r="F1397" s="17">
        <v>46186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397" s="15">
        <f ca="1">IF(OR(tblTraining[[#This Row],[Status]]="Renewed",tblTraining[[#This Row],[NextDueDate]]=""),"",tblTraining[[#This Row],[NextDueDate]]-TODAY())</f>
        <v>631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261</v>
      </c>
      <c r="C1398" s="15" t="str" cm="1">
        <f t="array" ref="C1398">IFERROR(_xlfn.XLOOKUP(B1398, tblPeople[PersonID], tblPeople[PersonName], ""), "")</f>
        <v>Romy Okello</v>
      </c>
      <c r="D1398" s="15" t="s">
        <v>110</v>
      </c>
      <c r="E1398" s="16" t="str">
        <f>IFERROR(_xlfn.XLOOKUP(D1398, tblCourses[CourseID], tblCourses[CourseName], ""), "")</f>
        <v>Electrical Wiring Interconnection System Target Groups 1 &amp; 2 (Initial)</v>
      </c>
      <c r="F1398" s="17">
        <v>46187</v>
      </c>
      <c r="G1398" s="17" t="str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8" s="15" t="str">
        <f ca="1">IF(OR(tblTraining[[#This Row],[Status]]="Renewed",tblTraining[[#This Row],[NextDueDate]]=""),"",tblTraining[[#This Row],[NextDueDate]]-TODAY())</f>
        <v/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261</v>
      </c>
      <c r="C1399" s="15" t="str" cm="1">
        <f t="array" ref="C1399">IFERROR(_xlfn.XLOOKUP(B1399, tblPeople[PersonID], tblPeople[PersonName], ""), "")</f>
        <v>Romy Okello</v>
      </c>
      <c r="D1399" s="15" t="s">
        <v>109</v>
      </c>
      <c r="E1399" s="16" t="str">
        <f>IFERROR(_xlfn.XLOOKUP(D1399, tblCourses[CourseID], tblCourses[CourseName], ""), "")</f>
        <v>Electrical Wiring Interconnection System Target Groups 1 &amp; 2 (Refresher)</v>
      </c>
      <c r="F1399" s="17">
        <v>46187</v>
      </c>
      <c r="G1399" s="17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399" s="15">
        <f ca="1">IF(OR(tblTraining[[#This Row],[Status]]="Renewed",tblTraining[[#This Row],[NextDueDate]]=""),"",tblTraining[[#This Row],[NextDueDate]]-TODAY())</f>
        <v>632</v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208</v>
      </c>
      <c r="C1400" s="15" t="str" cm="1">
        <f t="array" ref="C1400">IFERROR(_xlfn.XLOOKUP(B1400, tblPeople[PersonID], tblPeople[PersonName], ""), "")</f>
        <v xml:space="preserve">Edwin Kemei </v>
      </c>
      <c r="D1400" s="15" t="s">
        <v>198</v>
      </c>
      <c r="E1400" s="16" t="str">
        <f>IFERROR(_xlfn.XLOOKUP(D1400, tblCourses[CourseID], tblCourses[CourseName], ""), "")</f>
        <v>Maintenance Procedures &amp; Standard Maintenance Practices (Refresher)</v>
      </c>
      <c r="F1400" s="17">
        <v>46184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0" s="15">
        <f ca="1">IF(OR(tblTraining[[#This Row],[Status]]="Renewed",tblTraining[[#This Row],[NextDueDate]]=""),"",tblTraining[[#This Row],[NextDueDate]]-TODAY())</f>
        <v>629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98</v>
      </c>
      <c r="C1401" s="15" t="str" cm="1">
        <f t="array" ref="C1401">IFERROR(_xlfn.XLOOKUP(B1401, tblPeople[PersonID], tblPeople[PersonName], ""), "")</f>
        <v>Thadeus Mong’are</v>
      </c>
      <c r="D1401" s="15" t="s">
        <v>198</v>
      </c>
      <c r="E1401" s="16" t="str">
        <f>IFERROR(_xlfn.XLOOKUP(D1401, tblCourses[CourseID], tblCourses[CourseName], ""), "")</f>
        <v>Maintenance Procedures &amp; Standard Maintenance Practices (Refresher)</v>
      </c>
      <c r="F1401" s="17">
        <v>46184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1" s="15">
        <f ca="1">IF(OR(tblTraining[[#This Row],[Status]]="Renewed",tblTraining[[#This Row],[NextDueDate]]=""),"",tblTraining[[#This Row],[NextDueDate]]-TODAY())</f>
        <v>629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106</v>
      </c>
      <c r="C1402" s="15" t="str" cm="1">
        <f t="array" ref="C1402">IFERROR(_xlfn.XLOOKUP(B1402, tblPeople[PersonID], tblPeople[PersonName], ""), "")</f>
        <v>James Mugo</v>
      </c>
      <c r="D1402" s="15" t="s">
        <v>198</v>
      </c>
      <c r="E1402" s="16" t="str">
        <f>IFERROR(_xlfn.XLOOKUP(D1402, tblCourses[CourseID], tblCourses[CourseName], ""), "")</f>
        <v>Maintenance Procedures &amp; Standard Maintenance Practices (Refresher)</v>
      </c>
      <c r="F1402" s="17">
        <v>46184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2" s="15">
        <f ca="1">IF(OR(tblTraining[[#This Row],[Status]]="Renewed",tblTraining[[#This Row],[NextDueDate]]=""),"",tblTraining[[#This Row],[NextDueDate]]-TODAY())</f>
        <v>629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88</v>
      </c>
      <c r="C1403" s="15" t="str" cm="1">
        <f t="array" ref="C1403">IFERROR(_xlfn.XLOOKUP(B1403, tblPeople[PersonID], tblPeople[PersonName], ""), "")</f>
        <v>Michael Njihia</v>
      </c>
      <c r="D1403" s="15" t="s">
        <v>198</v>
      </c>
      <c r="E1403" s="16" t="str">
        <f>IFERROR(_xlfn.XLOOKUP(D1403, tblCourses[CourseID], tblCourses[CourseName], ""), "")</f>
        <v>Maintenance Procedures &amp; Standard Maintenance Practices (Refresher)</v>
      </c>
      <c r="F1403" s="17">
        <v>46184</v>
      </c>
      <c r="G1403" s="17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3" s="15">
        <f ca="1">IF(OR(tblTraining[[#This Row],[Status]]="Renewed",tblTraining[[#This Row],[NextDueDate]]=""),"",tblTraining[[#This Row],[NextDueDate]]-TODAY())</f>
        <v>629</v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4" spans="1:9" x14ac:dyDescent="0.25">
      <c r="A1404" s="15">
        <f t="shared" si="21"/>
        <v>1403</v>
      </c>
      <c r="B1404" s="15" t="s">
        <v>86</v>
      </c>
      <c r="C1404" s="15" t="str" cm="1">
        <f t="array" ref="C1404">IFERROR(_xlfn.XLOOKUP(B1404, tblPeople[PersonID], tblPeople[PersonName], ""), "")</f>
        <v>Samuel Okoth</v>
      </c>
      <c r="D1404" s="15" t="s">
        <v>198</v>
      </c>
      <c r="E1404" s="16" t="str">
        <f>IFERROR(_xlfn.XLOOKUP(D1404, tblCourses[CourseID], tblCourses[CourseName], ""), "")</f>
        <v>Maintenance Procedures &amp; Standard Maintenance Practices (Refresher)</v>
      </c>
      <c r="F1404" s="17">
        <v>46184</v>
      </c>
      <c r="G1404" s="17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4" s="15">
        <f ca="1">IF(OR(tblTraining[[#This Row],[Status]]="Renewed",tblTraining[[#This Row],[NextDueDate]]=""),"",tblTraining[[#This Row],[NextDueDate]]-TODAY())</f>
        <v>629</v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87</v>
      </c>
      <c r="C1405" s="15" t="str" cm="1">
        <f t="array" ref="C1405">IFERROR(_xlfn.XLOOKUP(B1405, tblPeople[PersonID], tblPeople[PersonName], ""), "")</f>
        <v>Sydney Sawe</v>
      </c>
      <c r="D1405" s="15" t="s">
        <v>198</v>
      </c>
      <c r="E1405" s="16" t="str">
        <f>IFERROR(_xlfn.XLOOKUP(D1405, tblCourses[CourseID], tblCourses[CourseName], ""), "")</f>
        <v>Maintenance Procedures &amp; Standard Maintenance Practices (Refresher)</v>
      </c>
      <c r="F1405" s="17">
        <v>46184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5" s="15">
        <f ca="1">IF(OR(tblTraining[[#This Row],[Status]]="Renewed",tblTraining[[#This Row],[NextDueDate]]=""),"",tblTraining[[#This Row],[NextDueDate]]-TODAY())</f>
        <v>629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85</v>
      </c>
      <c r="C1406" s="15" t="str" cm="1">
        <f t="array" ref="C1406">IFERROR(_xlfn.XLOOKUP(B1406, tblPeople[PersonID], tblPeople[PersonName], ""), "")</f>
        <v>Titus Shunza</v>
      </c>
      <c r="D1406" s="15" t="s">
        <v>198</v>
      </c>
      <c r="E1406" s="16" t="str">
        <f>IFERROR(_xlfn.XLOOKUP(D1406, tblCourses[CourseID], tblCourses[CourseName], ""), "")</f>
        <v>Maintenance Procedures &amp; Standard Maintenance Practices (Refresher)</v>
      </c>
      <c r="F1406" s="17">
        <v>46184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6" s="15">
        <f ca="1">IF(OR(tblTraining[[#This Row],[Status]]="Renewed",tblTraining[[#This Row],[NextDueDate]]=""),"",tblTraining[[#This Row],[NextDueDate]]-TODAY())</f>
        <v>629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>
        <f t="shared" si="21"/>
        <v>1406</v>
      </c>
      <c r="B1407" s="15" t="s">
        <v>97</v>
      </c>
      <c r="C1407" s="15" t="str" cm="1">
        <f t="array" ref="C1407">IFERROR(_xlfn.XLOOKUP(B1407, tblPeople[PersonID], tblPeople[PersonName], ""), "")</f>
        <v>Thomas Wambunya</v>
      </c>
      <c r="D1407" s="15" t="s">
        <v>198</v>
      </c>
      <c r="E1407" s="16" t="str">
        <f>IFERROR(_xlfn.XLOOKUP(D1407, tblCourses[CourseID], tblCourses[CourseName], ""), "")</f>
        <v>Maintenance Procedures &amp; Standard Maintenance Practices (Refresher)</v>
      </c>
      <c r="F1407" s="17">
        <v>46184</v>
      </c>
      <c r="G1407" s="17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07" s="15">
        <f ca="1">IF(OR(tblTraining[[#This Row],[Status]]="Renewed",tblTraining[[#This Row],[NextDueDate]]=""),"",tblTraining[[#This Row],[NextDueDate]]-TODAY())</f>
        <v>629</v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465</v>
      </c>
      <c r="C1408" s="15" t="str" cm="1">
        <f t="array" ref="C1408">IFERROR(_xlfn.XLOOKUP(B1408, tblPeople[PersonID], tblPeople[PersonName], ""), "")</f>
        <v>Erick Mwanje</v>
      </c>
      <c r="D1408" s="15" t="s">
        <v>353</v>
      </c>
      <c r="E1408" s="16" t="str">
        <f>IFERROR(_xlfn.XLOOKUP(D1408, tblCourses[CourseID], tblCourses[CourseName], ""), "")</f>
        <v>Maintenance Procedures &amp; Standard Maintenance Practices (Initial)</v>
      </c>
      <c r="F1408" s="17">
        <v>46155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465</v>
      </c>
      <c r="C1409" s="15" t="str" cm="1">
        <f t="array" ref="C1409">IFERROR(_xlfn.XLOOKUP(B1409, tblPeople[PersonID], tblPeople[PersonName], ""), "")</f>
        <v>Erick Mwanje</v>
      </c>
      <c r="D1409" s="15" t="s">
        <v>198</v>
      </c>
      <c r="E1409" s="16" t="str">
        <f>IFERROR(_xlfn.XLOOKUP(D1409, tblCourses[CourseID], tblCourses[CourseName], ""), "")</f>
        <v>Maintenance Procedures &amp; Standard Maintenance Practices (Refresher)</v>
      </c>
      <c r="F1409" s="17">
        <v>46155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09" s="15">
        <f ca="1">IF(OR(tblTraining[[#This Row],[Status]]="Renewed",tblTraining[[#This Row],[NextDueDate]]=""),"",tblTraining[[#This Row],[NextDueDate]]-TODAY())</f>
        <v>600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204</v>
      </c>
      <c r="C1410" s="15" t="str" cm="1">
        <f t="array" ref="C1410">IFERROR(_xlfn.XLOOKUP(B1410, tblPeople[PersonID], tblPeople[PersonName], ""), "")</f>
        <v>Andrew Ondiek</v>
      </c>
      <c r="D1410" s="15" t="s">
        <v>175</v>
      </c>
      <c r="E1410" s="16" t="str">
        <f>IFERROR(_xlfn.XLOOKUP(D1410, tblCourses[CourseID], tblCourses[CourseName], ""), "")</f>
        <v>Aircraft Maintenance Engineers' Licence</v>
      </c>
      <c r="F1410" s="17">
        <v>46171</v>
      </c>
      <c r="G1410" s="17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10" s="15">
        <f ca="1">IF(OR(tblTraining[[#This Row],[Status]]="Renewed",tblTraining[[#This Row],[NextDueDate]]=""),"",tblTraining[[#This Row],[NextDueDate]]-TODAY())</f>
        <v>616</v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435</v>
      </c>
      <c r="C1411" s="15" t="str" cm="1">
        <f t="array" ref="C1411">IFERROR(_xlfn.XLOOKUP(B1411, tblPeople[PersonID], tblPeople[PersonName], ""), "")</f>
        <v>Mary Chelagat</v>
      </c>
      <c r="D1411" s="15" t="s">
        <v>175</v>
      </c>
      <c r="E1411" s="16" t="str">
        <f>IFERROR(_xlfn.XLOOKUP(D1411, tblCourses[CourseID], tblCourses[CourseName], ""), "")</f>
        <v>Aircraft Maintenance Engineers' Licence</v>
      </c>
      <c r="F1411" s="17">
        <v>46234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11" s="15">
        <f ca="1">IF(OR(tblTraining[[#This Row],[Status]]="Renewed",tblTraining[[#This Row],[NextDueDate]]=""),"",tblTraining[[#This Row],[NextDueDate]]-TODAY())</f>
        <v>679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466</v>
      </c>
      <c r="C1412" s="15" t="str" cm="1">
        <f t="array" ref="C1412">IFERROR(_xlfn.XLOOKUP(B1412, tblPeople[PersonID], tblPeople[PersonName], ""), "")</f>
        <v>Dickson Mzungu</v>
      </c>
      <c r="D1412" s="15" t="s">
        <v>175</v>
      </c>
      <c r="E1412" s="16" t="str">
        <f>IFERROR(_xlfn.XLOOKUP(D1412, tblCourses[CourseID], tblCourses[CourseName], ""), "")</f>
        <v>Aircraft Maintenance Engineers' Licence</v>
      </c>
      <c r="F1412" s="17">
        <v>46225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12" s="15">
        <f ca="1">IF(OR(tblTraining[[#This Row],[Status]]="Renewed",tblTraining[[#This Row],[NextDueDate]]=""),"",tblTraining[[#This Row],[NextDueDate]]-TODAY())</f>
        <v>670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435</v>
      </c>
      <c r="C1413" s="15" t="str" cm="1">
        <f t="array" ref="C1413">IFERROR(_xlfn.XLOOKUP(B1413, tblPeople[PersonID], tblPeople[PersonName], ""), "")</f>
        <v>Mary Chelagat</v>
      </c>
      <c r="D1413" s="15" t="s">
        <v>109</v>
      </c>
      <c r="E1413" s="16" t="str">
        <f>IFERROR(_xlfn.XLOOKUP(D1413, tblCourses[CourseID], tblCourses[CourseName], ""), "")</f>
        <v>Electrical Wiring Interconnection System Target Groups 1 &amp; 2 (Refresher)</v>
      </c>
      <c r="F1413" s="17">
        <v>46207</v>
      </c>
      <c r="G1413" s="17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13" s="15">
        <f ca="1">IF(OR(tblTraining[[#This Row],[Status]]="Renewed",tblTraining[[#This Row],[NextDueDate]]=""),"",tblTraining[[#This Row],[NextDueDate]]-TODAY())</f>
        <v>652</v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435</v>
      </c>
      <c r="C1414" s="15" t="str" cm="1">
        <f t="array" ref="C1414">IFERROR(_xlfn.XLOOKUP(B1414, tblPeople[PersonID], tblPeople[PersonName], ""), "")</f>
        <v>Mary Chelagat</v>
      </c>
      <c r="D1414" s="15" t="s">
        <v>110</v>
      </c>
      <c r="E1414" s="16" t="str">
        <f>IFERROR(_xlfn.XLOOKUP(D1414, tblCourses[CourseID], tblCourses[CourseName], ""), "")</f>
        <v>Electrical Wiring Interconnection System Target Groups 1 &amp; 2 (Initial)</v>
      </c>
      <c r="F1414" s="17">
        <v>46207</v>
      </c>
      <c r="G1414" s="17" t="str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4" s="15" t="str">
        <f ca="1">IF(OR(tblTraining[[#This Row],[Status]]="Renewed",tblTraining[[#This Row],[NextDueDate]]=""),"",tblTraining[[#This Row],[NextDueDate]]-TODAY())</f>
        <v/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468</v>
      </c>
      <c r="C1415" s="15" t="str" cm="1">
        <f t="array" ref="C1415">IFERROR(_xlfn.XLOOKUP(B1415, tblPeople[PersonID], tblPeople[PersonName], ""), "")</f>
        <v>Erick Peter</v>
      </c>
      <c r="D1415" s="15" t="s">
        <v>353</v>
      </c>
      <c r="E1415" s="16" t="str">
        <f>IFERROR(_xlfn.XLOOKUP(D1415, tblCourses[CourseID], tblCourses[CourseName], ""), "")</f>
        <v>Maintenance Procedures &amp; Standard Maintenance Practices (Initial)</v>
      </c>
      <c r="F1415" s="17">
        <v>45843</v>
      </c>
      <c r="G1415" s="17" t="str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5" s="15" t="str">
        <f ca="1">IF(OR(tblTraining[[#This Row],[Status]]="Renewed",tblTraining[[#This Row],[NextDueDate]]=""),"",tblTraining[[#This Row],[NextDueDate]]-TODAY())</f>
        <v/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468</v>
      </c>
      <c r="C1416" s="15" t="str" cm="1">
        <f t="array" ref="C1416">IFERROR(_xlfn.XLOOKUP(B1416, tblPeople[PersonID], tblPeople[PersonName], ""), "")</f>
        <v>Erick Peter</v>
      </c>
      <c r="D1416" s="15" t="s">
        <v>198</v>
      </c>
      <c r="E1416" s="16" t="str">
        <f>IFERROR(_xlfn.XLOOKUP(D1416, tblCourses[CourseID], tblCourses[CourseName], ""), "")</f>
        <v>Maintenance Procedures &amp; Standard Maintenance Practices (Refresher)</v>
      </c>
      <c r="F1416" s="17">
        <v>45843</v>
      </c>
      <c r="G1416" s="17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16" s="15">
        <f ca="1">IF(OR(tblTraining[[#This Row],[Status]]="Renewed",tblTraining[[#This Row],[NextDueDate]]=""),"",tblTraining[[#This Row],[NextDueDate]]-TODAY())</f>
        <v>287</v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390</v>
      </c>
      <c r="C1417" s="15" t="str" cm="1">
        <f t="array" ref="C1417">IFERROR(_xlfn.XLOOKUP(B1417, tblPeople[PersonID], tblPeople[PersonName], ""), "")</f>
        <v>Benson Gitahi</v>
      </c>
      <c r="D1417" s="15" t="s">
        <v>110</v>
      </c>
      <c r="E1417" s="16" t="str">
        <f>IFERROR(_xlfn.XLOOKUP(D1417, tblCourses[CourseID], tblCourses[CourseName], ""), "")</f>
        <v>Electrical Wiring Interconnection System Target Groups 1 &amp; 2 (Initial)</v>
      </c>
      <c r="F1417" s="17">
        <v>46204</v>
      </c>
      <c r="G1417" s="17" t="str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7" s="15" t="str">
        <f ca="1">IF(OR(tblTraining[[#This Row],[Status]]="Renewed",tblTraining[[#This Row],[NextDueDate]]=""),"",tblTraining[[#This Row],[NextDueDate]]-TODAY())</f>
        <v/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390</v>
      </c>
      <c r="C1418" s="15" t="str" cm="1">
        <f t="array" ref="C1418">IFERROR(_xlfn.XLOOKUP(B1418, tblPeople[PersonID], tblPeople[PersonName], ""), "")</f>
        <v>Benson Gitahi</v>
      </c>
      <c r="D1418" s="15" t="s">
        <v>109</v>
      </c>
      <c r="E1418" s="16" t="str">
        <f>IFERROR(_xlfn.XLOOKUP(D1418, tblCourses[CourseID], tblCourses[CourseName], ""), "")</f>
        <v>Electrical Wiring Interconnection System Target Groups 1 &amp; 2 (Refresher)</v>
      </c>
      <c r="F1418" s="17">
        <v>46204</v>
      </c>
      <c r="G1418" s="17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18" s="15">
        <f ca="1">IF(OR(tblTraining[[#This Row],[Status]]="Renewed",tblTraining[[#This Row],[NextDueDate]]=""),"",tblTraining[[#This Row],[NextDueDate]]-TODAY())</f>
        <v>649</v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466</v>
      </c>
      <c r="C1419" s="15" t="str" cm="1">
        <f t="array" ref="C1419">IFERROR(_xlfn.XLOOKUP(B1419, tblPeople[PersonID], tblPeople[PersonName], ""), "")</f>
        <v>Dickson Mzungu</v>
      </c>
      <c r="D1419" s="15" t="s">
        <v>353</v>
      </c>
      <c r="E1419" s="16" t="str">
        <f>IFERROR(_xlfn.XLOOKUP(D1419, tblCourses[CourseID], tblCourses[CourseName], ""), "")</f>
        <v>Maintenance Procedures &amp; Standard Maintenance Practices (Initial)</v>
      </c>
      <c r="F1419" s="17">
        <v>46155</v>
      </c>
      <c r="G1419" s="17" t="str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9" s="15" t="str">
        <f ca="1">IF(OR(tblTraining[[#This Row],[Status]]="Renewed",tblTraining[[#This Row],[NextDueDate]]=""),"",tblTraining[[#This Row],[NextDueDate]]-TODAY())</f>
        <v/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466</v>
      </c>
      <c r="C1420" s="15" t="str" cm="1">
        <f t="array" ref="C1420">IFERROR(_xlfn.XLOOKUP(B1420, tblPeople[PersonID], tblPeople[PersonName], ""), "")</f>
        <v>Dickson Mzungu</v>
      </c>
      <c r="D1420" s="15" t="s">
        <v>198</v>
      </c>
      <c r="E1420" s="16" t="str">
        <f>IFERROR(_xlfn.XLOOKUP(D1420, tblCourses[CourseID], tblCourses[CourseName], ""), "")</f>
        <v>Maintenance Procedures &amp; Standard Maintenance Practices (Refresher)</v>
      </c>
      <c r="F1420" s="17">
        <v>46155</v>
      </c>
      <c r="G1420" s="17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20" s="15">
        <f ca="1">IF(OR(tblTraining[[#This Row],[Status]]="Renewed",tblTraining[[#This Row],[NextDueDate]]=""),"",tblTraining[[#This Row],[NextDueDate]]-TODAY())</f>
        <v>600</v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121</v>
      </c>
      <c r="C1421" s="15" t="str" cm="1">
        <f t="array" ref="C1421">IFERROR(_xlfn.XLOOKUP(B1421, tblPeople[PersonID], tblPeople[PersonName], ""), "")</f>
        <v>Chrispus King'ori</v>
      </c>
      <c r="D1421" s="15" t="s">
        <v>353</v>
      </c>
      <c r="E1421" s="16" t="str">
        <f>IFERROR(_xlfn.XLOOKUP(D1421, tblCourses[CourseID], tblCourses[CourseName], ""), "")</f>
        <v>Maintenance Procedures &amp; Standard Maintenance Practices (Initial)</v>
      </c>
      <c r="F1421" s="17">
        <v>45843</v>
      </c>
      <c r="G1421" s="17" t="str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1" s="15" t="str">
        <f ca="1">IF(OR(tblTraining[[#This Row],[Status]]="Renewed",tblTraining[[#This Row],[NextDueDate]]=""),"",tblTraining[[#This Row],[NextDueDate]]-TODAY())</f>
        <v/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121</v>
      </c>
      <c r="C1422" s="15" t="str" cm="1">
        <f t="array" ref="C1422">IFERROR(_xlfn.XLOOKUP(B1422, tblPeople[PersonID], tblPeople[PersonName], ""), "")</f>
        <v>Chrispus King'ori</v>
      </c>
      <c r="D1422" s="15" t="s">
        <v>198</v>
      </c>
      <c r="E1422" s="16" t="str">
        <f>IFERROR(_xlfn.XLOOKUP(D1422, tblCourses[CourseID], tblCourses[CourseName], ""), "")</f>
        <v>Maintenance Procedures &amp; Standard Maintenance Practices (Refresher)</v>
      </c>
      <c r="F1422" s="17">
        <v>45843</v>
      </c>
      <c r="G1422" s="17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22" s="15">
        <f ca="1">IF(OR(tblTraining[[#This Row],[Status]]="Renewed",tblTraining[[#This Row],[NextDueDate]]=""),"",tblTraining[[#This Row],[NextDueDate]]-TODAY())</f>
        <v>287</v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120</v>
      </c>
      <c r="C1423" s="15" t="str" cm="1">
        <f t="array" ref="C1423">IFERROR(_xlfn.XLOOKUP(B1423, tblPeople[PersonID], tblPeople[PersonName], ""), "")</f>
        <v>Churchill Bil</v>
      </c>
      <c r="D1423" s="15" t="s">
        <v>353</v>
      </c>
      <c r="E1423" s="16" t="str">
        <f>IFERROR(_xlfn.XLOOKUP(D1423, tblCourses[CourseID], tblCourses[CourseName], ""), "")</f>
        <v>Maintenance Procedures &amp; Standard Maintenance Practices (Initial)</v>
      </c>
      <c r="F1423" s="17">
        <v>45843</v>
      </c>
      <c r="G1423" s="17" t="str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3" s="15" t="str">
        <f ca="1">IF(OR(tblTraining[[#This Row],[Status]]="Renewed",tblTraining[[#This Row],[NextDueDate]]=""),"",tblTraining[[#This Row],[NextDueDate]]-TODAY())</f>
        <v/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120</v>
      </c>
      <c r="C1424" s="15" t="str" cm="1">
        <f t="array" ref="C1424">IFERROR(_xlfn.XLOOKUP(B1424, tblPeople[PersonID], tblPeople[PersonName], ""), "")</f>
        <v>Churchill Bil</v>
      </c>
      <c r="D1424" s="15" t="s">
        <v>198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45843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24" s="15">
        <f ca="1">IF(OR(tblTraining[[#This Row],[Status]]="Renewed",tblTraining[[#This Row],[NextDueDate]]=""),"",tblTraining[[#This Row],[NextDueDate]]-TODAY())</f>
        <v>287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467</v>
      </c>
      <c r="C1425" s="15" t="str" cm="1">
        <f t="array" ref="C1425">IFERROR(_xlfn.XLOOKUP(B1425, tblPeople[PersonID], tblPeople[PersonName], ""), "")</f>
        <v>Benard Kimiti</v>
      </c>
      <c r="D1425" s="15" t="s">
        <v>353</v>
      </c>
      <c r="E1425" s="16" t="str">
        <f>IFERROR(_xlfn.XLOOKUP(D1425, tblCourses[CourseID], tblCourses[CourseName], ""), "")</f>
        <v>Maintenance Procedures &amp; Standard Maintenance Practices (Initial)</v>
      </c>
      <c r="F1425" s="17">
        <v>46155</v>
      </c>
      <c r="G1425" s="17" t="str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5" s="15" t="str">
        <f ca="1">IF(OR(tblTraining[[#This Row],[Status]]="Renewed",tblTraining[[#This Row],[NextDueDate]]=""),"",tblTraining[[#This Row],[NextDueDate]]-TODAY())</f>
        <v/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467</v>
      </c>
      <c r="C1426" s="15" t="str" cm="1">
        <f t="array" ref="C1426">IFERROR(_xlfn.XLOOKUP(B1426, tblPeople[PersonID], tblPeople[PersonName], ""), "")</f>
        <v>Benard Kimiti</v>
      </c>
      <c r="D1426" s="15" t="s">
        <v>198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46155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26" s="15">
        <f ca="1">IF(OR(tblTraining[[#This Row],[Status]]="Renewed",tblTraining[[#This Row],[NextDueDate]]=""),"",tblTraining[[#This Row],[NextDueDate]]-TODAY())</f>
        <v>600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467</v>
      </c>
      <c r="C1427" s="15" t="str" cm="1">
        <f t="array" ref="C1427">IFERROR(_xlfn.XLOOKUP(B1427, tblPeople[PersonID], tblPeople[PersonName], ""), "")</f>
        <v>Benard Kimiti</v>
      </c>
      <c r="D1427" s="15" t="s">
        <v>24</v>
      </c>
      <c r="E1427" s="16" t="str">
        <f>IFERROR(_xlfn.XLOOKUP(D1427, tblCourses[CourseID], tblCourses[CourseName], ""), "")</f>
        <v>Human Factors in Aviation (Initial)</v>
      </c>
      <c r="F1427" s="17">
        <v>46213</v>
      </c>
      <c r="G1427" s="17" t="str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7" s="15" t="str">
        <f ca="1">IF(OR(tblTraining[[#This Row],[Status]]="Renewed",tblTraining[[#This Row],[NextDueDate]]=""),"",tblTraining[[#This Row],[NextDueDate]]-TODAY())</f>
        <v/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467</v>
      </c>
      <c r="C1428" s="15" t="str" cm="1">
        <f t="array" ref="C1428">IFERROR(_xlfn.XLOOKUP(B1428, tblPeople[PersonID], tblPeople[PersonName], ""), "")</f>
        <v>Benard Kimiti</v>
      </c>
      <c r="D1428" s="15" t="s">
        <v>22</v>
      </c>
      <c r="E1428" s="16" t="str">
        <f>IFERROR(_xlfn.XLOOKUP(D1428, tblCourses[CourseID], tblCourses[CourseName], ""), "")</f>
        <v>Human Factors in Aviation (Refresher)</v>
      </c>
      <c r="F1428" s="17">
        <v>46213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28" s="15">
        <f ca="1">IF(OR(tblTraining[[#This Row],[Status]]="Renewed",tblTraining[[#This Row],[NextDueDate]]=""),"",tblTraining[[#This Row],[NextDueDate]]-TODAY())</f>
        <v>658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390</v>
      </c>
      <c r="C1429" s="15" t="str" cm="1">
        <f t="array" ref="C1429">IFERROR(_xlfn.XLOOKUP(B1429, tblPeople[PersonID], tblPeople[PersonName], ""), "")</f>
        <v>Benson Gitahi</v>
      </c>
      <c r="D1429" s="15" t="s">
        <v>24</v>
      </c>
      <c r="E1429" s="16" t="str">
        <f>IFERROR(_xlfn.XLOOKUP(D1429, tblCourses[CourseID], tblCourses[CourseName], ""), "")</f>
        <v>Human Factors in Aviation (Initial)</v>
      </c>
      <c r="F1429" s="17">
        <v>45943</v>
      </c>
      <c r="G1429" s="17" t="str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9" s="15" t="str">
        <f ca="1">IF(OR(tblTraining[[#This Row],[Status]]="Renewed",tblTraining[[#This Row],[NextDueDate]]=""),"",tblTraining[[#This Row],[NextDueDate]]-TODAY())</f>
        <v/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390</v>
      </c>
      <c r="C1430" s="15" t="str" cm="1">
        <f t="array" ref="C1430">IFERROR(_xlfn.XLOOKUP(B1430, tblPeople[PersonID], tblPeople[PersonName], ""), "")</f>
        <v>Benson Gitahi</v>
      </c>
      <c r="D1430" s="15" t="s">
        <v>22</v>
      </c>
      <c r="E1430" s="16" t="str">
        <f>IFERROR(_xlfn.XLOOKUP(D1430, tblCourses[CourseID], tblCourses[CourseName], ""), "")</f>
        <v>Human Factors in Aviation (Refresher)</v>
      </c>
      <c r="F1430" s="17">
        <v>45943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30" s="15">
        <f ca="1">IF(OR(tblTraining[[#This Row],[Status]]="Renewed",tblTraining[[#This Row],[NextDueDate]]=""),"",tblTraining[[#This Row],[NextDueDate]]-TODAY())</f>
        <v>387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440</v>
      </c>
      <c r="C1431" s="15" t="str" cm="1">
        <f t="array" ref="C1431">IFERROR(_xlfn.XLOOKUP(B1431, tblPeople[PersonID], tblPeople[PersonName], ""), "")</f>
        <v>Francis Mutonga</v>
      </c>
      <c r="D1431" s="15" t="s">
        <v>76</v>
      </c>
      <c r="E1431" s="16" t="str">
        <f>IFERROR(_xlfn.XLOOKUP(D1431, tblCourses[CourseID], tblCourses[CourseName], ""), "")</f>
        <v>Fuel Tank Safety Phase 1 &amp; 2 Course (Initial)</v>
      </c>
      <c r="F1431" s="17">
        <v>46215</v>
      </c>
      <c r="G1431" s="17" t="str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1" s="15" t="str">
        <f ca="1">IF(OR(tblTraining[[#This Row],[Status]]="Renewed",tblTraining[[#This Row],[NextDueDate]]=""),"",tblTraining[[#This Row],[NextDueDate]]-TODAY())</f>
        <v/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440</v>
      </c>
      <c r="C1432" s="15" t="str" cm="1">
        <f t="array" ref="C1432">IFERROR(_xlfn.XLOOKUP(B1432, tblPeople[PersonID], tblPeople[PersonName], ""), "")</f>
        <v>Francis Mutonga</v>
      </c>
      <c r="D1432" s="15" t="s">
        <v>75</v>
      </c>
      <c r="E1432" s="16" t="str">
        <f>IFERROR(_xlfn.XLOOKUP(D1432, tblCourses[CourseID], tblCourses[CourseName], ""), "")</f>
        <v>Fuel Tank Safety Phase 1 &amp; 2 Course (Refresher)</v>
      </c>
      <c r="F1432" s="17">
        <v>46215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32" s="15">
        <f ca="1">IF(OR(tblTraining[[#This Row],[Status]]="Renewed",tblTraining[[#This Row],[NextDueDate]]=""),"",tblTraining[[#This Row],[NextDueDate]]-TODAY())</f>
        <v>660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468</v>
      </c>
      <c r="C1433" s="15" t="str" cm="1">
        <f t="array" ref="C1433">IFERROR(_xlfn.XLOOKUP(B1433, tblPeople[PersonID], tblPeople[PersonName], ""), "")</f>
        <v>Erick Peter</v>
      </c>
      <c r="D1433" s="15" t="s">
        <v>24</v>
      </c>
      <c r="E1433" s="16" t="str">
        <f>IFERROR(_xlfn.XLOOKUP(D1433, tblCourses[CourseID], tblCourses[CourseName], ""), "")</f>
        <v>Human Factors in Aviation (Initial)</v>
      </c>
      <c r="F1433" s="17">
        <v>45951</v>
      </c>
      <c r="G1433" s="17" t="str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3" s="15" t="str">
        <f ca="1">IF(OR(tblTraining[[#This Row],[Status]]="Renewed",tblTraining[[#This Row],[NextDueDate]]=""),"",tblTraining[[#This Row],[NextDueDate]]-TODAY())</f>
        <v/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468</v>
      </c>
      <c r="C1434" s="15" t="str" cm="1">
        <f t="array" ref="C1434">IFERROR(_xlfn.XLOOKUP(B1434, tblPeople[PersonID], tblPeople[PersonName], ""), "")</f>
        <v>Erick Peter</v>
      </c>
      <c r="D1434" s="15" t="s">
        <v>22</v>
      </c>
      <c r="E1434" s="16" t="str">
        <f>IFERROR(_xlfn.XLOOKUP(D1434, tblCourses[CourseID], tblCourses[CourseName], ""), "")</f>
        <v>Human Factors in Aviation (Refresher)</v>
      </c>
      <c r="F1434" s="17">
        <v>45951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34" s="15">
        <f ca="1">IF(OR(tblTraining[[#This Row],[Status]]="Renewed",tblTraining[[#This Row],[NextDueDate]]=""),"",tblTraining[[#This Row],[NextDueDate]]-TODAY())</f>
        <v>395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503</v>
      </c>
      <c r="C1435" s="15" t="str" cm="1">
        <f t="array" ref="C1435">IFERROR(_xlfn.XLOOKUP(B1435, tblPeople[PersonID], tblPeople[PersonName], ""), "")</f>
        <v>Bruce Mukabi</v>
      </c>
      <c r="D1435" s="15" t="s">
        <v>124</v>
      </c>
      <c r="E1435" s="16" t="str">
        <f>IFERROR(_xlfn.XLOOKUP(D1435, tblCourses[CourseID], tblCourses[CourseName], ""), "")</f>
        <v>Aviation Security (Initial)</v>
      </c>
      <c r="F1435" s="17">
        <v>46002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503</v>
      </c>
      <c r="C1436" s="15" t="str" cm="1">
        <f t="array" ref="C1436">IFERROR(_xlfn.XLOOKUP(B1436, tblPeople[PersonID], tblPeople[PersonName], ""), "")</f>
        <v>Bruce Mukabi</v>
      </c>
      <c r="D1436" s="15" t="s">
        <v>125</v>
      </c>
      <c r="E1436" s="16" t="str">
        <f>IFERROR(_xlfn.XLOOKUP(D1436, tblCourses[CourseID], tblCourses[CourseName], ""), "")</f>
        <v>Aviation Security (Refresher)</v>
      </c>
      <c r="F1436" s="17">
        <v>46002</v>
      </c>
      <c r="G1436" s="17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36" s="15">
        <f ca="1">IF(OR(tblTraining[[#This Row],[Status]]="Renewed",tblTraining[[#This Row],[NextDueDate]]=""),"",tblTraining[[#This Row],[NextDueDate]]-TODAY())</f>
        <v>446</v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503</v>
      </c>
      <c r="C1437" s="15" t="str" cm="1">
        <f t="array" ref="C1437">IFERROR(_xlfn.XLOOKUP(B1437, tblPeople[PersonID], tblPeople[PersonName], ""), "")</f>
        <v>Bruce Mukabi</v>
      </c>
      <c r="D1437" s="15" t="s">
        <v>32</v>
      </c>
      <c r="E1437" s="16" t="str">
        <f>IFERROR(_xlfn.XLOOKUP(D1437, tblCourses[CourseID], tblCourses[CourseName], ""), "")</f>
        <v>Dangerous Goods Regulations (CBTA 7.3) (Initial)</v>
      </c>
      <c r="F1437" s="17">
        <v>46038</v>
      </c>
      <c r="G1437" s="17" t="str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7" s="15" t="str">
        <f ca="1">IF(OR(tblTraining[[#This Row],[Status]]="Renewed",tblTraining[[#This Row],[NextDueDate]]=""),"",tblTraining[[#This Row],[NextDueDate]]-TODAY())</f>
        <v/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503</v>
      </c>
      <c r="C1438" s="15" t="str" cm="1">
        <f t="array" ref="C1438">IFERROR(_xlfn.XLOOKUP(B1438, tblPeople[PersonID], tblPeople[PersonName], ""), "")</f>
        <v>Bruce Mukabi</v>
      </c>
      <c r="D1438" s="15" t="s">
        <v>30</v>
      </c>
      <c r="E1438" s="16" t="str">
        <f>IFERROR(_xlfn.XLOOKUP(D1438, tblCourses[CourseID], tblCourses[CourseName], ""), "")</f>
        <v>Dangerous Goods Regulations (CBTA 7.3) (Refresher)</v>
      </c>
      <c r="F1438" s="17">
        <v>46038</v>
      </c>
      <c r="G1438" s="17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38" s="15">
        <f ca="1">IF(OR(tblTraining[[#This Row],[Status]]="Renewed",tblTraining[[#This Row],[NextDueDate]]=""),"",tblTraining[[#This Row],[NextDueDate]]-TODAY())</f>
        <v>482</v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503</v>
      </c>
      <c r="C1439" s="15" t="str" cm="1">
        <f t="array" ref="C1439">IFERROR(_xlfn.XLOOKUP(B1439, tblPeople[PersonID], tblPeople[PersonName], ""), "")</f>
        <v>Bruce Mukabi</v>
      </c>
      <c r="D1439" s="15" t="s">
        <v>168</v>
      </c>
      <c r="E1439" s="16" t="str">
        <f>IFERROR(_xlfn.XLOOKUP(D1439, tblCourses[CourseID], tblCourses[CourseName], ""), "")</f>
        <v>PR328: QMS ISO 9001:2015 (Lead Auditor Training)</v>
      </c>
      <c r="F1439" s="17">
        <v>45779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39" s="15">
        <f ca="1">IF(OR(tblTraining[[#This Row],[Status]]="Renewed",tblTraining[[#This Row],[NextDueDate]]=""),"",tblTraining[[#This Row],[NextDueDate]]-TODAY())</f>
        <v>1319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503</v>
      </c>
      <c r="C1440" s="15" t="str" cm="1">
        <f t="array" ref="C1440">IFERROR(_xlfn.XLOOKUP(B1440, tblPeople[PersonID], tblPeople[PersonName], ""), "")</f>
        <v>Bruce Mukabi</v>
      </c>
      <c r="D1440" s="15" t="s">
        <v>167</v>
      </c>
      <c r="E1440" s="16" t="str">
        <f>IFERROR(_xlfn.XLOOKUP(D1440, tblCourses[CourseID], tblCourses[CourseName], ""), "")</f>
        <v>Safety Management Systems (For Managers)</v>
      </c>
      <c r="F1440" s="17">
        <v>45632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503</v>
      </c>
      <c r="C1441" s="15" t="str" cm="1">
        <f t="array" ref="C1441">IFERROR(_xlfn.XLOOKUP(B1441, tblPeople[PersonID], tblPeople[PersonName], ""), "")</f>
        <v>Bruce Mukabi</v>
      </c>
      <c r="D1441" s="15" t="s">
        <v>33</v>
      </c>
      <c r="E1441" s="16" t="str">
        <f>IFERROR(_xlfn.XLOOKUP(D1441, tblCourses[CourseID], tblCourses[CourseName], ""), "")</f>
        <v>Audit Techniques</v>
      </c>
      <c r="F1441" s="17">
        <v>45924</v>
      </c>
      <c r="G1441" s="17" t="str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1" s="15" t="str">
        <f ca="1">IF(OR(tblTraining[[#This Row],[Status]]="Renewed",tblTraining[[#This Row],[NextDueDate]]=""),"",tblTraining[[#This Row],[NextDueDate]]-TODAY())</f>
        <v/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364</v>
      </c>
      <c r="C1442" s="15" t="str" cm="1">
        <f t="array" ref="C1442">IFERROR(_xlfn.XLOOKUP(B1442, tblPeople[PersonID], tblPeople[PersonName], ""), "")</f>
        <v>Alex Avedi</v>
      </c>
      <c r="D1442" s="15" t="s">
        <v>585</v>
      </c>
      <c r="E1442" s="16" t="str">
        <f>IFERROR(_xlfn.XLOOKUP(D1442, tblCourses[CourseID], tblCourses[CourseName], ""), "")</f>
        <v>Emergency Planning and Response for Airlines</v>
      </c>
      <c r="F1442" s="17">
        <v>45688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364</v>
      </c>
      <c r="C1443" s="15" t="str" cm="1">
        <f t="array" ref="C1443">IFERROR(_xlfn.XLOOKUP(B1443, tblPeople[PersonID], tblPeople[PersonName], ""), "")</f>
        <v>Alex Avedi</v>
      </c>
      <c r="D1443" s="15" t="s">
        <v>445</v>
      </c>
      <c r="E1443" s="16" t="str">
        <f>IFERROR(_xlfn.XLOOKUP(D1443, tblCourses[CourseID], tblCourses[CourseName], ""), "")</f>
        <v>Emergency Response Plan Awareness</v>
      </c>
      <c r="F1443" s="17">
        <v>46106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43" s="15">
        <f ca="1">IF(OR(tblTraining[[#This Row],[Status]]="Renewed",tblTraining[[#This Row],[NextDueDate]]=""),"",tblTraining[[#This Row],[NextDueDate]]-TODAY())</f>
        <v>551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162</v>
      </c>
      <c r="C1444" s="15" t="str" cm="1">
        <f t="array" ref="C1444">IFERROR(_xlfn.XLOOKUP(B1444, tblPeople[PersonID], tblPeople[PersonName], ""), "")</f>
        <v>Hannah Wambui</v>
      </c>
      <c r="D1444" s="15" t="s">
        <v>225</v>
      </c>
      <c r="E1444" s="16" t="str">
        <f>IFERROR(_xlfn.XLOOKUP(D1444, tblCourses[CourseID], tblCourses[CourseName], ""), "")</f>
        <v>First Aid Training (Initial)</v>
      </c>
      <c r="F1444" s="17">
        <v>45877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162</v>
      </c>
      <c r="C1445" s="15" t="str" cm="1">
        <f t="array" ref="C1445">IFERROR(_xlfn.XLOOKUP(B1445, tblPeople[PersonID], tblPeople[PersonName], ""), "")</f>
        <v>Hannah Wambui</v>
      </c>
      <c r="D1445" s="15" t="s">
        <v>226</v>
      </c>
      <c r="E1445" s="16" t="str">
        <f>IFERROR(_xlfn.XLOOKUP(D1445, tblCourses[CourseID], tblCourses[CourseName], ""), "")</f>
        <v>First Aid Training (Refresher)</v>
      </c>
      <c r="F1445" s="17">
        <v>45877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45" s="15">
        <f ca="1">IF(OR(tblTraining[[#This Row],[Status]]="Renewed",tblTraining[[#This Row],[NextDueDate]]=""),"",tblTraining[[#This Row],[NextDueDate]]-TODAY())</f>
        <v>687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435</v>
      </c>
      <c r="C1446" s="15" t="str" cm="1">
        <f t="array" ref="C1446">IFERROR(_xlfn.XLOOKUP(B1446, tblPeople[PersonID], tblPeople[PersonName], ""), "")</f>
        <v>Mary Chelagat</v>
      </c>
      <c r="D1446" s="15" t="s">
        <v>25</v>
      </c>
      <c r="E1446" s="16" t="str">
        <f>IFERROR(_xlfn.XLOOKUP(D1446, tblCourses[CourseID], tblCourses[CourseName], ""), "")</f>
        <v>Pratt &amp; Whitney Canada PT6A Engine With P&amp;WC PT6A
20/ 27/ 41/ 42/ 60A/ 67D/ 112/ 114A/ 140 (Refresher)</v>
      </c>
      <c r="F1446" s="17">
        <v>46189</v>
      </c>
      <c r="G1446" s="17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46" s="15">
        <f ca="1">IF(OR(tblTraining[[#This Row],[Status]]="Renewed",tblTraining[[#This Row],[NextDueDate]]=""),"",tblTraining[[#This Row],[NextDueDate]]-TODAY())</f>
        <v>634</v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466</v>
      </c>
      <c r="C1447" s="15" t="str" cm="1">
        <f t="array" ref="C1447">IFERROR(_xlfn.XLOOKUP(B1447, tblPeople[PersonID], tblPeople[PersonName], ""), "")</f>
        <v>Dickson Mzungu</v>
      </c>
      <c r="D1447" s="15" t="s">
        <v>76</v>
      </c>
      <c r="E1447" s="16" t="str">
        <f>IFERROR(_xlfn.XLOOKUP(D1447, tblCourses[CourseID], tblCourses[CourseName], ""), "")</f>
        <v>Fuel Tank Safety Phase 1 &amp; 2 Course (Initial)</v>
      </c>
      <c r="F1447" s="17">
        <v>46215</v>
      </c>
      <c r="G1447" s="17" t="str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7" s="15" t="str">
        <f ca="1">IF(OR(tblTraining[[#This Row],[Status]]="Renewed",tblTraining[[#This Row],[NextDueDate]]=""),"",tblTraining[[#This Row],[NextDueDate]]-TODAY())</f>
        <v/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466</v>
      </c>
      <c r="C1448" s="15" t="str" cm="1">
        <f t="array" ref="C1448">IFERROR(_xlfn.XLOOKUP(B1448, tblPeople[PersonID], tblPeople[PersonName], ""), "")</f>
        <v>Dickson Mzungu</v>
      </c>
      <c r="D1448" s="15" t="s">
        <v>75</v>
      </c>
      <c r="E1448" s="16" t="str">
        <f>IFERROR(_xlfn.XLOOKUP(D1448, tblCourses[CourseID], tblCourses[CourseName], ""), "")</f>
        <v>Fuel Tank Safety Phase 1 &amp; 2 Course (Refresher)</v>
      </c>
      <c r="F1448" s="17">
        <v>46215</v>
      </c>
      <c r="G1448" s="17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48" s="15">
        <f ca="1">IF(OR(tblTraining[[#This Row],[Status]]="Renewed",tblTraining[[#This Row],[NextDueDate]]=""),"",tblTraining[[#This Row],[NextDueDate]]-TODAY())</f>
        <v>660</v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467</v>
      </c>
      <c r="C1449" s="15" t="str" cm="1">
        <f t="array" ref="C1449">IFERROR(_xlfn.XLOOKUP(B1449, tblPeople[PersonID], tblPeople[PersonName], ""), "")</f>
        <v>Benard Kimiti</v>
      </c>
      <c r="D1449" s="15" t="s">
        <v>76</v>
      </c>
      <c r="E1449" s="16" t="str">
        <f>IFERROR(_xlfn.XLOOKUP(D1449, tblCourses[CourseID], tblCourses[CourseName], ""), "")</f>
        <v>Fuel Tank Safety Phase 1 &amp; 2 Course (Initial)</v>
      </c>
      <c r="F1449" s="17">
        <v>46228</v>
      </c>
      <c r="G1449" s="17" t="str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9" s="15" t="str">
        <f ca="1">IF(OR(tblTraining[[#This Row],[Status]]="Renewed",tblTraining[[#This Row],[NextDueDate]]=""),"",tblTraining[[#This Row],[NextDueDate]]-TODAY())</f>
        <v/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467</v>
      </c>
      <c r="C1450" s="15" t="str" cm="1">
        <f t="array" ref="C1450">IFERROR(_xlfn.XLOOKUP(B1450, tblPeople[PersonID], tblPeople[PersonName], ""), "")</f>
        <v>Benard Kimiti</v>
      </c>
      <c r="D1450" s="15" t="s">
        <v>75</v>
      </c>
      <c r="E1450" s="16" t="str">
        <f>IFERROR(_xlfn.XLOOKUP(D1450, tblCourses[CourseID], tblCourses[CourseName], ""), "")</f>
        <v>Fuel Tank Safety Phase 1 &amp; 2 Course (Refresher)</v>
      </c>
      <c r="F1450" s="17">
        <v>46228</v>
      </c>
      <c r="G1450" s="17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50" s="15">
        <f ca="1">IF(OR(tblTraining[[#This Row],[Status]]="Renewed",tblTraining[[#This Row],[NextDueDate]]=""),"",tblTraining[[#This Row],[NextDueDate]]-TODAY())</f>
        <v>673</v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438</v>
      </c>
      <c r="C1451" s="15" t="str" cm="1">
        <f t="array" ref="C1451">IFERROR(_xlfn.XLOOKUP(B1451, tblPeople[PersonID], tblPeople[PersonName], ""), "")</f>
        <v>Brian Muga</v>
      </c>
      <c r="D1451" s="15" t="s">
        <v>76</v>
      </c>
      <c r="E1451" s="16" t="str">
        <f>IFERROR(_xlfn.XLOOKUP(D1451, tblCourses[CourseID], tblCourses[CourseName], ""), "")</f>
        <v>Fuel Tank Safety Phase 1 &amp; 2 Course (Initial)</v>
      </c>
      <c r="F1451" s="17">
        <v>46226</v>
      </c>
      <c r="G1451" s="17" t="str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1" s="15" t="str">
        <f ca="1">IF(OR(tblTraining[[#This Row],[Status]]="Renewed",tblTraining[[#This Row],[NextDueDate]]=""),"",tblTraining[[#This Row],[NextDueDate]]-TODAY())</f>
        <v/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438</v>
      </c>
      <c r="C1452" s="15" t="str" cm="1">
        <f t="array" ref="C1452">IFERROR(_xlfn.XLOOKUP(B1452, tblPeople[PersonID], tblPeople[PersonName], ""), "")</f>
        <v>Brian Muga</v>
      </c>
      <c r="D1452" s="15" t="s">
        <v>75</v>
      </c>
      <c r="E1452" s="16" t="str">
        <f>IFERROR(_xlfn.XLOOKUP(D1452, tblCourses[CourseID], tblCourses[CourseName], ""), "")</f>
        <v>Fuel Tank Safety Phase 1 &amp; 2 Course (Refresher)</v>
      </c>
      <c r="F1452" s="17">
        <v>46226</v>
      </c>
      <c r="G1452" s="17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52" s="15">
        <f ca="1">IF(OR(tblTraining[[#This Row],[Status]]="Renewed",tblTraining[[#This Row],[NextDueDate]]=""),"",tblTraining[[#This Row],[NextDueDate]]-TODAY())</f>
        <v>671</v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435</v>
      </c>
      <c r="C1453" s="15" t="str" cm="1">
        <f t="array" ref="C1453">IFERROR(_xlfn.XLOOKUP(B1453, tblPeople[PersonID], tblPeople[PersonName], ""), "")</f>
        <v>Mary Chelagat</v>
      </c>
      <c r="D1453" s="15" t="s">
        <v>75</v>
      </c>
      <c r="E1453" s="16" t="str">
        <f>IFERROR(_xlfn.XLOOKUP(D1453, tblCourses[CourseID], tblCourses[CourseName], ""), "")</f>
        <v>Fuel Tank Safety Phase 1 &amp; 2 Course (Refresher)</v>
      </c>
      <c r="F1453" s="17">
        <v>46221</v>
      </c>
      <c r="G1453" s="17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53" s="15">
        <f ca="1">IF(OR(tblTraining[[#This Row],[Status]]="Renewed",tblTraining[[#This Row],[NextDueDate]]=""),"",tblTraining[[#This Row],[NextDueDate]]-TODAY())</f>
        <v>666</v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435</v>
      </c>
      <c r="C1454" s="15" t="str" cm="1">
        <f t="array" ref="C1454">IFERROR(_xlfn.XLOOKUP(B1454, tblPeople[PersonID], tblPeople[PersonName], ""), "")</f>
        <v>Mary Chelagat</v>
      </c>
      <c r="D1454" s="15" t="s">
        <v>76</v>
      </c>
      <c r="E1454" s="16" t="str">
        <f>IFERROR(_xlfn.XLOOKUP(D1454, tblCourses[CourseID], tblCourses[CourseName], ""), "")</f>
        <v>Fuel Tank Safety Phase 1 &amp; 2 Course (Initial)</v>
      </c>
      <c r="F1454" s="17">
        <v>46221</v>
      </c>
      <c r="G1454" s="17" t="str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4" s="15" t="str">
        <f ca="1">IF(OR(tblTraining[[#This Row],[Status]]="Renewed",tblTraining[[#This Row],[NextDueDate]]=""),"",tblTraining[[#This Row],[NextDueDate]]-TODAY())</f>
        <v/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364</v>
      </c>
      <c r="C1455" s="15" t="str" cm="1">
        <f t="array" ref="C1455">IFERROR(_xlfn.XLOOKUP(B1455, tblPeople[PersonID], tblPeople[PersonName], ""), "")</f>
        <v>Alex Avedi</v>
      </c>
      <c r="D1455" s="15" t="s">
        <v>198</v>
      </c>
      <c r="E1455" s="16" t="str">
        <f>IFERROR(_xlfn.XLOOKUP(D1455, tblCourses[CourseID], tblCourses[CourseName], ""), "")</f>
        <v>Maintenance Procedures &amp; Standard Maintenance Practices (Refresher)</v>
      </c>
      <c r="F1455" s="17">
        <v>46234</v>
      </c>
      <c r="G1455" s="17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55" s="15">
        <f ca="1">IF(OR(tblTraining[[#This Row],[Status]]="Renewed",tblTraining[[#This Row],[NextDueDate]]=""),"",tblTraining[[#This Row],[NextDueDate]]-TODAY())</f>
        <v>679</v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117</v>
      </c>
      <c r="C1456" s="15" t="str" cm="1">
        <f t="array" ref="C1456">IFERROR(_xlfn.XLOOKUP(B1456, tblPeople[PersonID], tblPeople[PersonName], ""), "")</f>
        <v>Mercy Etende</v>
      </c>
      <c r="D1456" s="15" t="s">
        <v>124</v>
      </c>
      <c r="E1456" s="16" t="str">
        <f>IFERROR(_xlfn.XLOOKUP(D1456, tblCourses[CourseID], tblCourses[CourseName], ""), "")</f>
        <v>Aviation Security (Initial)</v>
      </c>
      <c r="F1456" s="17">
        <v>46238</v>
      </c>
      <c r="G1456" s="17" t="str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6" s="15" t="str">
        <f ca="1">IF(OR(tblTraining[[#This Row],[Status]]="Renewed",tblTraining[[#This Row],[NextDueDate]]=""),"",tblTraining[[#This Row],[NextDueDate]]-TODAY())</f>
        <v/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117</v>
      </c>
      <c r="C1457" s="15" t="str" cm="1">
        <f t="array" ref="C1457">IFERROR(_xlfn.XLOOKUP(B1457, tblPeople[PersonID], tblPeople[PersonName], ""), "")</f>
        <v>Mercy Etende</v>
      </c>
      <c r="D1457" s="15" t="s">
        <v>125</v>
      </c>
      <c r="E1457" s="16" t="str">
        <f>IFERROR(_xlfn.XLOOKUP(D1457, tblCourses[CourseID], tblCourses[CourseName], ""), "")</f>
        <v>Aviation Security (Refresher)</v>
      </c>
      <c r="F1457" s="17">
        <v>46238</v>
      </c>
      <c r="G1457" s="17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7" s="15">
        <f ca="1">IF(OR(tblTraining[[#This Row],[Status]]="Renewed",tblTraining[[#This Row],[NextDueDate]]=""),"",tblTraining[[#This Row],[NextDueDate]]-TODAY())</f>
        <v>683</v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89</v>
      </c>
      <c r="C1458" s="15" t="str" cm="1">
        <f t="array" ref="C1458">IFERROR(_xlfn.XLOOKUP(B1458, tblPeople[PersonID], tblPeople[PersonName], ""), "")</f>
        <v>Elina Guda</v>
      </c>
      <c r="D1458" s="15" t="s">
        <v>124</v>
      </c>
      <c r="E1458" s="16" t="str">
        <f>IFERROR(_xlfn.XLOOKUP(D1458, tblCourses[CourseID], tblCourses[CourseName], ""), "")</f>
        <v>Aviation Security (Initial)</v>
      </c>
      <c r="F1458" s="17">
        <v>46238</v>
      </c>
      <c r="G1458" s="17" t="str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8" s="15" t="str">
        <f ca="1">IF(OR(tblTraining[[#This Row],[Status]]="Renewed",tblTraining[[#This Row],[NextDueDate]]=""),"",tblTraining[[#This Row],[NextDueDate]]-TODAY())</f>
        <v/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89</v>
      </c>
      <c r="C1459" s="15" t="str" cm="1">
        <f t="array" ref="C1459">IFERROR(_xlfn.XLOOKUP(B1459, tblPeople[PersonID], tblPeople[PersonName], ""), "")</f>
        <v>Elina Guda</v>
      </c>
      <c r="D1459" s="15" t="s">
        <v>125</v>
      </c>
      <c r="E1459" s="16" t="str">
        <f>IFERROR(_xlfn.XLOOKUP(D1459, tblCourses[CourseID], tblCourses[CourseName], ""), "")</f>
        <v>Aviation Security (Refresher)</v>
      </c>
      <c r="F1459" s="17">
        <v>46238</v>
      </c>
      <c r="G1459" s="17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59" s="15">
        <f ca="1">IF(OR(tblTraining[[#This Row],[Status]]="Renewed",tblTraining[[#This Row],[NextDueDate]]=""),"",tblTraining[[#This Row],[NextDueDate]]-TODAY())</f>
        <v>683</v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103</v>
      </c>
      <c r="C1460" s="15" t="str" cm="1">
        <f t="array" ref="C1460">IFERROR(_xlfn.XLOOKUP(B1460, tblPeople[PersonID], tblPeople[PersonName], ""), "")</f>
        <v>Smith Harun</v>
      </c>
      <c r="D1460" s="15" t="s">
        <v>124</v>
      </c>
      <c r="E1460" s="16" t="str">
        <f>IFERROR(_xlfn.XLOOKUP(D1460, tblCourses[CourseID], tblCourses[CourseName], ""), "")</f>
        <v>Aviation Security (Initial)</v>
      </c>
      <c r="F1460" s="17">
        <v>46238</v>
      </c>
      <c r="G1460" s="17" t="str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0" s="15" t="str">
        <f ca="1">IF(OR(tblTraining[[#This Row],[Status]]="Renewed",tblTraining[[#This Row],[NextDueDate]]=""),"",tblTraining[[#This Row],[NextDueDate]]-TODAY())</f>
        <v/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103</v>
      </c>
      <c r="C1461" s="15" t="str" cm="1">
        <f t="array" ref="C1461">IFERROR(_xlfn.XLOOKUP(B1461, tblPeople[PersonID], tblPeople[PersonName], ""), "")</f>
        <v>Smith Harun</v>
      </c>
      <c r="D1461" s="15" t="s">
        <v>125</v>
      </c>
      <c r="E1461" s="16" t="str">
        <f>IFERROR(_xlfn.XLOOKUP(D1461, tblCourses[CourseID], tblCourses[CourseName], ""), "")</f>
        <v>Aviation Security (Refresher)</v>
      </c>
      <c r="F1461" s="17">
        <v>46238</v>
      </c>
      <c r="G1461" s="17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1" s="15">
        <f ca="1">IF(OR(tblTraining[[#This Row],[Status]]="Renewed",tblTraining[[#This Row],[NextDueDate]]=""),"",tblTraining[[#This Row],[NextDueDate]]-TODAY())</f>
        <v>683</v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149</v>
      </c>
      <c r="C1462" s="15" t="str" cm="1">
        <f t="array" ref="C1462">IFERROR(_xlfn.XLOOKUP(B1462, tblPeople[PersonID], tblPeople[PersonName], ""), "")</f>
        <v>Kea Kazungu</v>
      </c>
      <c r="D1462" s="15" t="s">
        <v>124</v>
      </c>
      <c r="E1462" s="16" t="str">
        <f>IFERROR(_xlfn.XLOOKUP(D1462, tblCourses[CourseID], tblCourses[CourseName], ""), "")</f>
        <v>Aviation Security (Initial)</v>
      </c>
      <c r="F1462" s="17">
        <v>46238</v>
      </c>
      <c r="G1462" s="17" t="str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2" s="15" t="str">
        <f ca="1">IF(OR(tblTraining[[#This Row],[Status]]="Renewed",tblTraining[[#This Row],[NextDueDate]]=""),"",tblTraining[[#This Row],[NextDueDate]]-TODAY())</f>
        <v/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149</v>
      </c>
      <c r="C1463" s="15" t="str" cm="1">
        <f t="array" ref="C1463">IFERROR(_xlfn.XLOOKUP(B1463, tblPeople[PersonID], tblPeople[PersonName], ""), "")</f>
        <v>Kea Kazungu</v>
      </c>
      <c r="D1463" s="15" t="s">
        <v>125</v>
      </c>
      <c r="E1463" s="16" t="str">
        <f>IFERROR(_xlfn.XLOOKUP(D1463, tblCourses[CourseID], tblCourses[CourseName], ""), "")</f>
        <v>Aviation Security (Refresher)</v>
      </c>
      <c r="F1463" s="17">
        <v>46238</v>
      </c>
      <c r="G1463" s="17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3" s="15">
        <f ca="1">IF(OR(tblTraining[[#This Row],[Status]]="Renewed",tblTraining[[#This Row],[NextDueDate]]=""),"",tblTraining[[#This Row],[NextDueDate]]-TODAY())</f>
        <v>683</v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>
        <f t="shared" si="22"/>
        <v>1463</v>
      </c>
      <c r="B1464" s="15" t="s">
        <v>95</v>
      </c>
      <c r="C1464" s="15" t="str" cm="1">
        <f t="array" ref="C1464">IFERROR(_xlfn.XLOOKUP(B1464, tblPeople[PersonID], tblPeople[PersonName], ""), "")</f>
        <v>Walter Kibet</v>
      </c>
      <c r="D1464" s="15" t="s">
        <v>124</v>
      </c>
      <c r="E1464" s="16" t="str">
        <f>IFERROR(_xlfn.XLOOKUP(D1464, tblCourses[CourseID], tblCourses[CourseName], ""), "")</f>
        <v>Aviation Security (Initial)</v>
      </c>
      <c r="F1464" s="17">
        <v>46238</v>
      </c>
      <c r="G1464" s="17" t="str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4" s="15" t="str">
        <f ca="1">IF(OR(tblTraining[[#This Row],[Status]]="Renewed",tblTraining[[#This Row],[NextDueDate]]=""),"",tblTraining[[#This Row],[NextDueDate]]-TODAY())</f>
        <v/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95</v>
      </c>
      <c r="C1465" s="15" t="str" cm="1">
        <f t="array" ref="C1465">IFERROR(_xlfn.XLOOKUP(B1465, tblPeople[PersonID], tblPeople[PersonName], ""), "")</f>
        <v>Walter Kibet</v>
      </c>
      <c r="D1465" s="15" t="s">
        <v>125</v>
      </c>
      <c r="E1465" s="16" t="str">
        <f>IFERROR(_xlfn.XLOOKUP(D1465, tblCourses[CourseID], tblCourses[CourseName], ""), "")</f>
        <v>Aviation Security (Refresher)</v>
      </c>
      <c r="F1465" s="17">
        <v>46238</v>
      </c>
      <c r="G1465" s="17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5" s="15">
        <f ca="1">IF(OR(tblTraining[[#This Row],[Status]]="Renewed",tblTraining[[#This Row],[NextDueDate]]=""),"",tblTraining[[#This Row],[NextDueDate]]-TODAY())</f>
        <v>683</v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105</v>
      </c>
      <c r="C1466" s="15" t="str" cm="1">
        <f t="array" ref="C1466">IFERROR(_xlfn.XLOOKUP(B1466, tblPeople[PersonID], tblPeople[PersonName], ""), "")</f>
        <v>Fred Magotsi</v>
      </c>
      <c r="D1466" s="15" t="s">
        <v>124</v>
      </c>
      <c r="E1466" s="16" t="str">
        <f>IFERROR(_xlfn.XLOOKUP(D1466, tblCourses[CourseID], tblCourses[CourseName], ""), "")</f>
        <v>Aviation Security (Initial)</v>
      </c>
      <c r="F1466" s="17">
        <v>46238</v>
      </c>
      <c r="G1466" s="17" t="str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6" s="15" t="str">
        <f ca="1">IF(OR(tblTraining[[#This Row],[Status]]="Renewed",tblTraining[[#This Row],[NextDueDate]]=""),"",tblTraining[[#This Row],[NextDueDate]]-TODAY())</f>
        <v/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105</v>
      </c>
      <c r="C1467" s="15" t="str" cm="1">
        <f t="array" ref="C1467">IFERROR(_xlfn.XLOOKUP(B1467, tblPeople[PersonID], tblPeople[PersonName], ""), "")</f>
        <v>Fred Magotsi</v>
      </c>
      <c r="D1467" s="15" t="s">
        <v>125</v>
      </c>
      <c r="E1467" s="16" t="str">
        <f>IFERROR(_xlfn.XLOOKUP(D1467, tblCourses[CourseID], tblCourses[CourseName], ""), "")</f>
        <v>Aviation Security (Refresher)</v>
      </c>
      <c r="F1467" s="17">
        <v>46238</v>
      </c>
      <c r="G1467" s="17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7" s="15">
        <f ca="1">IF(OR(tblTraining[[#This Row],[Status]]="Renewed",tblTraining[[#This Row],[NextDueDate]]=""),"",tblTraining[[#This Row],[NextDueDate]]-TODAY())</f>
        <v>683</v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84</v>
      </c>
      <c r="C1468" s="15" t="str" cm="1">
        <f t="array" ref="C1468">IFERROR(_xlfn.XLOOKUP(B1468, tblPeople[PersonID], tblPeople[PersonName], ""), "")</f>
        <v>Patrick Musau</v>
      </c>
      <c r="D1468" s="15" t="s">
        <v>124</v>
      </c>
      <c r="E1468" s="16" t="str">
        <f>IFERROR(_xlfn.XLOOKUP(D1468, tblCourses[CourseID], tblCourses[CourseName], ""), "")</f>
        <v>Aviation Security (Initial)</v>
      </c>
      <c r="F1468" s="17">
        <v>46238</v>
      </c>
      <c r="G1468" s="17" t="str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8" s="15" t="str">
        <f ca="1">IF(OR(tblTraining[[#This Row],[Status]]="Renewed",tblTraining[[#This Row],[NextDueDate]]=""),"",tblTraining[[#This Row],[NextDueDate]]-TODAY())</f>
        <v/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84</v>
      </c>
      <c r="C1469" s="15" t="str" cm="1">
        <f t="array" ref="C1469">IFERROR(_xlfn.XLOOKUP(B1469, tblPeople[PersonID], tblPeople[PersonName], ""), "")</f>
        <v>Patrick Musau</v>
      </c>
      <c r="D1469" s="15" t="s">
        <v>125</v>
      </c>
      <c r="E1469" s="16" t="str">
        <f>IFERROR(_xlfn.XLOOKUP(D1469, tblCourses[CourseID], tblCourses[CourseName], ""), "")</f>
        <v>Aviation Security (Refresher)</v>
      </c>
      <c r="F1469" s="17">
        <v>46238</v>
      </c>
      <c r="G1469" s="17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69" s="15">
        <f ca="1">IF(OR(tblTraining[[#This Row],[Status]]="Renewed",tblTraining[[#This Row],[NextDueDate]]=""),"",tblTraining[[#This Row],[NextDueDate]]-TODAY())</f>
        <v>683</v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156</v>
      </c>
      <c r="C1470" s="15" t="str" cm="1">
        <f t="array" ref="C1470">IFERROR(_xlfn.XLOOKUP(B1470, tblPeople[PersonID], tblPeople[PersonName], ""), "")</f>
        <v>Stephen Mutambu</v>
      </c>
      <c r="D1470" s="15" t="s">
        <v>124</v>
      </c>
      <c r="E1470" s="16" t="str">
        <f>IFERROR(_xlfn.XLOOKUP(D1470, tblCourses[CourseID], tblCourses[CourseName], ""), "")</f>
        <v>Aviation Security (Initial)</v>
      </c>
      <c r="F1470" s="17">
        <v>46238</v>
      </c>
      <c r="G1470" s="17" t="str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0" s="15" t="str">
        <f ca="1">IF(OR(tblTraining[[#This Row],[Status]]="Renewed",tblTraining[[#This Row],[NextDueDate]]=""),"",tblTraining[[#This Row],[NextDueDate]]-TODAY())</f>
        <v/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>
        <f t="shared" si="22"/>
        <v>1470</v>
      </c>
      <c r="B1471" s="15" t="s">
        <v>82</v>
      </c>
      <c r="C1471" s="15" t="str" cm="1">
        <f t="array" ref="C1471">IFERROR(_xlfn.XLOOKUP(B1471, tblPeople[PersonID], tblPeople[PersonName], ""), "")</f>
        <v>Philip Mwania</v>
      </c>
      <c r="D1471" s="15" t="s">
        <v>124</v>
      </c>
      <c r="E1471" s="16" t="str">
        <f>IFERROR(_xlfn.XLOOKUP(D1471, tblCourses[CourseID], tblCourses[CourseName], ""), "")</f>
        <v>Aviation Security (Initial)</v>
      </c>
      <c r="F1471" s="17">
        <v>46238</v>
      </c>
      <c r="G1471" s="17" t="str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1" s="15" t="str">
        <f ca="1">IF(OR(tblTraining[[#This Row],[Status]]="Renewed",tblTraining[[#This Row],[NextDueDate]]=""),"",tblTraining[[#This Row],[NextDueDate]]-TODAY())</f>
        <v/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82</v>
      </c>
      <c r="C1472" s="15" t="str" cm="1">
        <f t="array" ref="C1472">IFERROR(_xlfn.XLOOKUP(B1472, tblPeople[PersonID], tblPeople[PersonName], ""), "")</f>
        <v>Philip Mwania</v>
      </c>
      <c r="D1472" s="15" t="s">
        <v>125</v>
      </c>
      <c r="E1472" s="16" t="str">
        <f>IFERROR(_xlfn.XLOOKUP(D1472, tblCourses[CourseID], tblCourses[CourseName], ""), "")</f>
        <v>Aviation Security (Refresher)</v>
      </c>
      <c r="F1472" s="17">
        <v>46238</v>
      </c>
      <c r="G1472" s="17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2" s="15">
        <f ca="1">IF(OR(tblTraining[[#This Row],[Status]]="Renewed",tblTraining[[#This Row],[NextDueDate]]=""),"",tblTraining[[#This Row],[NextDueDate]]-TODAY())</f>
        <v>683</v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97</v>
      </c>
      <c r="C1473" s="15" t="str" cm="1">
        <f t="array" ref="C1473">IFERROR(_xlfn.XLOOKUP(B1473, tblPeople[PersonID], tblPeople[PersonName], ""), "")</f>
        <v>Thomas Wambunya</v>
      </c>
      <c r="D1473" s="15" t="s">
        <v>124</v>
      </c>
      <c r="E1473" s="16" t="str">
        <f>IFERROR(_xlfn.XLOOKUP(D1473, tblCourses[CourseID], tblCourses[CourseName], ""), "")</f>
        <v>Aviation Security (Initial)</v>
      </c>
      <c r="F1473" s="17">
        <v>46238</v>
      </c>
      <c r="G1473" s="17" t="str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3" s="15" t="str">
        <f ca="1">IF(OR(tblTraining[[#This Row],[Status]]="Renewed",tblTraining[[#This Row],[NextDueDate]]=""),"",tblTraining[[#This Row],[NextDueDate]]-TODAY())</f>
        <v/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556</v>
      </c>
      <c r="C1474" s="15" t="str" cm="1">
        <f t="array" ref="C1474">IFERROR(_xlfn.XLOOKUP(B1474, tblPeople[PersonID], tblPeople[PersonName], ""), "")</f>
        <v>Brian Kinama</v>
      </c>
      <c r="D1474" s="15" t="s">
        <v>124</v>
      </c>
      <c r="E1474" s="16" t="str">
        <f>IFERROR(_xlfn.XLOOKUP(D1474, tblCourses[CourseID], tblCourses[CourseName], ""), "")</f>
        <v>Aviation Security (Initial)</v>
      </c>
      <c r="F1474" s="17">
        <v>46238</v>
      </c>
      <c r="G1474" s="17" t="str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4" s="15" t="str">
        <f ca="1">IF(OR(tblTraining[[#This Row],[Status]]="Renewed",tblTraining[[#This Row],[NextDueDate]]=""),"",tblTraining[[#This Row],[NextDueDate]]-TODAY())</f>
        <v/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556</v>
      </c>
      <c r="C1475" s="15" t="str" cm="1">
        <f t="array" ref="C1475">IFERROR(_xlfn.XLOOKUP(B1475, tblPeople[PersonID], tblPeople[PersonName], ""), "")</f>
        <v>Brian Kinama</v>
      </c>
      <c r="D1475" s="15" t="s">
        <v>125</v>
      </c>
      <c r="E1475" s="16" t="str">
        <f>IFERROR(_xlfn.XLOOKUP(D1475, tblCourses[CourseID], tblCourses[CourseName], ""), "")</f>
        <v>Aviation Security (Refresher)</v>
      </c>
      <c r="F1475" s="17">
        <v>46238</v>
      </c>
      <c r="G1475" s="17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5" s="15">
        <f ca="1">IF(OR(tblTraining[[#This Row],[Status]]="Renewed",tblTraining[[#This Row],[NextDueDate]]=""),"",tblTraining[[#This Row],[NextDueDate]]-TODAY())</f>
        <v>683</v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524" si="23">A1475+1</f>
        <v>1475</v>
      </c>
      <c r="B1476" s="15" t="s">
        <v>436</v>
      </c>
      <c r="C1476" s="15" t="str" cm="1">
        <f t="array" ref="C1476">IFERROR(_xlfn.XLOOKUP(B1476, tblPeople[PersonID], tblPeople[PersonName], ""), "")</f>
        <v>Alfred Okudo</v>
      </c>
      <c r="D1476" s="15" t="s">
        <v>76</v>
      </c>
      <c r="E1476" s="16" t="str">
        <f>IFERROR(_xlfn.XLOOKUP(D1476, tblCourses[CourseID], tblCourses[CourseName], ""), "")</f>
        <v>Fuel Tank Safety Phase 1 &amp; 2 Course (Initial)</v>
      </c>
      <c r="F1476" s="17">
        <v>46249</v>
      </c>
      <c r="G1476" s="17" t="str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6" s="15" t="str">
        <f ca="1">IF(OR(tblTraining[[#This Row],[Status]]="Renewed",tblTraining[[#This Row],[NextDueDate]]=""),"",tblTraining[[#This Row],[NextDueDate]]-TODAY())</f>
        <v/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436</v>
      </c>
      <c r="C1477" s="15" t="str" cm="1">
        <f t="array" ref="C1477">IFERROR(_xlfn.XLOOKUP(B1477, tblPeople[PersonID], tblPeople[PersonName], ""), "")</f>
        <v>Alfred Okudo</v>
      </c>
      <c r="D1477" s="15" t="s">
        <v>75</v>
      </c>
      <c r="E1477" s="16" t="str">
        <f>IFERROR(_xlfn.XLOOKUP(D1477, tblCourses[CourseID], tblCourses[CourseName], ""), "")</f>
        <v>Fuel Tank Safety Phase 1 &amp; 2 Course (Refresher)</v>
      </c>
      <c r="F1477" s="17">
        <v>46249</v>
      </c>
      <c r="G1477" s="17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77" s="15">
        <f ca="1">IF(OR(tblTraining[[#This Row],[Status]]="Renewed",tblTraining[[#This Row],[NextDueDate]]=""),"",tblTraining[[#This Row],[NextDueDate]]-TODAY())</f>
        <v>694</v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556</v>
      </c>
      <c r="C1478" s="15" t="str" cm="1">
        <f t="array" ref="C1478">IFERROR(_xlfn.XLOOKUP(B1478, tblPeople[PersonID], tblPeople[PersonName], ""), "")</f>
        <v>Brian Kinama</v>
      </c>
      <c r="D1478" s="15" t="s">
        <v>76</v>
      </c>
      <c r="E1478" s="16" t="str">
        <f>IFERROR(_xlfn.XLOOKUP(D1478, tblCourses[CourseID], tblCourses[CourseName], ""), "")</f>
        <v>Fuel Tank Safety Phase 1 &amp; 2 Course (Initial)</v>
      </c>
      <c r="F1478" s="17">
        <v>46252</v>
      </c>
      <c r="G1478" s="17" t="str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8" s="15" t="str">
        <f ca="1">IF(OR(tblTraining[[#This Row],[Status]]="Renewed",tblTraining[[#This Row],[NextDueDate]]=""),"",tblTraining[[#This Row],[NextDueDate]]-TODAY())</f>
        <v/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556</v>
      </c>
      <c r="C1479" s="15" t="str" cm="1">
        <f t="array" ref="C1479">IFERROR(_xlfn.XLOOKUP(B1479, tblPeople[PersonID], tblPeople[PersonName], ""), "")</f>
        <v>Brian Kinama</v>
      </c>
      <c r="D1479" s="15" t="s">
        <v>75</v>
      </c>
      <c r="E1479" s="16" t="str">
        <f>IFERROR(_xlfn.XLOOKUP(D1479, tblCourses[CourseID], tblCourses[CourseName], ""), "")</f>
        <v>Fuel Tank Safety Phase 1 &amp; 2 Course (Refresher)</v>
      </c>
      <c r="F1479" s="17">
        <v>46252</v>
      </c>
      <c r="G1479" s="17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479" s="15">
        <f ca="1">IF(OR(tblTraining[[#This Row],[Status]]="Renewed",tblTraining[[#This Row],[NextDueDate]]=""),"",tblTraining[[#This Row],[NextDueDate]]-TODAY())</f>
        <v>697</v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556</v>
      </c>
      <c r="C1480" s="15" t="str" cm="1">
        <f t="array" ref="C1480">IFERROR(_xlfn.XLOOKUP(B1480, tblPeople[PersonID], tblPeople[PersonName], ""), "")</f>
        <v>Brian Kinama</v>
      </c>
      <c r="D1480" s="15" t="s">
        <v>24</v>
      </c>
      <c r="E1480" s="16" t="str">
        <f>IFERROR(_xlfn.XLOOKUP(D1480, tblCourses[CourseID], tblCourses[CourseName], ""), "")</f>
        <v>Human Factors in Aviation (Initial)</v>
      </c>
      <c r="F1480" s="17">
        <v>46249</v>
      </c>
      <c r="G1480" s="17" t="str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0" s="15" t="str">
        <f ca="1">IF(OR(tblTraining[[#This Row],[Status]]="Renewed",tblTraining[[#This Row],[NextDueDate]]=""),"",tblTraining[[#This Row],[NextDueDate]]-TODAY())</f>
        <v/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A1481" s="15">
        <f t="shared" si="23"/>
        <v>1480</v>
      </c>
      <c r="B1481" s="15" t="s">
        <v>556</v>
      </c>
      <c r="C1481" s="15" t="str" cm="1">
        <f t="array" ref="C1481">IFERROR(_xlfn.XLOOKUP(B1481, tblPeople[PersonID], tblPeople[PersonName], ""), "")</f>
        <v>Brian Kinama</v>
      </c>
      <c r="D1481" s="15" t="s">
        <v>22</v>
      </c>
      <c r="E1481" s="16" t="str">
        <f>IFERROR(_xlfn.XLOOKUP(D1481, tblCourses[CourseID], tblCourses[CourseName], ""), "")</f>
        <v>Human Factors in Aviation (Refresher)</v>
      </c>
      <c r="F1481" s="17">
        <v>46249</v>
      </c>
      <c r="G1481" s="17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481" s="15">
        <f ca="1">IF(OR(tblTraining[[#This Row],[Status]]="Renewed",tblTraining[[#This Row],[NextDueDate]]=""),"",tblTraining[[#This Row],[NextDueDate]]-TODAY())</f>
        <v>694</v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>
        <f t="shared" si="23"/>
        <v>1481</v>
      </c>
      <c r="B1482" s="15" t="s">
        <v>503</v>
      </c>
      <c r="C1482" s="15" t="str" cm="1">
        <f t="array" ref="C1482">IFERROR(_xlfn.XLOOKUP(B1482, tblPeople[PersonID], tblPeople[PersonName], ""), "")</f>
        <v>Bruce Mukabi</v>
      </c>
      <c r="D1482" s="15" t="s">
        <v>17</v>
      </c>
      <c r="E1482" s="16" t="str">
        <f>IFERROR(_xlfn.XLOOKUP(D1482, tblCourses[CourseID], tblCourses[CourseName], ""), "")</f>
        <v>Safety Management Systems (Refresher)</v>
      </c>
      <c r="F1482" s="17">
        <v>46290</v>
      </c>
      <c r="G1482" s="17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482" s="15">
        <f ca="1">IF(OR(tblTraining[[#This Row],[Status]]="Renewed",tblTraining[[#This Row],[NextDueDate]]=""),"",tblTraining[[#This Row],[NextDueDate]]-TODAY())</f>
        <v>735</v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>
        <f t="shared" si="23"/>
        <v>1482</v>
      </c>
      <c r="B1483" s="15" t="s">
        <v>503</v>
      </c>
      <c r="C1483" s="15" t="str" cm="1">
        <f t="array" ref="C1483">IFERROR(_xlfn.XLOOKUP(B1483, tblPeople[PersonID], tblPeople[PersonName], ""), "")</f>
        <v>Bruce Mukabi</v>
      </c>
      <c r="D1483" s="15" t="s">
        <v>169</v>
      </c>
      <c r="E1483" s="16" t="str">
        <f>IFERROR(_xlfn.XLOOKUP(D1483, tblCourses[CourseID], tblCourses[CourseName], ""), "")</f>
        <v>Quality Management Systems</v>
      </c>
      <c r="F1483" s="17">
        <v>45779</v>
      </c>
      <c r="G1483" s="17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483" s="15">
        <f ca="1">IF(OR(tblTraining[[#This Row],[Status]]="Renewed",tblTraining[[#This Row],[NextDueDate]]=""),"",tblTraining[[#This Row],[NextDueDate]]-TODAY())</f>
        <v>589</v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4" spans="1:9" x14ac:dyDescent="0.25">
      <c r="A1484" s="15">
        <f t="shared" si="23"/>
        <v>1483</v>
      </c>
      <c r="B1484" s="15" t="s">
        <v>503</v>
      </c>
      <c r="C1484" s="15" t="str" cm="1">
        <f t="array" ref="C1484">IFERROR(_xlfn.XLOOKUP(B1484, tblPeople[PersonID], tblPeople[PersonName], ""), "")</f>
        <v>Bruce Mukabi</v>
      </c>
      <c r="D1484" s="15" t="s">
        <v>231</v>
      </c>
      <c r="E1484" s="16" t="str">
        <f>IFERROR(_xlfn.XLOOKUP(D1484, tblCourses[CourseID], tblCourses[CourseName], ""), "")</f>
        <v>Crew Resource Management (Refresher)</v>
      </c>
      <c r="F1484" s="17">
        <v>45915</v>
      </c>
      <c r="G1484" s="17" t="str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4" s="15" t="str">
        <f ca="1">IF(OR(tblTraining[[#This Row],[Status]]="Renewed",tblTraining[[#This Row],[NextDueDate]]=""),"",tblTraining[[#This Row],[NextDueDate]]-TODAY())</f>
        <v/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5" spans="1:9" x14ac:dyDescent="0.25">
      <c r="A1485" s="15">
        <f t="shared" si="23"/>
        <v>1484</v>
      </c>
      <c r="B1485" s="15" t="s">
        <v>503</v>
      </c>
      <c r="C1485" s="15" t="str" cm="1">
        <f t="array" ref="C1485">IFERROR(_xlfn.XLOOKUP(B1485, tblPeople[PersonID], tblPeople[PersonName], ""), "")</f>
        <v>Bruce Mukabi</v>
      </c>
      <c r="D1485" s="15" t="s">
        <v>231</v>
      </c>
      <c r="E1485" s="16" t="str">
        <f>IFERROR(_xlfn.XLOOKUP(D1485, tblCourses[CourseID], tblCourses[CourseName], ""), "")</f>
        <v>Crew Resource Management (Refresher)</v>
      </c>
      <c r="F1485" s="17">
        <v>46280</v>
      </c>
      <c r="G1485" s="17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485" s="15">
        <f ca="1">IF(OR(tblTraining[[#This Row],[Status]]="Renewed",tblTraining[[#This Row],[NextDueDate]]=""),"",tblTraining[[#This Row],[NextDueDate]]-TODAY())</f>
        <v>725</v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>
        <f t="shared" si="23"/>
        <v>1485</v>
      </c>
      <c r="B1486" s="15" t="s">
        <v>364</v>
      </c>
      <c r="C1486" s="15" t="str" cm="1">
        <f t="array" ref="C1486">IFERROR(_xlfn.XLOOKUP(B1486, tblPeople[PersonID], tblPeople[PersonName], ""), "")</f>
        <v>Alex Avedi</v>
      </c>
      <c r="D1486" s="15" t="s">
        <v>232</v>
      </c>
      <c r="E1486" s="16" t="str">
        <f>IFERROR(_xlfn.XLOOKUP(D1486, tblCourses[CourseID], tblCourses[CourseName], ""), "")</f>
        <v>Crew Resource Management (Initial)</v>
      </c>
      <c r="F1486" s="17">
        <v>44088</v>
      </c>
      <c r="G1486" s="17" t="str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6" s="15" t="str">
        <f ca="1">IF(OR(tblTraining[[#This Row],[Status]]="Renewed",tblTraining[[#This Row],[NextDueDate]]=""),"",tblTraining[[#This Row],[NextDueDate]]-TODAY())</f>
        <v/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>
        <f t="shared" si="23"/>
        <v>1486</v>
      </c>
      <c r="B1487" s="15" t="s">
        <v>364</v>
      </c>
      <c r="C1487" s="15" t="str" cm="1">
        <f t="array" ref="C1487">IFERROR(_xlfn.XLOOKUP(B1487, tblPeople[PersonID], tblPeople[PersonName], ""), "")</f>
        <v>Alex Avedi</v>
      </c>
      <c r="D1487" s="15" t="s">
        <v>231</v>
      </c>
      <c r="E1487" s="16" t="str">
        <f>IFERROR(_xlfn.XLOOKUP(D1487, tblCourses[CourseID], tblCourses[CourseName], ""), "")</f>
        <v>Crew Resource Management (Refresher)</v>
      </c>
      <c r="F1487" s="17">
        <v>44088</v>
      </c>
      <c r="G1487" s="17" t="str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7" s="15" t="str">
        <f ca="1">IF(OR(tblTraining[[#This Row],[Status]]="Renewed",tblTraining[[#This Row],[NextDueDate]]=""),"",tblTraining[[#This Row],[NextDueDate]]-TODAY())</f>
        <v/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8" spans="1:9" x14ac:dyDescent="0.25">
      <c r="A1488" s="15">
        <f t="shared" si="23"/>
        <v>1487</v>
      </c>
      <c r="B1488" s="15" t="s">
        <v>364</v>
      </c>
      <c r="C1488" s="15" t="str" cm="1">
        <f t="array" ref="C1488">IFERROR(_xlfn.XLOOKUP(B1488, tblPeople[PersonID], tblPeople[PersonName], ""), "")</f>
        <v>Alex Avedi</v>
      </c>
      <c r="D1488" s="15" t="s">
        <v>231</v>
      </c>
      <c r="E1488" s="16" t="str">
        <f>IFERROR(_xlfn.XLOOKUP(D1488, tblCourses[CourseID], tblCourses[CourseName], ""), "")</f>
        <v>Crew Resource Management (Refresher)</v>
      </c>
      <c r="F1488" s="17">
        <v>45976</v>
      </c>
      <c r="G1488" s="17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488" s="15">
        <f ca="1">IF(OR(tblTraining[[#This Row],[Status]]="Renewed",tblTraining[[#This Row],[NextDueDate]]=""),"",tblTraining[[#This Row],[NextDueDate]]-TODAY())</f>
        <v>420</v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>
        <f t="shared" si="23"/>
        <v>1488</v>
      </c>
      <c r="B1489" s="15" t="s">
        <v>364</v>
      </c>
      <c r="C1489" s="15" t="str" cm="1">
        <f t="array" ref="C1489">IFERROR(_xlfn.XLOOKUP(B1489, tblPeople[PersonID], tblPeople[PersonName], ""), "")</f>
        <v>Alex Avedi</v>
      </c>
      <c r="D1489" s="15" t="s">
        <v>20</v>
      </c>
      <c r="E1489" s="16" t="str">
        <f>IFERROR(_xlfn.XLOOKUP(D1489, tblCourses[CourseID], tblCourses[CourseName], ""), "")</f>
        <v>Safety Management Systems (Initial)</v>
      </c>
      <c r="F1489" s="17">
        <v>43510</v>
      </c>
      <c r="G1489" s="17" t="str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9" s="15" t="str">
        <f ca="1">IF(OR(tblTraining[[#This Row],[Status]]="Renewed",tblTraining[[#This Row],[NextDueDate]]=""),"",tblTraining[[#This Row],[NextDueDate]]-TODAY())</f>
        <v/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>
        <f t="shared" si="23"/>
        <v>1489</v>
      </c>
      <c r="B1490" s="15" t="s">
        <v>364</v>
      </c>
      <c r="C1490" s="15" t="str" cm="1">
        <f t="array" ref="C1490">IFERROR(_xlfn.XLOOKUP(B1490, tblPeople[PersonID], tblPeople[PersonName], ""), "")</f>
        <v>Alex Avedi</v>
      </c>
      <c r="D1490" s="15" t="s">
        <v>17</v>
      </c>
      <c r="E1490" s="16" t="str">
        <f>IFERROR(_xlfn.XLOOKUP(D1490, tblCourses[CourseID], tblCourses[CourseName], ""), "")</f>
        <v>Safety Management Systems (Refresher)</v>
      </c>
      <c r="F1490" s="17">
        <v>43510</v>
      </c>
      <c r="G1490" s="17" t="str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0" s="15" t="str">
        <f ca="1">IF(OR(tblTraining[[#This Row],[Status]]="Renewed",tblTraining[[#This Row],[NextDueDate]]=""),"",tblTraining[[#This Row],[NextDueDate]]-TODAY())</f>
        <v/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1" spans="1:9" x14ac:dyDescent="0.25">
      <c r="A1491" s="15">
        <f t="shared" si="23"/>
        <v>1490</v>
      </c>
      <c r="B1491" s="15" t="s">
        <v>364</v>
      </c>
      <c r="C1491" s="15" t="str" cm="1">
        <f t="array" ref="C1491">IFERROR(_xlfn.XLOOKUP(B1491, tblPeople[PersonID], tblPeople[PersonName], ""), "")</f>
        <v>Alex Avedi</v>
      </c>
      <c r="D1491" s="15" t="s">
        <v>17</v>
      </c>
      <c r="E1491" s="16" t="str">
        <f>IFERROR(_xlfn.XLOOKUP(D1491, tblCourses[CourseID], tblCourses[CourseName], ""), "")</f>
        <v>Safety Management Systems (Refresher)</v>
      </c>
      <c r="F1491" s="17">
        <v>45910</v>
      </c>
      <c r="G1491" s="17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491" s="15">
        <f ca="1">IF(OR(tblTraining[[#This Row],[Status]]="Renewed",tblTraining[[#This Row],[NextDueDate]]=""),"",tblTraining[[#This Row],[NextDueDate]]-TODAY())</f>
        <v>354</v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>
        <f t="shared" si="23"/>
        <v>1491</v>
      </c>
      <c r="B1492" s="15" t="s">
        <v>85</v>
      </c>
      <c r="C1492" s="15" t="str" cm="1">
        <f t="array" ref="C1492">IFERROR(_xlfn.XLOOKUP(B1492, tblPeople[PersonID], tblPeople[PersonName], ""), "")</f>
        <v>Titus Shunza</v>
      </c>
      <c r="D1492" s="15" t="s">
        <v>17</v>
      </c>
      <c r="E1492" s="16" t="str">
        <f>IFERROR(_xlfn.XLOOKUP(D1492, tblCourses[CourseID], tblCourses[CourseName], ""), "")</f>
        <v>Safety Management Systems (Refresher)</v>
      </c>
      <c r="F1492" s="17">
        <v>46242</v>
      </c>
      <c r="G1492" s="17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92" s="15">
        <f ca="1">IF(OR(tblTraining[[#This Row],[Status]]="Renewed",tblTraining[[#This Row],[NextDueDate]]=""),"",tblTraining[[#This Row],[NextDueDate]]-TODAY())</f>
        <v>687</v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>
        <f t="shared" si="23"/>
        <v>1492</v>
      </c>
      <c r="B1493" s="15" t="s">
        <v>402</v>
      </c>
      <c r="C1493" s="15" t="str" cm="1">
        <f t="array" ref="C1493">IFERROR(_xlfn.XLOOKUP(B1493, tblPeople[PersonID], tblPeople[PersonName], ""), "")</f>
        <v>Venessa Ikileng'</v>
      </c>
      <c r="D1493" s="15" t="s">
        <v>225</v>
      </c>
      <c r="E1493" s="16" t="str">
        <f>IFERROR(_xlfn.XLOOKUP(D1493, tblCourses[CourseID], tblCourses[CourseName], ""), "")</f>
        <v>First Aid Training (Initial)</v>
      </c>
      <c r="F1493" s="17">
        <v>46255</v>
      </c>
      <c r="G1493" s="17" t="str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3" s="15" t="str">
        <f ca="1">IF(OR(tblTraining[[#This Row],[Status]]="Renewed",tblTraining[[#This Row],[NextDueDate]]=""),"",tblTraining[[#This Row],[NextDueDate]]-TODAY())</f>
        <v/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>
        <f t="shared" si="23"/>
        <v>1493</v>
      </c>
      <c r="B1494" s="15" t="s">
        <v>402</v>
      </c>
      <c r="C1494" s="15" t="str" cm="1">
        <f t="array" ref="C1494">IFERROR(_xlfn.XLOOKUP(B1494, tblPeople[PersonID], tblPeople[PersonName], ""), "")</f>
        <v>Venessa Ikileng'</v>
      </c>
      <c r="D1494" s="15" t="s">
        <v>226</v>
      </c>
      <c r="E1494" s="16" t="str">
        <f>IFERROR(_xlfn.XLOOKUP(D1494, tblCourses[CourseID], tblCourses[CourseName], ""), "")</f>
        <v>First Aid Training (Refresher)</v>
      </c>
      <c r="F1494" s="17">
        <v>46255</v>
      </c>
      <c r="G1494" s="17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4" s="15">
        <f ca="1">IF(OR(tblTraining[[#This Row],[Status]]="Renewed",tblTraining[[#This Row],[NextDueDate]]=""),"",tblTraining[[#This Row],[NextDueDate]]-TODAY())</f>
        <v>1065</v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>
        <f t="shared" si="23"/>
        <v>1494</v>
      </c>
      <c r="B1495" s="15" t="s">
        <v>403</v>
      </c>
      <c r="C1495" s="15" t="str" cm="1">
        <f t="array" ref="C1495">IFERROR(_xlfn.XLOOKUP(B1495, tblPeople[PersonID], tblPeople[PersonName], ""), "")</f>
        <v>Prudence Muhami</v>
      </c>
      <c r="D1495" s="15" t="s">
        <v>225</v>
      </c>
      <c r="E1495" s="16" t="str">
        <f>IFERROR(_xlfn.XLOOKUP(D1495, tblCourses[CourseID], tblCourses[CourseName], ""), "")</f>
        <v>First Aid Training (Initial)</v>
      </c>
      <c r="F1495" s="17">
        <v>46255</v>
      </c>
      <c r="G1495" s="17" t="str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5" s="15" t="str">
        <f ca="1">IF(OR(tblTraining[[#This Row],[Status]]="Renewed",tblTraining[[#This Row],[NextDueDate]]=""),"",tblTraining[[#This Row],[NextDueDate]]-TODAY())</f>
        <v/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>
        <f t="shared" si="23"/>
        <v>1495</v>
      </c>
      <c r="B1496" s="15" t="s">
        <v>403</v>
      </c>
      <c r="C1496" s="15" t="str" cm="1">
        <f t="array" ref="C1496">IFERROR(_xlfn.XLOOKUP(B1496, tblPeople[PersonID], tblPeople[PersonName], ""), "")</f>
        <v>Prudence Muhami</v>
      </c>
      <c r="D1496" s="15" t="s">
        <v>226</v>
      </c>
      <c r="E1496" s="16" t="str">
        <f>IFERROR(_xlfn.XLOOKUP(D1496, tblCourses[CourseID], tblCourses[CourseName], ""), "")</f>
        <v>First Aid Training (Refresher)</v>
      </c>
      <c r="F1496" s="17">
        <v>46255</v>
      </c>
      <c r="G1496" s="17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6" s="15">
        <f ca="1">IF(OR(tblTraining[[#This Row],[Status]]="Renewed",tblTraining[[#This Row],[NextDueDate]]=""),"",tblTraining[[#This Row],[NextDueDate]]-TODAY())</f>
        <v>1065</v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>
        <f t="shared" si="23"/>
        <v>1496</v>
      </c>
      <c r="B1497" s="15" t="s">
        <v>406</v>
      </c>
      <c r="C1497" s="15" t="str" cm="1">
        <f t="array" ref="C1497">IFERROR(_xlfn.XLOOKUP(B1497, tblPeople[PersonID], tblPeople[PersonName], ""), "")</f>
        <v>James Muisyo</v>
      </c>
      <c r="D1497" s="15" t="s">
        <v>225</v>
      </c>
      <c r="E1497" s="16" t="str">
        <f>IFERROR(_xlfn.XLOOKUP(D1497, tblCourses[CourseID], tblCourses[CourseName], ""), "")</f>
        <v>First Aid Training (Initial)</v>
      </c>
      <c r="F1497" s="17">
        <v>46255</v>
      </c>
      <c r="G1497" s="17" t="str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7" s="15" t="str">
        <f ca="1">IF(OR(tblTraining[[#This Row],[Status]]="Renewed",tblTraining[[#This Row],[NextDueDate]]=""),"",tblTraining[[#This Row],[NextDueDate]]-TODAY())</f>
        <v/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>
        <f t="shared" si="23"/>
        <v>1497</v>
      </c>
      <c r="B1498" s="15" t="s">
        <v>406</v>
      </c>
      <c r="C1498" s="15" t="str" cm="1">
        <f t="array" ref="C1498">IFERROR(_xlfn.XLOOKUP(B1498, tblPeople[PersonID], tblPeople[PersonName], ""), "")</f>
        <v>James Muisyo</v>
      </c>
      <c r="D1498" s="15" t="s">
        <v>226</v>
      </c>
      <c r="E1498" s="16" t="str">
        <f>IFERROR(_xlfn.XLOOKUP(D1498, tblCourses[CourseID], tblCourses[CourseName], ""), "")</f>
        <v>First Aid Training (Refresher)</v>
      </c>
      <c r="F1498" s="17">
        <v>46255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498" s="15">
        <f ca="1">IF(OR(tblTraining[[#This Row],[Status]]="Renewed",tblTraining[[#This Row],[NextDueDate]]=""),"",tblTraining[[#This Row],[NextDueDate]]-TODAY())</f>
        <v>1065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9" spans="1:9" x14ac:dyDescent="0.25">
      <c r="A1499" s="15">
        <f t="shared" si="23"/>
        <v>1498</v>
      </c>
      <c r="B1499" s="15" t="s">
        <v>437</v>
      </c>
      <c r="C1499" s="15" t="str" cm="1">
        <f t="array" ref="C1499">IFERROR(_xlfn.XLOOKUP(B1499, tblPeople[PersonID], tblPeople[PersonName], ""), "")</f>
        <v>Martin Chege</v>
      </c>
      <c r="D1499" s="15" t="s">
        <v>225</v>
      </c>
      <c r="E1499" s="16" t="str">
        <f>IFERROR(_xlfn.XLOOKUP(D1499, tblCourses[CourseID], tblCourses[CourseName], ""), "")</f>
        <v>First Aid Training (Initial)</v>
      </c>
      <c r="F1499" s="17">
        <v>46255</v>
      </c>
      <c r="G1499" s="17" t="str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9" s="15" t="str">
        <f ca="1">IF(OR(tblTraining[[#This Row],[Status]]="Renewed",tblTraining[[#This Row],[NextDueDate]]=""),"",tblTraining[[#This Row],[NextDueDate]]-TODAY())</f>
        <v/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>
        <f t="shared" si="23"/>
        <v>1499</v>
      </c>
      <c r="B1500" s="15" t="s">
        <v>437</v>
      </c>
      <c r="C1500" s="15" t="str" cm="1">
        <f t="array" ref="C1500">IFERROR(_xlfn.XLOOKUP(B1500, tblPeople[PersonID], tblPeople[PersonName], ""), "")</f>
        <v>Martin Chege</v>
      </c>
      <c r="D1500" s="15" t="s">
        <v>226</v>
      </c>
      <c r="E1500" s="16" t="str">
        <f>IFERROR(_xlfn.XLOOKUP(D1500, tblCourses[CourseID], tblCourses[CourseName], ""), "")</f>
        <v>First Aid Training (Refresher)</v>
      </c>
      <c r="F1500" s="17">
        <v>46255</v>
      </c>
      <c r="G1500" s="17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0" s="15">
        <f ca="1">IF(OR(tblTraining[[#This Row],[Status]]="Renewed",tblTraining[[#This Row],[NextDueDate]]=""),"",tblTraining[[#This Row],[NextDueDate]]-TODAY())</f>
        <v>1065</v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>
        <f t="shared" si="23"/>
        <v>1500</v>
      </c>
      <c r="B1501" s="15" t="s">
        <v>443</v>
      </c>
      <c r="C1501" s="15" t="str" cm="1">
        <f t="array" ref="C1501">IFERROR(_xlfn.XLOOKUP(B1501, tblPeople[PersonID], tblPeople[PersonName], ""), "")</f>
        <v>Evans Maingi</v>
      </c>
      <c r="D1501" s="15" t="s">
        <v>225</v>
      </c>
      <c r="E1501" s="16" t="str">
        <f>IFERROR(_xlfn.XLOOKUP(D1501, tblCourses[CourseID], tblCourses[CourseName], ""), "")</f>
        <v>First Aid Training (Initial)</v>
      </c>
      <c r="F1501" s="17">
        <v>46255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>
        <f t="shared" si="23"/>
        <v>1501</v>
      </c>
      <c r="B1502" s="15" t="s">
        <v>443</v>
      </c>
      <c r="C1502" s="15" t="str" cm="1">
        <f t="array" ref="C1502">IFERROR(_xlfn.XLOOKUP(B1502, tblPeople[PersonID], tblPeople[PersonName], ""), "")</f>
        <v>Evans Maingi</v>
      </c>
      <c r="D1502" s="15" t="s">
        <v>226</v>
      </c>
      <c r="E1502" s="16" t="str">
        <f>IFERROR(_xlfn.XLOOKUP(D1502, tblCourses[CourseID], tblCourses[CourseName], ""), "")</f>
        <v>First Aid Training (Refresher)</v>
      </c>
      <c r="F1502" s="17">
        <v>46255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2" s="15">
        <f ca="1">IF(OR(tblTraining[[#This Row],[Status]]="Renewed",tblTraining[[#This Row],[NextDueDate]]=""),"",tblTraining[[#This Row],[NextDueDate]]-TODAY())</f>
        <v>1065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>
        <f t="shared" si="23"/>
        <v>1502</v>
      </c>
      <c r="B1503" s="15" t="s">
        <v>465</v>
      </c>
      <c r="C1503" s="15" t="str" cm="1">
        <f t="array" ref="C1503">IFERROR(_xlfn.XLOOKUP(B1503, tblPeople[PersonID], tblPeople[PersonName], ""), "")</f>
        <v>Erick Mwanje</v>
      </c>
      <c r="D1503" s="15" t="s">
        <v>225</v>
      </c>
      <c r="E1503" s="16" t="str">
        <f>IFERROR(_xlfn.XLOOKUP(D1503, tblCourses[CourseID], tblCourses[CourseName], ""), "")</f>
        <v>First Aid Training (Initial)</v>
      </c>
      <c r="F1503" s="17">
        <v>46255</v>
      </c>
      <c r="G1503" s="17" t="str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3" s="15" t="str">
        <f ca="1">IF(OR(tblTraining[[#This Row],[Status]]="Renewed",tblTraining[[#This Row],[NextDueDate]]=""),"",tblTraining[[#This Row],[NextDueDate]]-TODAY())</f>
        <v/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>
        <f t="shared" si="23"/>
        <v>1503</v>
      </c>
      <c r="B1504" s="15" t="s">
        <v>465</v>
      </c>
      <c r="C1504" s="15" t="str" cm="1">
        <f t="array" ref="C1504">IFERROR(_xlfn.XLOOKUP(B1504, tblPeople[PersonID], tblPeople[PersonName], ""), "")</f>
        <v>Erick Mwanje</v>
      </c>
      <c r="D1504" s="15" t="s">
        <v>226</v>
      </c>
      <c r="E1504" s="16" t="str">
        <f>IFERROR(_xlfn.XLOOKUP(D1504, tblCourses[CourseID], tblCourses[CourseName], ""), "")</f>
        <v>First Aid Training (Refresher)</v>
      </c>
      <c r="F1504" s="17">
        <v>46255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04" s="15">
        <f ca="1">IF(OR(tblTraining[[#This Row],[Status]]="Renewed",tblTraining[[#This Row],[NextDueDate]]=""),"",tblTraining[[#This Row],[NextDueDate]]-TODAY())</f>
        <v>1065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>
        <f t="shared" si="23"/>
        <v>1504</v>
      </c>
      <c r="B1505" s="15" t="s">
        <v>435</v>
      </c>
      <c r="C1505" s="15" t="str" cm="1">
        <f t="array" ref="C1505">IFERROR(_xlfn.XLOOKUP(B1505, tblPeople[PersonID], tblPeople[PersonName], ""), "")</f>
        <v>Mary Chelagat</v>
      </c>
      <c r="D1505" s="15" t="s">
        <v>77</v>
      </c>
      <c r="E1505" s="16" t="str">
        <f>IFERROR(_xlfn.XLOOKUP(D1505, tblCourses[CourseID], tblCourses[CourseName], ""), "")</f>
        <v>DHC8 -100/-200/-300 Collins Wheels &amp; Brakes Familiarization Training (Refresher)</v>
      </c>
      <c r="F1505" s="17">
        <v>45637</v>
      </c>
      <c r="G1505" s="17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505" s="15">
        <f ca="1">IF(OR(tblTraining[[#This Row],[Status]]="Renewed",tblTraining[[#This Row],[NextDueDate]]=""),"",tblTraining[[#This Row],[NextDueDate]]-TODAY())</f>
        <v>81</v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>
        <f t="shared" si="23"/>
        <v>1505</v>
      </c>
      <c r="B1506" s="15" t="s">
        <v>354</v>
      </c>
      <c r="C1506" s="15" t="str" cm="1">
        <f t="array" ref="C1506">IFERROR(_xlfn.XLOOKUP(B1506, tblPeople[PersonID], tblPeople[PersonName], ""), "")</f>
        <v>Jackline Muembu</v>
      </c>
      <c r="D1506" s="15" t="s">
        <v>17</v>
      </c>
      <c r="E1506" s="16" t="str">
        <f>IFERROR(_xlfn.XLOOKUP(D1506, tblCourses[CourseID], tblCourses[CourseName], ""), "")</f>
        <v>Safety Management Systems (Refresher)</v>
      </c>
      <c r="F1506" s="17">
        <v>45923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506" s="15">
        <f ca="1">IF(OR(tblTraining[[#This Row],[Status]]="Renewed",tblTraining[[#This Row],[NextDueDate]]=""),"",tblTraining[[#This Row],[NextDueDate]]-TODAY())</f>
        <v>367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>
        <f t="shared" si="23"/>
        <v>1506</v>
      </c>
      <c r="B1507" s="15" t="s">
        <v>354</v>
      </c>
      <c r="C1507" s="15" t="str" cm="1">
        <f t="array" ref="C1507">IFERROR(_xlfn.XLOOKUP(B1507, tblPeople[PersonID], tblPeople[PersonName], ""), "")</f>
        <v>Jackline Muembu</v>
      </c>
      <c r="D1507" s="15" t="s">
        <v>20</v>
      </c>
      <c r="E1507" s="16" t="str">
        <f>IFERROR(_xlfn.XLOOKUP(D1507, tblCourses[CourseID], tblCourses[CourseName], ""), "")</f>
        <v>Safety Management Systems (Initial)</v>
      </c>
      <c r="F1507" s="17">
        <v>45923</v>
      </c>
      <c r="G1507" s="17" t="str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7" s="15" t="str">
        <f ca="1">IF(OR(tblTraining[[#This Row],[Status]]="Renewed",tblTraining[[#This Row],[NextDueDate]]=""),"",tblTraining[[#This Row],[NextDueDate]]-TODAY())</f>
        <v/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8" spans="1:9" x14ac:dyDescent="0.25">
      <c r="A1508" s="15">
        <f t="shared" si="23"/>
        <v>1507</v>
      </c>
      <c r="B1508" s="15" t="s">
        <v>354</v>
      </c>
      <c r="C1508" s="15" t="str" cm="1">
        <f t="array" ref="C1508">IFERROR(_xlfn.XLOOKUP(B1508, tblPeople[PersonID], tblPeople[PersonName], ""), "")</f>
        <v>Jackline Muembu</v>
      </c>
      <c r="D1508" s="15" t="s">
        <v>24</v>
      </c>
      <c r="E1508" s="16" t="str">
        <f>IFERROR(_xlfn.XLOOKUP(D1508, tblCourses[CourseID], tblCourses[CourseName], ""), "")</f>
        <v>Human Factors in Aviation (Initial)</v>
      </c>
      <c r="F1508" s="17">
        <v>46189</v>
      </c>
      <c r="G1508" s="17" t="str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8" s="15" t="str">
        <f ca="1">IF(OR(tblTraining[[#This Row],[Status]]="Renewed",tblTraining[[#This Row],[NextDueDate]]=""),"",tblTraining[[#This Row],[NextDueDate]]-TODAY())</f>
        <v/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>
        <f t="shared" si="23"/>
        <v>1508</v>
      </c>
      <c r="B1509" s="15" t="s">
        <v>117</v>
      </c>
      <c r="C1509" s="15" t="str" cm="1">
        <f t="array" ref="C1509">IFERROR(_xlfn.XLOOKUP(B1509, tblPeople[PersonID], tblPeople[PersonName], ""), "")</f>
        <v>Mercy Etende</v>
      </c>
      <c r="D1509" s="15" t="s">
        <v>30</v>
      </c>
      <c r="E1509" s="16" t="str">
        <f>IFERROR(_xlfn.XLOOKUP(D1509, tblCourses[CourseID], tblCourses[CourseName], ""), "")</f>
        <v>Dangerous Goods Regulations (CBTA 7.3) (Refresher)</v>
      </c>
      <c r="F1509" s="17">
        <v>46248</v>
      </c>
      <c r="G1509" s="17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09" s="15">
        <f ca="1">IF(OR(tblTraining[[#This Row],[Status]]="Renewed",tblTraining[[#This Row],[NextDueDate]]=""),"",tblTraining[[#This Row],[NextDueDate]]-TODAY())</f>
        <v>693</v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>
        <f t="shared" si="23"/>
        <v>1509</v>
      </c>
      <c r="B1510" s="15" t="s">
        <v>83</v>
      </c>
      <c r="C1510" s="15" t="str" cm="1">
        <f t="array" ref="C1510">IFERROR(_xlfn.XLOOKUP(B1510, tblPeople[PersonID], tblPeople[PersonName], ""), "")</f>
        <v>Wycliffe Kanana</v>
      </c>
      <c r="D1510" s="15" t="s">
        <v>226</v>
      </c>
      <c r="E1510" s="16" t="str">
        <f>IFERROR(_xlfn.XLOOKUP(D1510, tblCourses[CourseID], tblCourses[CourseName], ""), "")</f>
        <v>First Aid Training (Refresher)</v>
      </c>
      <c r="F1510" s="17">
        <v>45876</v>
      </c>
      <c r="G1510" s="17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10" s="15">
        <f ca="1">IF(OR(tblTraining[[#This Row],[Status]]="Renewed",tblTraining[[#This Row],[NextDueDate]]=""),"",tblTraining[[#This Row],[NextDueDate]]-TODAY())</f>
        <v>686</v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1" spans="1:9" x14ac:dyDescent="0.25">
      <c r="A1511" s="15">
        <f t="shared" si="23"/>
        <v>1510</v>
      </c>
      <c r="B1511" s="15" t="s">
        <v>156</v>
      </c>
      <c r="C1511" s="15" t="str" cm="1">
        <f t="array" ref="C1511">IFERROR(_xlfn.XLOOKUP(B1511, tblPeople[PersonID], tblPeople[PersonName], ""), "")</f>
        <v>Stephen Mutambu</v>
      </c>
      <c r="D1511" s="15" t="s">
        <v>17</v>
      </c>
      <c r="E1511" s="16" t="str">
        <f>IFERROR(_xlfn.XLOOKUP(D1511, tblCourses[CourseID], tblCourses[CourseName], ""), "")</f>
        <v>Safety Management Systems (Refresher)</v>
      </c>
      <c r="F1511" s="17">
        <v>46259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46990</v>
      </c>
      <c r="H1511" s="15">
        <f ca="1">IF(OR(tblTraining[[#This Row],[Status]]="Renewed",tblTraining[[#This Row],[NextDueDate]]=""),"",tblTraining[[#This Row],[NextDueDate]]-TODAY())</f>
        <v>704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>
        <f t="shared" si="23"/>
        <v>1511</v>
      </c>
      <c r="B1512" s="15" t="s">
        <v>211</v>
      </c>
      <c r="C1512" s="15" t="str" cm="1">
        <f t="array" ref="C1512">IFERROR(_xlfn.XLOOKUP(B1512, tblPeople[PersonID], tblPeople[PersonName], ""), "")</f>
        <v>Angeline Nthakyo</v>
      </c>
      <c r="D1512" s="15" t="s">
        <v>232</v>
      </c>
      <c r="E1512" s="16" t="str">
        <f>IFERROR(_xlfn.XLOOKUP(D1512, tblCourses[CourseID], tblCourses[CourseName], ""), "")</f>
        <v>Crew Resource Management (Initial)</v>
      </c>
      <c r="F1512" s="17">
        <v>45855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>
        <f t="shared" si="23"/>
        <v>1512</v>
      </c>
      <c r="B1513" s="15" t="s">
        <v>211</v>
      </c>
      <c r="C1513" s="15" t="str" cm="1">
        <f t="array" ref="C1513">IFERROR(_xlfn.XLOOKUP(B1513, tblPeople[PersonID], tblPeople[PersonName], ""), "")</f>
        <v>Angeline Nthakyo</v>
      </c>
      <c r="D1513" s="15" t="s">
        <v>231</v>
      </c>
      <c r="E1513" s="16" t="str">
        <f>IFERROR(_xlfn.XLOOKUP(D1513, tblCourses[CourseID], tblCourses[CourseName], ""), "")</f>
        <v>Crew Resource Management (Refresher)</v>
      </c>
      <c r="F1513" s="17">
        <v>45855</v>
      </c>
      <c r="G1513" s="17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13" s="15">
        <f ca="1">IF(OR(tblTraining[[#This Row],[Status]]="Renewed",tblTraining[[#This Row],[NextDueDate]]=""),"",tblTraining[[#This Row],[NextDueDate]]-TODAY())</f>
        <v>299</v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4" spans="1:9" x14ac:dyDescent="0.25">
      <c r="A1514" s="15">
        <f t="shared" si="23"/>
        <v>1513</v>
      </c>
      <c r="B1514" s="15" t="s">
        <v>107</v>
      </c>
      <c r="C1514" s="15" t="str" cm="1">
        <f t="array" ref="C1514">IFERROR(_xlfn.XLOOKUP(B1514, tblPeople[PersonID], tblPeople[PersonName], ""), "")</f>
        <v>Julius Nyawira</v>
      </c>
      <c r="D1514" s="15" t="s">
        <v>231</v>
      </c>
      <c r="E1514" s="16" t="str">
        <f>IFERROR(_xlfn.XLOOKUP(D1514, tblCourses[CourseID], tblCourses[CourseName], ""), "")</f>
        <v>Crew Resource Management (Refresher)</v>
      </c>
      <c r="F1514" s="17">
        <v>44148</v>
      </c>
      <c r="G1514" s="17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44878</v>
      </c>
      <c r="H1514" s="15">
        <f ca="1">IF(OR(tblTraining[[#This Row],[Status]]="Renewed",tblTraining[[#This Row],[NextDueDate]]=""),"",tblTraining[[#This Row],[NextDueDate]]-TODAY())</f>
        <v>-1408</v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15" spans="1:9" x14ac:dyDescent="0.25">
      <c r="A1515" s="15">
        <f t="shared" si="23"/>
        <v>1514</v>
      </c>
      <c r="B1515" s="15" t="s">
        <v>156</v>
      </c>
      <c r="C1515" s="15" t="str" cm="1">
        <f t="array" ref="C1515">IFERROR(_xlfn.XLOOKUP(B1515, tblPeople[PersonID], tblPeople[PersonName], ""), "")</f>
        <v>Stephen Mutambu</v>
      </c>
      <c r="D1515" s="15" t="s">
        <v>219</v>
      </c>
      <c r="E1515" s="16" t="str">
        <f>IFERROR(_xlfn.XLOOKUP(D1515, tblCourses[CourseID], tblCourses[CourseName], ""), "")</f>
        <v>Quality Management Systems (Initial)</v>
      </c>
      <c r="F1515" s="17">
        <v>45792</v>
      </c>
      <c r="G1515" s="17" t="str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5" s="15" t="str">
        <f ca="1">IF(OR(tblTraining[[#This Row],[Status]]="Renewed",tblTraining[[#This Row],[NextDueDate]]=""),"",tblTraining[[#This Row],[NextDueDate]]-TODAY())</f>
        <v/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>
        <f t="shared" si="23"/>
        <v>1515</v>
      </c>
      <c r="B1516" s="15" t="s">
        <v>156</v>
      </c>
      <c r="C1516" s="15" t="str" cm="1">
        <f t="array" ref="C1516">IFERROR(_xlfn.XLOOKUP(B1516, tblPeople[PersonID], tblPeople[PersonName], ""), "")</f>
        <v>Stephen Mutambu</v>
      </c>
      <c r="D1516" s="15" t="s">
        <v>169</v>
      </c>
      <c r="E1516" s="16" t="str">
        <f>IFERROR(_xlfn.XLOOKUP(D1516, tblCourses[CourseID], tblCourses[CourseName], ""), "")</f>
        <v>Quality Management Systems</v>
      </c>
      <c r="F1516" s="17">
        <v>45792</v>
      </c>
      <c r="G1516" s="17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46888</v>
      </c>
      <c r="H1516" s="15">
        <f ca="1">IF(OR(tblTraining[[#This Row],[Status]]="Renewed",tblTraining[[#This Row],[NextDueDate]]=""),"",tblTraining[[#This Row],[NextDueDate]]-TODAY())</f>
        <v>602</v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>
        <f t="shared" si="23"/>
        <v>1516</v>
      </c>
      <c r="B1517" s="15" t="s">
        <v>268</v>
      </c>
      <c r="C1517" s="15" t="str" cm="1">
        <f t="array" ref="C1517">IFERROR(_xlfn.XLOOKUP(B1517, tblPeople[PersonID], tblPeople[PersonName], ""), "")</f>
        <v>Dorine Edna</v>
      </c>
      <c r="D1517" s="15" t="s">
        <v>219</v>
      </c>
      <c r="E1517" s="16" t="str">
        <f>IFERROR(_xlfn.XLOOKUP(D1517, tblCourses[CourseID], tblCourses[CourseName], ""), "")</f>
        <v>Quality Management Systems (Initial)</v>
      </c>
      <c r="F1517" s="17">
        <v>46234</v>
      </c>
      <c r="G1517" s="17" t="str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7" s="15" t="str">
        <f ca="1">IF(OR(tblTraining[[#This Row],[Status]]="Renewed",tblTraining[[#This Row],[NextDueDate]]=""),"",tblTraining[[#This Row],[NextDueDate]]-TODAY())</f>
        <v/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>
        <f t="shared" si="23"/>
        <v>1517</v>
      </c>
      <c r="B1518" s="15" t="s">
        <v>268</v>
      </c>
      <c r="C1518" s="15" t="str" cm="1">
        <f t="array" ref="C1518">IFERROR(_xlfn.XLOOKUP(B1518, tblPeople[PersonID], tblPeople[PersonName], ""), "")</f>
        <v>Dorine Edna</v>
      </c>
      <c r="D1518" s="15" t="s">
        <v>169</v>
      </c>
      <c r="E1518" s="16" t="str">
        <f>IFERROR(_xlfn.XLOOKUP(D1518, tblCourses[CourseID], tblCourses[CourseName], ""), "")</f>
        <v>Quality Management Systems</v>
      </c>
      <c r="F1518" s="17">
        <v>46234</v>
      </c>
      <c r="G1518" s="17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18" s="15">
        <f ca="1">IF(OR(tblTraining[[#This Row],[Status]]="Renewed",tblTraining[[#This Row],[NextDueDate]]=""),"",tblTraining[[#This Row],[NextDueDate]]-TODAY())</f>
        <v>1044</v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>
        <f t="shared" si="23"/>
        <v>1518</v>
      </c>
      <c r="B1519" s="15" t="s">
        <v>406</v>
      </c>
      <c r="C1519" s="15" t="str" cm="1">
        <f t="array" ref="C1519">IFERROR(_xlfn.XLOOKUP(B1519, tblPeople[PersonID], tblPeople[PersonName], ""), "")</f>
        <v>James Muisyo</v>
      </c>
      <c r="D1519" s="15" t="s">
        <v>219</v>
      </c>
      <c r="E1519" s="16" t="str">
        <f>IFERROR(_xlfn.XLOOKUP(D1519, tblCourses[CourseID], tblCourses[CourseName], ""), "")</f>
        <v>Quality Management Systems (Initial)</v>
      </c>
      <c r="F1519" s="17">
        <v>46234</v>
      </c>
      <c r="G1519" s="17" t="str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9" s="15" t="str">
        <f ca="1">IF(OR(tblTraining[[#This Row],[Status]]="Renewed",tblTraining[[#This Row],[NextDueDate]]=""),"",tblTraining[[#This Row],[NextDueDate]]-TODAY())</f>
        <v/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>
        <f t="shared" si="23"/>
        <v>1519</v>
      </c>
      <c r="B1520" s="15" t="s">
        <v>406</v>
      </c>
      <c r="C1520" s="15" t="str" cm="1">
        <f t="array" ref="C1520">IFERROR(_xlfn.XLOOKUP(B1520, tblPeople[PersonID], tblPeople[PersonName], ""), "")</f>
        <v>James Muisyo</v>
      </c>
      <c r="D1520" s="15" t="s">
        <v>169</v>
      </c>
      <c r="E1520" s="16" t="str">
        <f>IFERROR(_xlfn.XLOOKUP(D1520, tblCourses[CourseID], tblCourses[CourseName], ""), "")</f>
        <v>Quality Management Systems</v>
      </c>
      <c r="F1520" s="17">
        <v>46234</v>
      </c>
      <c r="G1520" s="17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0" s="15">
        <f ca="1">IF(OR(tblTraining[[#This Row],[Status]]="Renewed",tblTraining[[#This Row],[NextDueDate]]=""),"",tblTraining[[#This Row],[NextDueDate]]-TODAY())</f>
        <v>1044</v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>
        <f t="shared" si="23"/>
        <v>1520</v>
      </c>
      <c r="B1521" s="15" t="s">
        <v>153</v>
      </c>
      <c r="C1521" s="15" t="str" cm="1">
        <f t="array" ref="C1521">IFERROR(_xlfn.XLOOKUP(B1521, tblPeople[PersonID], tblPeople[PersonName], ""), "")</f>
        <v>Judith Wandera</v>
      </c>
      <c r="D1521" s="15" t="s">
        <v>219</v>
      </c>
      <c r="E1521" s="16" t="str">
        <f>IFERROR(_xlfn.XLOOKUP(D1521, tblCourses[CourseID], tblCourses[CourseName], ""), "")</f>
        <v>Quality Management Systems (Initial)</v>
      </c>
      <c r="F1521" s="17">
        <v>46234</v>
      </c>
      <c r="G1521" s="17" t="str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1" s="15" t="str">
        <f ca="1">IF(OR(tblTraining[[#This Row],[Status]]="Renewed",tblTraining[[#This Row],[NextDueDate]]=""),"",tblTraining[[#This Row],[NextDueDate]]-TODAY())</f>
        <v/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2" spans="1:9" x14ac:dyDescent="0.25">
      <c r="A1522" s="15">
        <f t="shared" si="23"/>
        <v>1521</v>
      </c>
      <c r="B1522" s="15" t="s">
        <v>153</v>
      </c>
      <c r="C1522" s="15" t="str" cm="1">
        <f t="array" ref="C1522">IFERROR(_xlfn.XLOOKUP(B1522, tblPeople[PersonID], tblPeople[PersonName], ""), "")</f>
        <v>Judith Wandera</v>
      </c>
      <c r="D1522" s="15" t="s">
        <v>169</v>
      </c>
      <c r="E1522" s="16" t="str">
        <f>IFERROR(_xlfn.XLOOKUP(D1522, tblCourses[CourseID], tblCourses[CourseName], ""), "")</f>
        <v>Quality Management Systems</v>
      </c>
      <c r="F1522" s="17">
        <v>46234</v>
      </c>
      <c r="G1522" s="17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2" s="15">
        <f ca="1">IF(OR(tblTraining[[#This Row],[Status]]="Renewed",tblTraining[[#This Row],[NextDueDate]]=""),"",tblTraining[[#This Row],[NextDueDate]]-TODAY())</f>
        <v>1044</v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>
        <f t="shared" si="23"/>
        <v>1522</v>
      </c>
      <c r="B1523" s="15" t="s">
        <v>465</v>
      </c>
      <c r="C1523" s="15" t="str" cm="1">
        <f t="array" ref="C1523">IFERROR(_xlfn.XLOOKUP(B1523, tblPeople[PersonID], tblPeople[PersonName], ""), "")</f>
        <v>Erick Mwanje</v>
      </c>
      <c r="D1523" s="15" t="s">
        <v>219</v>
      </c>
      <c r="E1523" s="16" t="str">
        <f>IFERROR(_xlfn.XLOOKUP(D1523, tblCourses[CourseID], tblCourses[CourseName], ""), "")</f>
        <v>Quality Management Systems (Initial)</v>
      </c>
      <c r="F1523" s="17">
        <v>46234</v>
      </c>
      <c r="G1523" s="17" t="str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3" s="15" t="str">
        <f ca="1">IF(OR(tblTraining[[#This Row],[Status]]="Renewed",tblTraining[[#This Row],[NextDueDate]]=""),"",tblTraining[[#This Row],[NextDueDate]]-TODAY())</f>
        <v/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>
        <f t="shared" si="23"/>
        <v>1523</v>
      </c>
      <c r="B1524" s="15" t="s">
        <v>465</v>
      </c>
      <c r="C1524" s="15" t="str" cm="1">
        <f t="array" ref="C1524">IFERROR(_xlfn.XLOOKUP(B1524, tblPeople[PersonID], tblPeople[PersonName], ""), "")</f>
        <v>Erick Mwanje</v>
      </c>
      <c r="D1524" s="15" t="s">
        <v>169</v>
      </c>
      <c r="E1524" s="16" t="str">
        <f>IFERROR(_xlfn.XLOOKUP(D1524, tblCourses[CourseID], tblCourses[CourseName], ""), "")</f>
        <v>Quality Management Systems</v>
      </c>
      <c r="F1524" s="17">
        <v>46234</v>
      </c>
      <c r="G1524" s="17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47330</v>
      </c>
      <c r="H1524" s="15">
        <f ca="1">IF(OR(tblTraining[[#This Row],[Status]]="Renewed",tblTraining[[#This Row],[NextDueDate]]=""),"",tblTraining[[#This Row],[NextDueDate]]-TODAY())</f>
        <v>1044</v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49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370</v>
      </c>
      <c r="G1" s="4" t="s">
        <v>427</v>
      </c>
      <c r="H1" s="4" t="s">
        <v>428</v>
      </c>
    </row>
    <row r="2" spans="1:8" x14ac:dyDescent="0.2">
      <c r="A2" s="5" t="s">
        <v>144</v>
      </c>
      <c r="B2" s="5" t="s">
        <v>143</v>
      </c>
      <c r="C2" s="6"/>
      <c r="D2" s="6" t="s">
        <v>377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378</v>
      </c>
      <c r="E3" s="5"/>
      <c r="F3" s="5"/>
      <c r="G3" s="5"/>
      <c r="H3" s="5"/>
    </row>
    <row r="4" spans="1:8" x14ac:dyDescent="0.2">
      <c r="A4" s="5" t="s">
        <v>165</v>
      </c>
      <c r="B4" s="5" t="s">
        <v>164</v>
      </c>
      <c r="C4" s="6"/>
      <c r="D4" s="6" t="s">
        <v>379</v>
      </c>
      <c r="E4" s="5"/>
      <c r="F4" s="5"/>
      <c r="G4" s="5"/>
      <c r="H4" s="5"/>
    </row>
    <row r="5" spans="1:8" x14ac:dyDescent="0.2">
      <c r="A5" s="5" t="s">
        <v>175</v>
      </c>
      <c r="B5" s="5" t="s">
        <v>174</v>
      </c>
      <c r="C5" s="6">
        <v>24</v>
      </c>
      <c r="D5" s="6" t="s">
        <v>378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379</v>
      </c>
      <c r="E6" s="5" t="s">
        <v>12</v>
      </c>
      <c r="F6" s="5"/>
      <c r="G6" s="5"/>
      <c r="H6" s="5"/>
    </row>
    <row r="7" spans="1:8" x14ac:dyDescent="0.2">
      <c r="A7" s="5" t="s">
        <v>242</v>
      </c>
      <c r="B7" s="5" t="s">
        <v>241</v>
      </c>
      <c r="C7" s="6"/>
      <c r="D7" s="6" t="s">
        <v>379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377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378</v>
      </c>
      <c r="E9" s="5"/>
      <c r="F9" s="5"/>
      <c r="G9" s="5"/>
      <c r="H9" s="5"/>
    </row>
    <row r="10" spans="1:8" x14ac:dyDescent="0.2">
      <c r="A10" s="5" t="s">
        <v>234</v>
      </c>
      <c r="B10" s="5" t="s">
        <v>233</v>
      </c>
      <c r="C10" s="6"/>
      <c r="D10" s="6" t="s">
        <v>379</v>
      </c>
      <c r="E10" s="5"/>
      <c r="F10" s="5"/>
      <c r="G10" s="5"/>
      <c r="H10" s="5"/>
    </row>
    <row r="11" spans="1:8" x14ac:dyDescent="0.2">
      <c r="A11" s="5" t="s">
        <v>248</v>
      </c>
      <c r="B11" s="5" t="s">
        <v>247</v>
      </c>
      <c r="C11" s="6"/>
      <c r="D11" s="6" t="s">
        <v>379</v>
      </c>
      <c r="E11" s="5"/>
      <c r="F11" s="5"/>
      <c r="G11" s="5"/>
      <c r="H11" s="5"/>
    </row>
    <row r="12" spans="1:8" x14ac:dyDescent="0.2">
      <c r="A12" s="5" t="s">
        <v>186</v>
      </c>
      <c r="B12" s="5" t="s">
        <v>188</v>
      </c>
      <c r="C12" s="6"/>
      <c r="D12" s="6" t="s">
        <v>379</v>
      </c>
      <c r="E12" s="5"/>
      <c r="F12" s="5"/>
      <c r="G12" s="5"/>
      <c r="H12" s="5"/>
    </row>
    <row r="13" spans="1:8" x14ac:dyDescent="0.2">
      <c r="A13" s="5" t="s">
        <v>187</v>
      </c>
      <c r="B13" s="5" t="s">
        <v>185</v>
      </c>
      <c r="C13" s="6"/>
      <c r="D13" s="6" t="s">
        <v>379</v>
      </c>
      <c r="E13" s="5"/>
      <c r="F13" s="5"/>
      <c r="G13" s="5"/>
      <c r="H13" s="5"/>
    </row>
    <row r="14" spans="1:8" x14ac:dyDescent="0.2">
      <c r="A14" s="5" t="s">
        <v>177</v>
      </c>
      <c r="B14" s="5" t="s">
        <v>176</v>
      </c>
      <c r="C14" s="6"/>
      <c r="D14" s="6" t="s">
        <v>377</v>
      </c>
      <c r="E14" s="5" t="s">
        <v>26</v>
      </c>
      <c r="F14" s="5"/>
      <c r="G14" s="5"/>
      <c r="H14" s="5"/>
    </row>
    <row r="15" spans="1:8" x14ac:dyDescent="0.2">
      <c r="A15" s="5" t="s">
        <v>178</v>
      </c>
      <c r="B15" s="5" t="s">
        <v>179</v>
      </c>
      <c r="C15" s="6">
        <v>24</v>
      </c>
      <c r="D15" s="6" t="s">
        <v>378</v>
      </c>
      <c r="E15" s="5" t="s">
        <v>26</v>
      </c>
      <c r="F15" s="5"/>
      <c r="G15" s="5"/>
      <c r="H15" s="5"/>
    </row>
    <row r="16" spans="1:8" x14ac:dyDescent="0.2">
      <c r="A16" s="5" t="s">
        <v>221</v>
      </c>
      <c r="B16" s="5" t="s">
        <v>222</v>
      </c>
      <c r="C16" s="6"/>
      <c r="D16" s="6" t="s">
        <v>377</v>
      </c>
      <c r="E16" s="5"/>
      <c r="F16" s="5"/>
      <c r="G16" s="5"/>
      <c r="H16" s="5"/>
    </row>
    <row r="17" spans="1:8" ht="15" x14ac:dyDescent="0.25">
      <c r="A17" t="s">
        <v>223</v>
      </c>
      <c r="B17" s="5" t="s">
        <v>224</v>
      </c>
      <c r="C17" s="6">
        <v>24</v>
      </c>
      <c r="D17" s="6" t="s">
        <v>378</v>
      </c>
      <c r="E17" s="5"/>
      <c r="F17" s="5"/>
      <c r="G17" s="5"/>
      <c r="H17" s="5"/>
    </row>
    <row r="18" spans="1:8" x14ac:dyDescent="0.2">
      <c r="A18" s="5" t="s">
        <v>260</v>
      </c>
      <c r="B18" s="5" t="s">
        <v>259</v>
      </c>
      <c r="C18" s="6">
        <v>24</v>
      </c>
      <c r="D18" s="6" t="s">
        <v>379</v>
      </c>
      <c r="E18" s="5"/>
      <c r="F18" s="5"/>
      <c r="G18" s="5"/>
      <c r="H18" s="5"/>
    </row>
    <row r="19" spans="1:8" x14ac:dyDescent="0.2">
      <c r="A19" s="5" t="s">
        <v>232</v>
      </c>
      <c r="B19" s="5" t="s">
        <v>230</v>
      </c>
      <c r="C19" s="6"/>
      <c r="D19" s="6" t="s">
        <v>377</v>
      </c>
      <c r="E19" s="5"/>
      <c r="F19" s="5"/>
      <c r="G19" s="5"/>
      <c r="H19" s="5"/>
    </row>
    <row r="20" spans="1:8" x14ac:dyDescent="0.2">
      <c r="A20" s="5" t="s">
        <v>231</v>
      </c>
      <c r="B20" s="5" t="s">
        <v>229</v>
      </c>
      <c r="C20" s="6">
        <v>24</v>
      </c>
      <c r="D20" s="6" t="s">
        <v>378</v>
      </c>
      <c r="E20" s="5"/>
      <c r="F20" s="5"/>
      <c r="G20" s="5"/>
      <c r="H20" s="5"/>
    </row>
    <row r="21" spans="1:8" x14ac:dyDescent="0.2">
      <c r="A21" s="5" t="s">
        <v>252</v>
      </c>
      <c r="B21" s="5" t="s">
        <v>251</v>
      </c>
      <c r="C21" s="6"/>
      <c r="D21" s="6" t="s">
        <v>379</v>
      </c>
      <c r="E21" s="5"/>
      <c r="F21" s="5"/>
      <c r="G21" s="5"/>
      <c r="H21" s="5"/>
    </row>
    <row r="22" spans="1:8" x14ac:dyDescent="0.2">
      <c r="A22" s="5" t="s">
        <v>32</v>
      </c>
      <c r="B22" s="5" t="s">
        <v>258</v>
      </c>
      <c r="C22" s="6"/>
      <c r="D22" s="6" t="s">
        <v>377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257</v>
      </c>
      <c r="C23" s="6">
        <v>24</v>
      </c>
      <c r="D23" s="6" t="s">
        <v>378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377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378</v>
      </c>
      <c r="E25" s="5" t="s">
        <v>26</v>
      </c>
      <c r="F25" s="5"/>
      <c r="G25" s="5"/>
      <c r="H25" s="5"/>
    </row>
    <row r="26" spans="1:8" x14ac:dyDescent="0.2">
      <c r="A26" s="5" t="s">
        <v>382</v>
      </c>
      <c r="B26" s="5" t="s">
        <v>380</v>
      </c>
      <c r="C26" s="6"/>
      <c r="D26" s="6" t="s">
        <v>377</v>
      </c>
      <c r="E26" s="5" t="s">
        <v>26</v>
      </c>
      <c r="F26" s="5"/>
      <c r="G26" s="5"/>
      <c r="H26" s="5"/>
    </row>
    <row r="27" spans="1:8" x14ac:dyDescent="0.2">
      <c r="A27" s="5" t="s">
        <v>383</v>
      </c>
      <c r="B27" s="5" t="s">
        <v>381</v>
      </c>
      <c r="C27" s="6">
        <v>24</v>
      </c>
      <c r="D27" s="6" t="s">
        <v>378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377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378</v>
      </c>
      <c r="E29" s="5"/>
      <c r="F29" s="5"/>
      <c r="G29" s="5"/>
      <c r="H29" s="5"/>
    </row>
    <row r="30" spans="1:8" x14ac:dyDescent="0.2">
      <c r="A30" s="5" t="s">
        <v>225</v>
      </c>
      <c r="B30" s="5" t="s">
        <v>227</v>
      </c>
      <c r="C30" s="6"/>
      <c r="D30" s="6" t="s">
        <v>377</v>
      </c>
      <c r="E30" s="5"/>
      <c r="F30" s="5"/>
      <c r="G30" s="5"/>
      <c r="H30" s="5"/>
    </row>
    <row r="31" spans="1:8" x14ac:dyDescent="0.2">
      <c r="A31" s="5" t="s">
        <v>226</v>
      </c>
      <c r="B31" s="5" t="s">
        <v>228</v>
      </c>
      <c r="C31" s="6">
        <v>36</v>
      </c>
      <c r="D31" s="6" t="s">
        <v>378</v>
      </c>
      <c r="E31" s="5"/>
      <c r="F31" s="5"/>
      <c r="G31" s="5"/>
      <c r="H31" s="5"/>
    </row>
    <row r="32" spans="1:8" x14ac:dyDescent="0.2">
      <c r="A32" s="5" t="s">
        <v>236</v>
      </c>
      <c r="B32" s="5" t="s">
        <v>235</v>
      </c>
      <c r="C32" s="6"/>
      <c r="D32" s="6" t="s">
        <v>379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378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377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378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379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193</v>
      </c>
      <c r="C37" s="6"/>
      <c r="D37" s="6" t="s">
        <v>377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194</v>
      </c>
      <c r="C38" s="6">
        <v>24</v>
      </c>
      <c r="D38" s="6" t="s">
        <v>378</v>
      </c>
      <c r="E38" s="5" t="s">
        <v>23</v>
      </c>
      <c r="F38" s="5" t="s">
        <v>372</v>
      </c>
      <c r="G38" s="5"/>
      <c r="H38" s="5" t="s">
        <v>374</v>
      </c>
    </row>
    <row r="39" spans="1:8" x14ac:dyDescent="0.2">
      <c r="A39" s="5" t="s">
        <v>132</v>
      </c>
      <c r="B39" s="5" t="s">
        <v>131</v>
      </c>
      <c r="C39" s="6"/>
      <c r="D39" s="6" t="s">
        <v>379</v>
      </c>
      <c r="E39" s="5"/>
      <c r="F39" s="5"/>
      <c r="G39" s="5"/>
      <c r="H39" s="5"/>
    </row>
    <row r="40" spans="1:8" x14ac:dyDescent="0.2">
      <c r="A40" s="5" t="s">
        <v>250</v>
      </c>
      <c r="B40" s="5" t="s">
        <v>249</v>
      </c>
      <c r="C40" s="6"/>
      <c r="D40" s="6" t="s">
        <v>379</v>
      </c>
      <c r="E40" s="5"/>
      <c r="F40" s="5"/>
      <c r="G40" s="5"/>
      <c r="H40" s="5"/>
    </row>
    <row r="41" spans="1:8" ht="15" x14ac:dyDescent="0.25">
      <c r="A41" t="s">
        <v>181</v>
      </c>
      <c r="B41" s="5" t="s">
        <v>180</v>
      </c>
      <c r="C41" s="6"/>
      <c r="D41" s="6" t="s">
        <v>379</v>
      </c>
      <c r="E41" s="5"/>
      <c r="F41" s="5"/>
      <c r="G41" s="5"/>
      <c r="H41" s="5"/>
    </row>
    <row r="42" spans="1:8" x14ac:dyDescent="0.2">
      <c r="A42" s="5" t="s">
        <v>353</v>
      </c>
      <c r="B42" s="5" t="s">
        <v>356</v>
      </c>
      <c r="C42" s="6"/>
      <c r="D42" s="6" t="s">
        <v>377</v>
      </c>
      <c r="E42" s="5"/>
      <c r="F42" s="5"/>
      <c r="G42" s="5"/>
      <c r="H42" s="5"/>
    </row>
    <row r="43" spans="1:8" x14ac:dyDescent="0.2">
      <c r="A43" s="5" t="s">
        <v>198</v>
      </c>
      <c r="B43" s="5" t="s">
        <v>355</v>
      </c>
      <c r="C43" s="6">
        <v>24</v>
      </c>
      <c r="D43" s="6" t="s">
        <v>378</v>
      </c>
      <c r="E43" s="5"/>
      <c r="F43" s="5"/>
      <c r="G43" s="5"/>
      <c r="H43" s="5"/>
    </row>
    <row r="44" spans="1:8" x14ac:dyDescent="0.2">
      <c r="A44" s="5" t="s">
        <v>246</v>
      </c>
      <c r="B44" s="5" t="s">
        <v>245</v>
      </c>
      <c r="C44" s="6"/>
      <c r="D44" s="6" t="s">
        <v>379</v>
      </c>
      <c r="E44" s="5"/>
      <c r="F44" s="5"/>
      <c r="G44" s="5"/>
      <c r="H44" s="5"/>
    </row>
    <row r="45" spans="1:8" x14ac:dyDescent="0.2">
      <c r="A45" s="5" t="s">
        <v>254</v>
      </c>
      <c r="B45" s="5" t="s">
        <v>253</v>
      </c>
      <c r="C45" s="6"/>
      <c r="D45" s="6" t="s">
        <v>379</v>
      </c>
      <c r="E45" s="5"/>
      <c r="F45" s="5"/>
      <c r="G45" s="5"/>
      <c r="H45" s="5"/>
    </row>
    <row r="46" spans="1:8" x14ac:dyDescent="0.2">
      <c r="A46" s="5" t="s">
        <v>255</v>
      </c>
      <c r="B46" s="5" t="s">
        <v>256</v>
      </c>
      <c r="C46" s="6"/>
      <c r="D46" s="6" t="s">
        <v>379</v>
      </c>
      <c r="E46" s="5"/>
      <c r="F46" s="5"/>
      <c r="G46" s="5"/>
      <c r="H46" s="5"/>
    </row>
    <row r="47" spans="1:8" x14ac:dyDescent="0.2">
      <c r="A47" s="5" t="s">
        <v>239</v>
      </c>
      <c r="B47" s="5" t="s">
        <v>237</v>
      </c>
      <c r="C47" s="6"/>
      <c r="D47" s="6" t="s">
        <v>379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184</v>
      </c>
      <c r="C48" s="6"/>
      <c r="D48" s="6" t="s">
        <v>377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183</v>
      </c>
      <c r="C49" s="6">
        <v>24</v>
      </c>
      <c r="D49" s="6" t="s">
        <v>378</v>
      </c>
      <c r="E49" s="5" t="s">
        <v>26</v>
      </c>
      <c r="F49" s="5"/>
      <c r="G49" s="5"/>
      <c r="H49" s="5"/>
    </row>
    <row r="50" spans="1:8" x14ac:dyDescent="0.2">
      <c r="A50" s="5" t="s">
        <v>240</v>
      </c>
      <c r="B50" s="5" t="s">
        <v>238</v>
      </c>
      <c r="C50" s="6"/>
      <c r="D50" s="6" t="s">
        <v>379</v>
      </c>
      <c r="E50" s="5"/>
      <c r="F50" s="5"/>
      <c r="G50" s="5"/>
      <c r="H50" s="5"/>
    </row>
    <row r="51" spans="1:8" x14ac:dyDescent="0.2">
      <c r="A51" s="5" t="s">
        <v>168</v>
      </c>
      <c r="B51" s="5" t="s">
        <v>170</v>
      </c>
      <c r="C51" s="6">
        <v>60</v>
      </c>
      <c r="D51" s="6" t="s">
        <v>378</v>
      </c>
      <c r="E51" s="5"/>
      <c r="F51" s="5"/>
      <c r="G51" s="5"/>
      <c r="H51" s="5"/>
    </row>
    <row r="52" spans="1:8" x14ac:dyDescent="0.2">
      <c r="A52" s="5" t="s">
        <v>219</v>
      </c>
      <c r="B52" s="5" t="s">
        <v>220</v>
      </c>
      <c r="C52" s="6"/>
      <c r="D52" s="6" t="s">
        <v>377</v>
      </c>
      <c r="E52" s="5" t="s">
        <v>12</v>
      </c>
      <c r="F52" s="5"/>
      <c r="G52" s="5"/>
      <c r="H52" s="5"/>
    </row>
    <row r="53" spans="1:8" x14ac:dyDescent="0.2">
      <c r="A53" s="5" t="s">
        <v>169</v>
      </c>
      <c r="B53" s="5" t="s">
        <v>163</v>
      </c>
      <c r="C53" s="6">
        <v>36</v>
      </c>
      <c r="D53" s="6" t="s">
        <v>378</v>
      </c>
      <c r="E53" s="5" t="s">
        <v>12</v>
      </c>
      <c r="F53" s="5"/>
      <c r="G53" s="5"/>
      <c r="H53" s="5"/>
    </row>
    <row r="54" spans="1:8" x14ac:dyDescent="0.2">
      <c r="A54" s="5" t="s">
        <v>243</v>
      </c>
      <c r="B54" s="5" t="s">
        <v>244</v>
      </c>
      <c r="C54" s="6"/>
      <c r="D54" s="6" t="s">
        <v>379</v>
      </c>
      <c r="E54" s="5"/>
      <c r="F54" s="5"/>
      <c r="G54" s="5"/>
      <c r="H54" s="5"/>
    </row>
    <row r="55" spans="1:8" x14ac:dyDescent="0.2">
      <c r="A55" s="5" t="s">
        <v>367</v>
      </c>
      <c r="B55" s="5" t="s">
        <v>366</v>
      </c>
      <c r="C55" s="6"/>
      <c r="D55" s="6" t="s">
        <v>379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365</v>
      </c>
      <c r="C56" s="6"/>
      <c r="D56" s="6" t="s">
        <v>379</v>
      </c>
      <c r="E56" s="5"/>
      <c r="F56" s="5"/>
      <c r="G56" s="5"/>
      <c r="H56" s="5"/>
    </row>
    <row r="57" spans="1:8" x14ac:dyDescent="0.2">
      <c r="A57" s="5" t="s">
        <v>167</v>
      </c>
      <c r="B57" s="5" t="s">
        <v>166</v>
      </c>
      <c r="C57" s="6"/>
      <c r="D57" s="6" t="s">
        <v>379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377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378</v>
      </c>
      <c r="E59" s="5" t="s">
        <v>19</v>
      </c>
      <c r="F59" s="5" t="s">
        <v>372</v>
      </c>
      <c r="G59" s="5" t="s">
        <v>371</v>
      </c>
      <c r="H59" s="5" t="s">
        <v>373</v>
      </c>
    </row>
    <row r="60" spans="1:8" x14ac:dyDescent="0.2">
      <c r="A60" s="5" t="s">
        <v>190</v>
      </c>
      <c r="B60" s="5" t="s">
        <v>189</v>
      </c>
      <c r="C60" s="6"/>
      <c r="D60" s="6" t="s">
        <v>379</v>
      </c>
      <c r="E60" s="5"/>
      <c r="F60" s="5"/>
      <c r="G60" s="5"/>
      <c r="H60" s="5"/>
    </row>
    <row r="61" spans="1:8" x14ac:dyDescent="0.2">
      <c r="A61" s="5" t="s">
        <v>218</v>
      </c>
      <c r="B61" s="5" t="s">
        <v>215</v>
      </c>
      <c r="C61" s="6"/>
      <c r="D61" s="6" t="s">
        <v>377</v>
      </c>
      <c r="E61" s="5" t="s">
        <v>26</v>
      </c>
      <c r="F61" s="5"/>
      <c r="G61" s="5"/>
      <c r="H61" s="5"/>
    </row>
    <row r="62" spans="1:8" x14ac:dyDescent="0.2">
      <c r="A62" s="5" t="s">
        <v>217</v>
      </c>
      <c r="B62" s="5" t="s">
        <v>216</v>
      </c>
      <c r="C62" s="6">
        <v>24</v>
      </c>
      <c r="D62" s="6" t="s">
        <v>378</v>
      </c>
      <c r="E62" s="5"/>
      <c r="F62" s="5"/>
      <c r="G62" s="5"/>
      <c r="H62" s="5"/>
    </row>
    <row r="63" spans="1:8" x14ac:dyDescent="0.2">
      <c r="A63" s="5" t="s">
        <v>172</v>
      </c>
      <c r="B63" s="5" t="s">
        <v>171</v>
      </c>
      <c r="C63" s="6"/>
      <c r="D63" s="6" t="s">
        <v>379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377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378</v>
      </c>
      <c r="E65" s="5" t="s">
        <v>111</v>
      </c>
      <c r="F65" s="5"/>
      <c r="G65" s="5"/>
      <c r="H65" s="5"/>
    </row>
    <row r="66" spans="1:8" x14ac:dyDescent="0.2">
      <c r="A66" s="5" t="s">
        <v>369</v>
      </c>
      <c r="B66" s="5" t="s">
        <v>368</v>
      </c>
      <c r="C66" s="6"/>
      <c r="D66" s="6" t="s">
        <v>379</v>
      </c>
      <c r="E66" s="5"/>
      <c r="F66" s="5"/>
      <c r="G66" s="5"/>
      <c r="H66" s="5"/>
    </row>
    <row r="67" spans="1:8" x14ac:dyDescent="0.2">
      <c r="A67" s="5" t="s">
        <v>376</v>
      </c>
      <c r="B67" s="5" t="s">
        <v>375</v>
      </c>
      <c r="C67" s="6"/>
      <c r="D67" s="6" t="s">
        <v>379</v>
      </c>
      <c r="E67" s="5"/>
      <c r="F67" s="5"/>
      <c r="G67" s="5"/>
      <c r="H67" s="5"/>
    </row>
    <row r="68" spans="1:8" x14ac:dyDescent="0.2">
      <c r="A68" s="5" t="s">
        <v>400</v>
      </c>
      <c r="B68" s="5" t="s">
        <v>398</v>
      </c>
      <c r="C68" s="6"/>
      <c r="D68" s="6" t="s">
        <v>379</v>
      </c>
      <c r="E68" s="5"/>
      <c r="F68" s="5"/>
      <c r="G68" s="5"/>
      <c r="H68" s="5"/>
    </row>
    <row r="69" spans="1:8" x14ac:dyDescent="0.2">
      <c r="A69" s="5" t="s">
        <v>401</v>
      </c>
      <c r="B69" s="5" t="s">
        <v>399</v>
      </c>
      <c r="C69" s="6"/>
      <c r="D69" s="6" t="s">
        <v>379</v>
      </c>
      <c r="E69" s="5"/>
      <c r="F69" s="5"/>
      <c r="G69" s="5"/>
      <c r="H69" s="5"/>
    </row>
    <row r="70" spans="1:8" x14ac:dyDescent="0.2">
      <c r="A70" s="5" t="s">
        <v>405</v>
      </c>
      <c r="B70" s="5" t="s">
        <v>404</v>
      </c>
      <c r="C70" s="6"/>
      <c r="D70" s="6" t="s">
        <v>379</v>
      </c>
      <c r="E70" s="5"/>
      <c r="F70" s="5"/>
      <c r="G70" s="5"/>
      <c r="H70" s="5"/>
    </row>
    <row r="71" spans="1:8" x14ac:dyDescent="0.2">
      <c r="A71" s="5" t="s">
        <v>418</v>
      </c>
      <c r="B71" s="5" t="s">
        <v>423</v>
      </c>
      <c r="C71" s="6">
        <v>24</v>
      </c>
      <c r="D71" s="6" t="s">
        <v>378</v>
      </c>
      <c r="E71" s="5"/>
      <c r="F71" s="5"/>
      <c r="G71" s="5"/>
      <c r="H71" s="5"/>
    </row>
    <row r="72" spans="1:8" x14ac:dyDescent="0.2">
      <c r="A72" s="5" t="s">
        <v>419</v>
      </c>
      <c r="B72" s="5" t="s">
        <v>420</v>
      </c>
      <c r="C72" s="6">
        <v>24</v>
      </c>
      <c r="D72" s="6" t="s">
        <v>378</v>
      </c>
      <c r="E72" s="5"/>
      <c r="F72" s="5"/>
      <c r="G72" s="5"/>
      <c r="H72" s="5"/>
    </row>
    <row r="73" spans="1:8" x14ac:dyDescent="0.2">
      <c r="A73" s="5" t="s">
        <v>421</v>
      </c>
      <c r="B73" s="5" t="s">
        <v>422</v>
      </c>
      <c r="C73" s="6">
        <v>24</v>
      </c>
      <c r="D73" s="6" t="s">
        <v>378</v>
      </c>
      <c r="E73" s="5"/>
      <c r="F73" s="5"/>
      <c r="G73" s="5"/>
      <c r="H73" s="5"/>
    </row>
    <row r="74" spans="1:8" x14ac:dyDescent="0.2">
      <c r="A74" s="5" t="s">
        <v>445</v>
      </c>
      <c r="B74" s="5" t="s">
        <v>444</v>
      </c>
      <c r="C74" s="6">
        <v>24</v>
      </c>
      <c r="D74" s="6" t="s">
        <v>378</v>
      </c>
      <c r="E74" s="5"/>
      <c r="F74" s="5"/>
      <c r="G74" s="5"/>
      <c r="H74" s="5"/>
    </row>
    <row r="75" spans="1:8" x14ac:dyDescent="0.2">
      <c r="A75" s="5" t="s">
        <v>461</v>
      </c>
      <c r="B75" s="5" t="s">
        <v>459</v>
      </c>
      <c r="C75" s="6"/>
      <c r="D75" s="6" t="s">
        <v>377</v>
      </c>
      <c r="E75" s="5"/>
      <c r="F75" s="5"/>
      <c r="G75" s="5"/>
      <c r="H75" s="5"/>
    </row>
    <row r="76" spans="1:8" x14ac:dyDescent="0.2">
      <c r="A76" s="5" t="s">
        <v>462</v>
      </c>
      <c r="B76" s="5" t="s">
        <v>460</v>
      </c>
      <c r="C76" s="6">
        <v>24</v>
      </c>
      <c r="D76" s="6" t="s">
        <v>378</v>
      </c>
      <c r="E76" s="5"/>
      <c r="F76" s="5"/>
      <c r="G76" s="5"/>
      <c r="H76" s="5"/>
    </row>
    <row r="77" spans="1:8" x14ac:dyDescent="0.2">
      <c r="A77" s="5" t="s">
        <v>463</v>
      </c>
      <c r="B77" s="5" t="s">
        <v>464</v>
      </c>
      <c r="C77" s="6"/>
      <c r="D77" s="6" t="s">
        <v>379</v>
      </c>
      <c r="E77" s="5"/>
      <c r="F77" s="5"/>
      <c r="G77" s="5"/>
      <c r="H77" s="5"/>
    </row>
    <row r="78" spans="1:8" x14ac:dyDescent="0.2">
      <c r="A78" s="5" t="s">
        <v>479</v>
      </c>
      <c r="B78" s="5" t="s">
        <v>174</v>
      </c>
      <c r="C78" s="6">
        <v>204</v>
      </c>
      <c r="D78" s="6" t="s">
        <v>378</v>
      </c>
      <c r="E78" s="5"/>
      <c r="F78" s="5"/>
      <c r="G78" s="5"/>
      <c r="H78" s="5"/>
    </row>
    <row r="79" spans="1:8" x14ac:dyDescent="0.2">
      <c r="A79" s="5" t="s">
        <v>480</v>
      </c>
      <c r="B79" s="5" t="s">
        <v>174</v>
      </c>
      <c r="C79" s="6">
        <v>60</v>
      </c>
      <c r="D79" s="6" t="s">
        <v>378</v>
      </c>
      <c r="E79" s="5"/>
      <c r="F79" s="5"/>
      <c r="G79" s="5"/>
      <c r="H79" s="5"/>
    </row>
    <row r="80" spans="1:8" x14ac:dyDescent="0.2">
      <c r="A80" s="5" t="s">
        <v>504</v>
      </c>
      <c r="B80" s="5" t="s">
        <v>505</v>
      </c>
      <c r="C80" s="6"/>
      <c r="D80" s="6" t="s">
        <v>379</v>
      </c>
      <c r="E80" s="5"/>
      <c r="F80" s="5"/>
      <c r="G80" s="5"/>
      <c r="H80" s="5"/>
    </row>
    <row r="81" spans="1:8" x14ac:dyDescent="0.2">
      <c r="A81" s="5" t="s">
        <v>506</v>
      </c>
      <c r="B81" s="5" t="s">
        <v>507</v>
      </c>
      <c r="C81" s="6">
        <v>24</v>
      </c>
      <c r="D81" s="6" t="s">
        <v>378</v>
      </c>
      <c r="E81" s="5"/>
      <c r="F81" s="5"/>
      <c r="G81" s="5"/>
      <c r="H81" s="5"/>
    </row>
    <row r="82" spans="1:8" x14ac:dyDescent="0.2">
      <c r="A82" s="5" t="s">
        <v>509</v>
      </c>
      <c r="B82" s="5" t="s">
        <v>508</v>
      </c>
      <c r="C82" s="6"/>
      <c r="D82" s="6" t="s">
        <v>379</v>
      </c>
      <c r="E82" s="5"/>
      <c r="F82" s="5"/>
      <c r="G82" s="5"/>
      <c r="H82" s="5"/>
    </row>
    <row r="83" spans="1:8" x14ac:dyDescent="0.2">
      <c r="A83" s="5" t="s">
        <v>511</v>
      </c>
      <c r="B83" s="5" t="s">
        <v>510</v>
      </c>
      <c r="C83" s="6">
        <v>24</v>
      </c>
      <c r="D83" s="6" t="s">
        <v>378</v>
      </c>
      <c r="E83" s="5"/>
      <c r="F83" s="5"/>
      <c r="G83" s="5"/>
      <c r="H83" s="5"/>
    </row>
    <row r="84" spans="1:8" x14ac:dyDescent="0.2">
      <c r="A84" s="5" t="s">
        <v>585</v>
      </c>
      <c r="B84" s="5" t="s">
        <v>586</v>
      </c>
      <c r="C84" s="6"/>
      <c r="D84" s="6" t="s">
        <v>379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0"/>
  <sheetViews>
    <sheetView topLeftCell="F1" zoomScale="90" zoomScaleNormal="90" workbookViewId="0">
      <selection activeCell="A48" sqref="A48:XFD48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395</v>
      </c>
      <c r="F1" s="4" t="s">
        <v>488</v>
      </c>
      <c r="G1" s="4" t="s">
        <v>487</v>
      </c>
      <c r="H1" s="4" t="s">
        <v>478</v>
      </c>
      <c r="I1" s="84" t="s">
        <v>267</v>
      </c>
      <c r="J1" s="84" t="s">
        <v>410</v>
      </c>
      <c r="K1" s="85" t="s">
        <v>8</v>
      </c>
      <c r="L1" s="85" t="s">
        <v>393</v>
      </c>
      <c r="M1" s="4" t="s">
        <v>276</v>
      </c>
      <c r="N1" s="4" t="s">
        <v>277</v>
      </c>
      <c r="O1" s="4" t="s">
        <v>275</v>
      </c>
      <c r="P1" s="4" t="s">
        <v>391</v>
      </c>
      <c r="Q1" s="4" t="s">
        <v>39</v>
      </c>
      <c r="R1" s="4" t="s">
        <v>407</v>
      </c>
      <c r="S1" s="4" t="s">
        <v>408</v>
      </c>
      <c r="T1" s="4" t="s">
        <v>479</v>
      </c>
      <c r="U1" s="4" t="s">
        <v>480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300</v>
      </c>
      <c r="E2" s="86"/>
      <c r="F2" s="86"/>
      <c r="G2" s="86"/>
      <c r="H2" s="86"/>
      <c r="I2" s="87"/>
      <c r="J2" s="87"/>
      <c r="K2" s="88" t="s">
        <v>287</v>
      </c>
      <c r="L2" s="88" t="s">
        <v>301</v>
      </c>
      <c r="M2" s="86">
        <v>733201947</v>
      </c>
      <c r="N2" s="89" t="s">
        <v>302</v>
      </c>
      <c r="O2" s="91">
        <v>43656</v>
      </c>
      <c r="P2" s="86" t="s">
        <v>397</v>
      </c>
      <c r="Q2" s="86" t="s">
        <v>357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279</v>
      </c>
      <c r="L3" s="88" t="s">
        <v>282</v>
      </c>
      <c r="M3" s="86">
        <v>790268082</v>
      </c>
      <c r="N3" s="89" t="s">
        <v>303</v>
      </c>
      <c r="O3" s="91">
        <v>45627</v>
      </c>
      <c r="P3" s="86"/>
      <c r="Q3" s="86" t="s">
        <v>357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265</v>
      </c>
      <c r="E4" s="86"/>
      <c r="F4" s="86"/>
      <c r="G4" s="86"/>
      <c r="H4" s="86"/>
      <c r="I4" s="87"/>
      <c r="J4" s="87"/>
      <c r="K4" s="88" t="s">
        <v>278</v>
      </c>
      <c r="L4" s="88" t="s">
        <v>291</v>
      </c>
      <c r="M4" s="86">
        <v>719164293</v>
      </c>
      <c r="N4" s="89" t="s">
        <v>351</v>
      </c>
      <c r="O4" s="91">
        <v>45962</v>
      </c>
      <c r="P4" s="86"/>
      <c r="Q4" s="86" t="s">
        <v>357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278</v>
      </c>
      <c r="L5" s="88" t="s">
        <v>291</v>
      </c>
      <c r="M5" s="86">
        <v>711752702</v>
      </c>
      <c r="N5" s="89" t="s">
        <v>304</v>
      </c>
      <c r="O5" s="91">
        <v>45627</v>
      </c>
      <c r="P5" s="86"/>
      <c r="Q5" s="86" t="s">
        <v>357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280</v>
      </c>
      <c r="L6" s="88" t="s">
        <v>501</v>
      </c>
      <c r="M6" s="86">
        <v>722506298</v>
      </c>
      <c r="N6" s="89" t="s">
        <v>305</v>
      </c>
      <c r="O6" s="91">
        <v>43836</v>
      </c>
      <c r="P6" s="86" t="s">
        <v>397</v>
      </c>
      <c r="Q6" s="86" t="s">
        <v>357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279</v>
      </c>
      <c r="L7" s="88" t="s">
        <v>394</v>
      </c>
      <c r="M7" s="86">
        <v>706210214</v>
      </c>
      <c r="N7" s="89" t="s">
        <v>306</v>
      </c>
      <c r="O7" s="91">
        <v>45870</v>
      </c>
      <c r="P7" s="86" t="s">
        <v>392</v>
      </c>
      <c r="Q7" s="86" t="s">
        <v>357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278</v>
      </c>
      <c r="L8" s="88" t="s">
        <v>424</v>
      </c>
      <c r="M8" s="86">
        <v>713452009</v>
      </c>
      <c r="N8" s="89" t="s">
        <v>307</v>
      </c>
      <c r="O8" s="91">
        <v>44682</v>
      </c>
      <c r="P8" s="86"/>
      <c r="Q8" s="86" t="s">
        <v>357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499</v>
      </c>
      <c r="G9" s="86"/>
      <c r="H9" s="86" t="s">
        <v>191</v>
      </c>
      <c r="I9" s="87">
        <v>2</v>
      </c>
      <c r="J9" s="92">
        <v>43423</v>
      </c>
      <c r="K9" s="88" t="s">
        <v>287</v>
      </c>
      <c r="L9" s="88" t="s">
        <v>591</v>
      </c>
      <c r="M9" s="86">
        <v>728390778</v>
      </c>
      <c r="N9" s="89" t="s">
        <v>308</v>
      </c>
      <c r="O9" s="91">
        <v>43070</v>
      </c>
      <c r="P9" s="86" t="s">
        <v>397</v>
      </c>
      <c r="Q9" s="86" t="s">
        <v>357</v>
      </c>
      <c r="R9" s="91">
        <v>32222</v>
      </c>
      <c r="S9" s="86" t="s">
        <v>411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493</v>
      </c>
      <c r="G10" s="86"/>
      <c r="H10" s="86" t="s">
        <v>205</v>
      </c>
      <c r="I10" s="87">
        <v>6</v>
      </c>
      <c r="J10" s="91">
        <v>46070</v>
      </c>
      <c r="K10" s="88" t="s">
        <v>279</v>
      </c>
      <c r="L10" s="88" t="s">
        <v>425</v>
      </c>
      <c r="M10" s="86">
        <v>701918068</v>
      </c>
      <c r="N10" s="89" t="s">
        <v>309</v>
      </c>
      <c r="O10" s="91">
        <v>43585</v>
      </c>
      <c r="P10" s="86" t="s">
        <v>397</v>
      </c>
      <c r="Q10" s="86" t="s">
        <v>357</v>
      </c>
      <c r="R10" s="91">
        <v>34765</v>
      </c>
      <c r="S10" s="86" t="s">
        <v>411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264</v>
      </c>
      <c r="E11" s="86"/>
      <c r="F11" s="86"/>
      <c r="G11" s="86"/>
      <c r="H11" s="86"/>
      <c r="I11" s="87"/>
      <c r="J11" s="87"/>
      <c r="K11" s="88" t="s">
        <v>278</v>
      </c>
      <c r="L11" s="88" t="s">
        <v>291</v>
      </c>
      <c r="M11" s="86">
        <v>745400320</v>
      </c>
      <c r="N11" s="89" t="s">
        <v>387</v>
      </c>
      <c r="O11" s="91">
        <v>46023</v>
      </c>
      <c r="P11" s="86" t="s">
        <v>392</v>
      </c>
      <c r="Q11" s="86" t="s">
        <v>357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280</v>
      </c>
      <c r="L12" s="88" t="s">
        <v>502</v>
      </c>
      <c r="M12" s="86">
        <v>710953297</v>
      </c>
      <c r="N12" s="89" t="s">
        <v>310</v>
      </c>
      <c r="O12" s="91">
        <v>43498</v>
      </c>
      <c r="P12" s="86" t="s">
        <v>397</v>
      </c>
      <c r="Q12" s="86" t="s">
        <v>357</v>
      </c>
      <c r="R12" s="91">
        <v>34566</v>
      </c>
      <c r="S12" s="86"/>
      <c r="T12" s="90"/>
      <c r="U12" s="90"/>
    </row>
    <row r="13" spans="1:21" x14ac:dyDescent="0.25">
      <c r="A13" s="86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3" s="86" t="str">
        <f>UPPER(_xlfn.TEXTBEFORE(TRIM(tblPeople[[#This Row],[PersonName]])," "))</f>
        <v>KEA</v>
      </c>
      <c r="C13" s="86" t="str">
        <f>UPPER(_xlfn.TEXTAFTER(TRIM(tblPeople[[#This Row],[PersonName]])," ",-1))</f>
        <v>KAZUNGU</v>
      </c>
      <c r="D13" s="86" t="s">
        <v>145</v>
      </c>
      <c r="E13" s="86"/>
      <c r="F13" s="86" t="s">
        <v>495</v>
      </c>
      <c r="G13" s="86"/>
      <c r="H13" s="86" t="s">
        <v>207</v>
      </c>
      <c r="I13" s="87"/>
      <c r="J13" s="87"/>
      <c r="K13" s="88" t="s">
        <v>287</v>
      </c>
      <c r="L13" s="88" t="s">
        <v>590</v>
      </c>
      <c r="M13" s="86">
        <v>728308978</v>
      </c>
      <c r="N13" s="89" t="s">
        <v>312</v>
      </c>
      <c r="O13" s="91">
        <v>43017</v>
      </c>
      <c r="P13" s="86" t="s">
        <v>397</v>
      </c>
      <c r="Q13" s="86" t="s">
        <v>357</v>
      </c>
      <c r="R13" s="86"/>
      <c r="S13" s="86"/>
      <c r="T13" s="90"/>
      <c r="U13" s="90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4" s="86" t="str">
        <f>UPPER(_xlfn.TEXTBEFORE(TRIM(tblPeople[[#This Row],[PersonName]])," "))</f>
        <v>EDWIN</v>
      </c>
      <c r="C14" s="86" t="str">
        <f>UPPER(_xlfn.TEXTAFTER(TRIM(tblPeople[[#This Row],[PersonName]])," ",-1))</f>
        <v>KEMEI</v>
      </c>
      <c r="D14" s="86" t="s">
        <v>148</v>
      </c>
      <c r="E14" s="86"/>
      <c r="F14" s="86"/>
      <c r="G14" s="86"/>
      <c r="H14" s="86"/>
      <c r="I14" s="87"/>
      <c r="J14" s="86"/>
      <c r="K14" s="88" t="s">
        <v>581</v>
      </c>
      <c r="L14" s="88" t="s">
        <v>285</v>
      </c>
      <c r="M14" s="86">
        <v>720778010</v>
      </c>
      <c r="N14" s="89" t="s">
        <v>313</v>
      </c>
      <c r="O14" s="91">
        <v>43480</v>
      </c>
      <c r="P14" s="86" t="s">
        <v>397</v>
      </c>
      <c r="Q14" s="86" t="s">
        <v>357</v>
      </c>
      <c r="R14" s="91">
        <v>30627</v>
      </c>
      <c r="S14" s="86" t="s">
        <v>500</v>
      </c>
      <c r="T14" s="90"/>
      <c r="U14" s="90"/>
    </row>
    <row r="15" spans="1:21" ht="54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5" s="86" t="str">
        <f>UPPER(_xlfn.TEXTBEFORE(TRIM(tblPeople[[#This Row],[PersonName]])," "))</f>
        <v>WALTER</v>
      </c>
      <c r="C15" s="86" t="str">
        <f>UPPER(_xlfn.TEXTAFTER(TRIM(tblPeople[[#This Row],[PersonName]])," ",-1))</f>
        <v>KIBET</v>
      </c>
      <c r="D15" s="86" t="s">
        <v>10</v>
      </c>
      <c r="E15" s="86">
        <v>35075081</v>
      </c>
      <c r="F15" s="93" t="s">
        <v>490</v>
      </c>
      <c r="G15" s="93"/>
      <c r="H15" s="86" t="s">
        <v>192</v>
      </c>
      <c r="I15" s="87">
        <v>12</v>
      </c>
      <c r="J15" s="87"/>
      <c r="K15" s="88" t="s">
        <v>578</v>
      </c>
      <c r="L15" s="88" t="s">
        <v>425</v>
      </c>
      <c r="M15" s="86">
        <v>790900754</v>
      </c>
      <c r="N15" s="89" t="s">
        <v>314</v>
      </c>
      <c r="O15" s="91">
        <v>45721</v>
      </c>
      <c r="P15" s="86" t="s">
        <v>397</v>
      </c>
      <c r="Q15" s="86" t="s">
        <v>357</v>
      </c>
      <c r="R15" s="91">
        <v>36002</v>
      </c>
      <c r="S15" s="86" t="s">
        <v>497</v>
      </c>
      <c r="T15" s="90"/>
      <c r="U15" s="90"/>
    </row>
    <row r="16" spans="1:21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6" s="86" t="str">
        <f>UPPER(_xlfn.TEXTBEFORE(TRIM(tblPeople[[#This Row],[PersonName]])," "))</f>
        <v>BERNARD</v>
      </c>
      <c r="C16" s="86" t="str">
        <f>UPPER(_xlfn.TEXTAFTER(TRIM(tblPeople[[#This Row],[PersonName]])," ",-1))</f>
        <v>KIBIWOTT</v>
      </c>
      <c r="D16" s="86" t="s">
        <v>70</v>
      </c>
      <c r="E16" s="86"/>
      <c r="F16" s="86"/>
      <c r="G16" s="86"/>
      <c r="H16" s="86"/>
      <c r="I16" s="87"/>
      <c r="J16" s="86"/>
      <c r="K16" s="88" t="s">
        <v>581</v>
      </c>
      <c r="L16" s="88" t="s">
        <v>285</v>
      </c>
      <c r="M16" s="86">
        <v>770404073</v>
      </c>
      <c r="N16" s="89" t="s">
        <v>315</v>
      </c>
      <c r="O16" s="86"/>
      <c r="P16" s="86"/>
      <c r="Q16" s="86" t="s">
        <v>357</v>
      </c>
      <c r="R16" s="86"/>
      <c r="S16" s="86"/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7" s="86" t="str">
        <f>UPPER(_xlfn.TEXTBEFORE(TRIM(tblPeople[[#This Row],[PersonName]])," "))</f>
        <v>JOHN</v>
      </c>
      <c r="C17" s="86" t="str">
        <f>UPPER(_xlfn.TEXTAFTER(TRIM(tblPeople[[#This Row],[PersonName]])," ",-1))</f>
        <v>KIHARA</v>
      </c>
      <c r="D17" s="86" t="s">
        <v>150</v>
      </c>
      <c r="E17" s="86"/>
      <c r="F17" s="86"/>
      <c r="G17" s="86"/>
      <c r="H17" s="86"/>
      <c r="I17" s="87"/>
      <c r="J17" s="86"/>
      <c r="K17" s="88" t="s">
        <v>578</v>
      </c>
      <c r="L17" s="88" t="s">
        <v>282</v>
      </c>
      <c r="M17" s="86">
        <v>704705630</v>
      </c>
      <c r="N17" s="89" t="s">
        <v>316</v>
      </c>
      <c r="O17" s="86"/>
      <c r="P17" s="86"/>
      <c r="Q17" s="86" t="s">
        <v>357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8" s="86" t="str">
        <f>UPPER(_xlfn.TEXTBEFORE(TRIM(tblPeople[[#This Row],[PersonName]])," "))</f>
        <v>CHRISPUS</v>
      </c>
      <c r="C18" s="86" t="str">
        <f>UPPER(_xlfn.TEXTAFTER(TRIM(tblPeople[[#This Row],[PersonName]])," ",-1))</f>
        <v>KING'ORI</v>
      </c>
      <c r="D18" s="86" t="s">
        <v>66</v>
      </c>
      <c r="E18" s="86"/>
      <c r="F18" s="86"/>
      <c r="G18" s="86"/>
      <c r="H18" s="86"/>
      <c r="I18" s="87"/>
      <c r="J18" s="86"/>
      <c r="K18" s="88" t="s">
        <v>279</v>
      </c>
      <c r="L18" s="88" t="s">
        <v>282</v>
      </c>
      <c r="M18" s="86">
        <v>745217755</v>
      </c>
      <c r="N18" s="89" t="s">
        <v>317</v>
      </c>
      <c r="O18" s="86"/>
      <c r="P18" s="86"/>
      <c r="Q18" s="86" t="s">
        <v>357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19" s="86" t="str">
        <f>UPPER(_xlfn.TEXTBEFORE(TRIM(tblPeople[[#This Row],[PersonName]])," "))</f>
        <v>DUNSTAN</v>
      </c>
      <c r="C19" s="86" t="str">
        <f>UPPER(_xlfn.TEXTAFTER(TRIM(tblPeople[[#This Row],[PersonName]])," ",-1))</f>
        <v>KWALANDA</v>
      </c>
      <c r="D19" s="86" t="s">
        <v>61</v>
      </c>
      <c r="E19" s="86"/>
      <c r="F19" s="86"/>
      <c r="G19" s="86"/>
      <c r="H19" s="86"/>
      <c r="I19" s="87"/>
      <c r="J19" s="87"/>
      <c r="K19" s="88" t="s">
        <v>279</v>
      </c>
      <c r="L19" s="88" t="s">
        <v>282</v>
      </c>
      <c r="M19" s="86">
        <v>746340792</v>
      </c>
      <c r="N19" s="89" t="s">
        <v>318</v>
      </c>
      <c r="O19" s="86"/>
      <c r="P19" s="86"/>
      <c r="Q19" s="86" t="s">
        <v>357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0" s="86" t="str">
        <f>UPPER(_xlfn.TEXTBEFORE(TRIM(tblPeople[[#This Row],[PersonName]])," "))</f>
        <v>FRED</v>
      </c>
      <c r="C20" s="86" t="str">
        <f>UPPER(_xlfn.TEXTAFTER(TRIM(tblPeople[[#This Row],[PersonName]])," ",-1))</f>
        <v>MAGOTSI</v>
      </c>
      <c r="D20" s="86" t="s">
        <v>53</v>
      </c>
      <c r="E20" s="86">
        <v>20512380</v>
      </c>
      <c r="F20" s="86"/>
      <c r="G20" s="86"/>
      <c r="H20" s="86"/>
      <c r="I20" s="87" t="s">
        <v>197</v>
      </c>
      <c r="J20" s="87"/>
      <c r="K20" s="88" t="s">
        <v>279</v>
      </c>
      <c r="L20" s="88" t="s">
        <v>426</v>
      </c>
      <c r="M20" s="86">
        <v>737064864</v>
      </c>
      <c r="N20" s="89" t="s">
        <v>319</v>
      </c>
      <c r="O20" s="91">
        <v>43497</v>
      </c>
      <c r="P20" s="86" t="s">
        <v>397</v>
      </c>
      <c r="Q20" s="86" t="s">
        <v>357</v>
      </c>
      <c r="R20" s="91">
        <v>28635</v>
      </c>
      <c r="S20" s="86"/>
      <c r="T20" s="90"/>
      <c r="U20" s="90"/>
    </row>
    <row r="21" spans="1:21" ht="94.5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1" s="86" t="str">
        <f>UPPER(_xlfn.TEXTBEFORE(TRIM(tblPeople[[#This Row],[PersonName]])," "))</f>
        <v>WILLIAM</v>
      </c>
      <c r="C21" s="86" t="str">
        <f>UPPER(_xlfn.TEXTAFTER(TRIM(tblPeople[[#This Row],[PersonName]])," ",-1))</f>
        <v>MLATI</v>
      </c>
      <c r="D21" s="86" t="s">
        <v>46</v>
      </c>
      <c r="E21" s="86">
        <v>23318157</v>
      </c>
      <c r="F21" s="93" t="s">
        <v>498</v>
      </c>
      <c r="G21" s="86"/>
      <c r="H21" s="86" t="s">
        <v>182</v>
      </c>
      <c r="I21" s="87">
        <v>1</v>
      </c>
      <c r="J21" s="92">
        <v>43423</v>
      </c>
      <c r="K21" s="88" t="s">
        <v>279</v>
      </c>
      <c r="L21" s="88" t="s">
        <v>587</v>
      </c>
      <c r="M21" s="86">
        <v>715338209</v>
      </c>
      <c r="N21" s="89" t="s">
        <v>321</v>
      </c>
      <c r="O21" s="91">
        <v>43017</v>
      </c>
      <c r="P21" s="86" t="s">
        <v>397</v>
      </c>
      <c r="Q21" s="86" t="s">
        <v>357</v>
      </c>
      <c r="R21" s="91">
        <v>30141</v>
      </c>
      <c r="S21" s="86" t="s">
        <v>417</v>
      </c>
      <c r="T21" s="90"/>
      <c r="U21" s="90"/>
    </row>
    <row r="22" spans="1:21" ht="81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2" s="86" t="str">
        <f>UPPER(_xlfn.TEXTBEFORE(TRIM(tblPeople[[#This Row],[PersonName]])," "))</f>
        <v>MAJID</v>
      </c>
      <c r="C22" s="86" t="str">
        <f>UPPER(_xlfn.TEXTAFTER(TRIM(tblPeople[[#This Row],[PersonName]])," ",-1))</f>
        <v>MOHAMED</v>
      </c>
      <c r="D22" s="86" t="s">
        <v>151</v>
      </c>
      <c r="E22" s="86">
        <v>21640493</v>
      </c>
      <c r="F22" s="93" t="s">
        <v>491</v>
      </c>
      <c r="G22" s="93"/>
      <c r="H22" s="86" t="s">
        <v>199</v>
      </c>
      <c r="I22" s="87">
        <v>20</v>
      </c>
      <c r="J22" s="92">
        <v>45646</v>
      </c>
      <c r="K22" s="88" t="s">
        <v>279</v>
      </c>
      <c r="L22" s="88" t="s">
        <v>425</v>
      </c>
      <c r="M22" s="86">
        <v>727899666</v>
      </c>
      <c r="N22" s="89" t="s">
        <v>323</v>
      </c>
      <c r="O22" s="91">
        <v>45292</v>
      </c>
      <c r="P22" s="86" t="s">
        <v>392</v>
      </c>
      <c r="Q22" s="86" t="s">
        <v>357</v>
      </c>
      <c r="R22" s="91">
        <v>28461</v>
      </c>
      <c r="S22" s="86" t="s">
        <v>411</v>
      </c>
      <c r="T22" s="90" t="s">
        <v>485</v>
      </c>
      <c r="U22" s="90"/>
    </row>
    <row r="23" spans="1:21" ht="54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3" s="86" t="str">
        <f>UPPER(_xlfn.TEXTBEFORE(TRIM(tblPeople[[#This Row],[PersonName]])," "))</f>
        <v>THADEUS</v>
      </c>
      <c r="C23" s="86" t="str">
        <f>UPPER(_xlfn.TEXTAFTER(TRIM(tblPeople[[#This Row],[PersonName]])," ",-1))</f>
        <v>MONG’ARE</v>
      </c>
      <c r="D23" s="86" t="s">
        <v>96</v>
      </c>
      <c r="E23" s="86">
        <v>30340338</v>
      </c>
      <c r="F23" s="86" t="s">
        <v>492</v>
      </c>
      <c r="G23" s="93" t="s">
        <v>489</v>
      </c>
      <c r="H23" s="86" t="s">
        <v>297</v>
      </c>
      <c r="I23" s="87">
        <v>16</v>
      </c>
      <c r="J23" s="92">
        <v>46161</v>
      </c>
      <c r="K23" s="88" t="s">
        <v>578</v>
      </c>
      <c r="L23" s="88" t="s">
        <v>425</v>
      </c>
      <c r="M23" s="86">
        <v>713079830</v>
      </c>
      <c r="N23" s="89" t="s">
        <v>324</v>
      </c>
      <c r="O23" s="91">
        <v>44515</v>
      </c>
      <c r="P23" s="86" t="s">
        <v>392</v>
      </c>
      <c r="Q23" s="86" t="s">
        <v>357</v>
      </c>
      <c r="R23" s="91">
        <v>33873</v>
      </c>
      <c r="S23" s="86" t="s">
        <v>413</v>
      </c>
      <c r="T23" s="90"/>
      <c r="U23" s="90"/>
    </row>
    <row r="24" spans="1:21" x14ac:dyDescent="0.25">
      <c r="A24" s="86" t="s">
        <v>354</v>
      </c>
      <c r="B24" s="86" t="str">
        <f>UPPER(_xlfn.TEXTBEFORE(TRIM(tblPeople[[#This Row],[PersonName]])," "))</f>
        <v>JACKLINE</v>
      </c>
      <c r="C24" s="86" t="str">
        <f>UPPER(_xlfn.TEXTAFTER(TRIM(tblPeople[[#This Row],[PersonName]])," ",-1))</f>
        <v>MUEMBU</v>
      </c>
      <c r="D24" s="86" t="s">
        <v>154</v>
      </c>
      <c r="E24" s="86"/>
      <c r="F24" s="86"/>
      <c r="G24" s="86"/>
      <c r="H24" s="86"/>
      <c r="I24" s="87"/>
      <c r="J24" s="86"/>
      <c r="K24" s="88" t="s">
        <v>280</v>
      </c>
      <c r="L24" s="88" t="s">
        <v>288</v>
      </c>
      <c r="M24" s="86">
        <v>726909849</v>
      </c>
      <c r="N24" s="89" t="s">
        <v>325</v>
      </c>
      <c r="O24" s="86"/>
      <c r="P24" s="86"/>
      <c r="Q24" s="86" t="s">
        <v>357</v>
      </c>
      <c r="R24" s="86"/>
      <c r="S24" s="86"/>
      <c r="T24" s="90"/>
      <c r="U24" s="90"/>
    </row>
    <row r="25" spans="1:21" x14ac:dyDescent="0.25">
      <c r="A25" s="86" t="s">
        <v>155</v>
      </c>
      <c r="B25" s="86" t="str">
        <f>UPPER(_xlfn.TEXTBEFORE(TRIM(tblPeople[[#This Row],[PersonName]])," "))</f>
        <v>URBANUS</v>
      </c>
      <c r="C25" s="86" t="str">
        <f>UPPER(_xlfn.TEXTAFTER(TRIM(tblPeople[[#This Row],[PersonName]])," ",-1))</f>
        <v>MUEMA</v>
      </c>
      <c r="D25" s="86" t="s">
        <v>68</v>
      </c>
      <c r="E25" s="86"/>
      <c r="F25" s="86"/>
      <c r="G25" s="86"/>
      <c r="H25" s="86"/>
      <c r="I25" s="87"/>
      <c r="J25" s="86"/>
      <c r="K25" s="88" t="s">
        <v>279</v>
      </c>
      <c r="L25" s="88" t="s">
        <v>282</v>
      </c>
      <c r="M25" s="86">
        <v>721623780</v>
      </c>
      <c r="N25" s="89" t="s">
        <v>326</v>
      </c>
      <c r="O25" s="91">
        <v>44682</v>
      </c>
      <c r="P25" s="86" t="s">
        <v>392</v>
      </c>
      <c r="Q25" s="86" t="s">
        <v>357</v>
      </c>
      <c r="R25" s="86"/>
      <c r="S25" s="86"/>
      <c r="T25" s="90"/>
      <c r="U25" s="90"/>
    </row>
    <row r="26" spans="1:21" x14ac:dyDescent="0.25">
      <c r="A26" s="86" t="str" cm="1">
        <f t="array" ref="A2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6" s="86" t="str">
        <f>UPPER(_xlfn.TEXTBEFORE(TRIM(tblPeople[[#This Row],[PersonName]])," "))</f>
        <v>JAMES</v>
      </c>
      <c r="C26" s="86" t="str">
        <f>UPPER(_xlfn.TEXTAFTER(TRIM(tblPeople[[#This Row],[PersonName]])," ",-1))</f>
        <v>MUGO</v>
      </c>
      <c r="D26" s="86" t="s">
        <v>9</v>
      </c>
      <c r="E26" s="86"/>
      <c r="F26" s="86"/>
      <c r="G26" s="86"/>
      <c r="H26" s="86"/>
      <c r="I26" s="87"/>
      <c r="J26" s="86"/>
      <c r="K26" s="88" t="s">
        <v>279</v>
      </c>
      <c r="L26" s="88" t="s">
        <v>282</v>
      </c>
      <c r="M26" s="86">
        <v>724655657</v>
      </c>
      <c r="N26" s="89" t="s">
        <v>322</v>
      </c>
      <c r="O26" s="91">
        <v>43017</v>
      </c>
      <c r="P26" s="86" t="s">
        <v>397</v>
      </c>
      <c r="Q26" s="86" t="s">
        <v>357</v>
      </c>
      <c r="R26" s="91">
        <v>26374</v>
      </c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7" s="86" t="str">
        <f>UPPER(_xlfn.TEXTBEFORE(TRIM(tblPeople[[#This Row],[PersonName]])," "))</f>
        <v>PRUDENCE</v>
      </c>
      <c r="C27" s="86" t="str">
        <f>UPPER(_xlfn.TEXTAFTER(TRIM(tblPeople[[#This Row],[PersonName]])," ",-1))</f>
        <v>MUHAMI</v>
      </c>
      <c r="D27" s="86" t="s">
        <v>263</v>
      </c>
      <c r="E27" s="86"/>
      <c r="F27" s="86"/>
      <c r="G27" s="86"/>
      <c r="H27" s="86"/>
      <c r="I27" s="87"/>
      <c r="J27" s="87"/>
      <c r="K27" s="88" t="s">
        <v>278</v>
      </c>
      <c r="L27" s="88" t="s">
        <v>291</v>
      </c>
      <c r="M27" s="86">
        <v>759887944</v>
      </c>
      <c r="N27" s="89" t="s">
        <v>388</v>
      </c>
      <c r="O27" s="91">
        <v>46023</v>
      </c>
      <c r="P27" s="86" t="s">
        <v>392</v>
      </c>
      <c r="Q27" s="86" t="s">
        <v>357</v>
      </c>
      <c r="R27" s="91">
        <v>38731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8" s="86" t="str">
        <f>UPPER(_xlfn.TEXTBEFORE(TRIM(tblPeople[[#This Row],[PersonName]])," "))</f>
        <v>JAMES</v>
      </c>
      <c r="C28" s="86" t="str">
        <f>UPPER(_xlfn.TEXTAFTER(TRIM(tblPeople[[#This Row],[PersonName]])," ",-1))</f>
        <v>MUISYO</v>
      </c>
      <c r="D28" s="86" t="s">
        <v>262</v>
      </c>
      <c r="E28" s="86">
        <v>37150714</v>
      </c>
      <c r="F28" s="86"/>
      <c r="G28" s="86"/>
      <c r="H28" s="86"/>
      <c r="I28" s="87"/>
      <c r="J28" s="87"/>
      <c r="K28" s="88" t="s">
        <v>295</v>
      </c>
      <c r="L28" s="88" t="s">
        <v>296</v>
      </c>
      <c r="M28" s="86">
        <v>719199733</v>
      </c>
      <c r="N28" s="89" t="s">
        <v>352</v>
      </c>
      <c r="O28" s="91">
        <v>46023</v>
      </c>
      <c r="P28" s="86" t="s">
        <v>392</v>
      </c>
      <c r="Q28" s="86" t="s">
        <v>357</v>
      </c>
      <c r="R28" s="91">
        <v>36508</v>
      </c>
      <c r="S28" s="86" t="s">
        <v>416</v>
      </c>
      <c r="T28" s="90"/>
      <c r="U28" s="90"/>
    </row>
    <row r="29" spans="1:21" x14ac:dyDescent="0.25">
      <c r="A29" s="86" t="s">
        <v>100</v>
      </c>
      <c r="B29" s="86" t="str">
        <f>UPPER(_xlfn.TEXTBEFORE(TRIM(tblPeople[[#This Row],[PersonName]])," "))</f>
        <v>JOHN</v>
      </c>
      <c r="C29" s="86" t="str">
        <f>UPPER(_xlfn.TEXTAFTER(TRIM(tblPeople[[#This Row],[PersonName]])," ",-1))</f>
        <v>MURIITHI</v>
      </c>
      <c r="D29" s="86" t="s">
        <v>48</v>
      </c>
      <c r="E29" s="86">
        <v>24958782</v>
      </c>
      <c r="F29" s="86" t="s">
        <v>486</v>
      </c>
      <c r="G29" s="86"/>
      <c r="H29" s="86" t="s">
        <v>200</v>
      </c>
      <c r="I29" s="87">
        <v>19</v>
      </c>
      <c r="J29" s="92">
        <v>45086</v>
      </c>
      <c r="K29" s="88" t="s">
        <v>578</v>
      </c>
      <c r="L29" s="88" t="s">
        <v>425</v>
      </c>
      <c r="M29" s="86">
        <v>727753764</v>
      </c>
      <c r="N29" s="89" t="s">
        <v>389</v>
      </c>
      <c r="O29" s="91">
        <v>43444</v>
      </c>
      <c r="P29" s="86" t="s">
        <v>392</v>
      </c>
      <c r="Q29" s="86" t="s">
        <v>357</v>
      </c>
      <c r="R29" s="91">
        <v>31755</v>
      </c>
      <c r="S29" s="86" t="s">
        <v>414</v>
      </c>
      <c r="T29" s="90"/>
      <c r="U29" s="90"/>
    </row>
    <row r="30" spans="1:21" ht="27" x14ac:dyDescent="0.25">
      <c r="A30" s="86" t="s">
        <v>135</v>
      </c>
      <c r="B30" s="86" t="str">
        <f>UPPER(_xlfn.TEXTBEFORE(TRIM(tblPeople[[#This Row],[PersonName]])," "))</f>
        <v>FRANCIS</v>
      </c>
      <c r="C30" s="86" t="str">
        <f>UPPER(_xlfn.TEXTAFTER(TRIM(tblPeople[[#This Row],[PersonName]])," ",-1))</f>
        <v>MURIUKI</v>
      </c>
      <c r="D30" s="86" t="s">
        <v>54</v>
      </c>
      <c r="E30" s="86">
        <v>22202120</v>
      </c>
      <c r="F30" s="93" t="s">
        <v>493</v>
      </c>
      <c r="G30" s="86"/>
      <c r="H30" s="86" t="s">
        <v>173</v>
      </c>
      <c r="I30" s="87">
        <v>9</v>
      </c>
      <c r="J30" s="92">
        <v>43914</v>
      </c>
      <c r="K30" s="88" t="s">
        <v>279</v>
      </c>
      <c r="L30" s="88" t="s">
        <v>588</v>
      </c>
      <c r="M30" s="86">
        <v>724795398</v>
      </c>
      <c r="N30" s="89" t="s">
        <v>327</v>
      </c>
      <c r="O30" s="91">
        <v>43678</v>
      </c>
      <c r="P30" s="86" t="s">
        <v>397</v>
      </c>
      <c r="Q30" s="86" t="s">
        <v>357</v>
      </c>
      <c r="R30" s="91">
        <v>28464</v>
      </c>
      <c r="S30" s="86" t="s">
        <v>415</v>
      </c>
      <c r="T30" s="90"/>
      <c r="U30" s="90"/>
    </row>
    <row r="31" spans="1:21" x14ac:dyDescent="0.25">
      <c r="A31" s="86" t="str" cm="1">
        <f t="array" ref="A3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1" s="86" t="str">
        <f>UPPER(_xlfn.TEXTBEFORE(TRIM(tblPeople[[#This Row],[PersonName]])," "))</f>
        <v>PATRICK</v>
      </c>
      <c r="C31" s="86" t="str">
        <f>UPPER(_xlfn.TEXTAFTER(TRIM(tblPeople[[#This Row],[PersonName]])," ",-1))</f>
        <v>MUSAU</v>
      </c>
      <c r="D31" s="86" t="s">
        <v>52</v>
      </c>
      <c r="E31" s="86"/>
      <c r="F31" s="86"/>
      <c r="G31" s="86"/>
      <c r="H31" s="86"/>
      <c r="I31" s="87"/>
      <c r="J31" s="86"/>
      <c r="K31" s="88" t="s">
        <v>581</v>
      </c>
      <c r="L31" s="88" t="s">
        <v>285</v>
      </c>
      <c r="M31" s="86">
        <v>728859691</v>
      </c>
      <c r="N31" s="89" t="s">
        <v>328</v>
      </c>
      <c r="O31" s="86"/>
      <c r="P31" s="86"/>
      <c r="Q31" s="86" t="s">
        <v>357</v>
      </c>
      <c r="R31" s="86"/>
      <c r="S31" s="86"/>
      <c r="T31" s="90"/>
      <c r="U31" s="90"/>
    </row>
    <row r="32" spans="1:21" x14ac:dyDescent="0.25">
      <c r="A32" s="86" t="s">
        <v>156</v>
      </c>
      <c r="B32" s="86" t="str">
        <f>UPPER(_xlfn.TEXTBEFORE(TRIM(tblPeople[[#This Row],[PersonName]])," "))</f>
        <v>STEPHEN</v>
      </c>
      <c r="C32" s="86" t="str">
        <f>UPPER(_xlfn.TEXTAFTER(TRIM(tblPeople[[#This Row],[PersonName]])," ",-1))</f>
        <v>MUTAMBU</v>
      </c>
      <c r="D32" s="86" t="s">
        <v>51</v>
      </c>
      <c r="E32" s="86"/>
      <c r="F32" s="86"/>
      <c r="G32" s="86"/>
      <c r="H32" s="86"/>
      <c r="I32" s="87"/>
      <c r="J32" s="86"/>
      <c r="K32" s="88" t="s">
        <v>279</v>
      </c>
      <c r="L32" s="88" t="s">
        <v>289</v>
      </c>
      <c r="M32" s="86">
        <v>727668204</v>
      </c>
      <c r="N32" s="89" t="s">
        <v>329</v>
      </c>
      <c r="O32" s="91">
        <v>43864</v>
      </c>
      <c r="P32" s="86" t="s">
        <v>397</v>
      </c>
      <c r="Q32" s="86" t="s">
        <v>357</v>
      </c>
      <c r="R32" s="86"/>
      <c r="S32" s="86"/>
      <c r="T32" s="90"/>
      <c r="U32" s="90"/>
    </row>
    <row r="33" spans="1:21" x14ac:dyDescent="0.25">
      <c r="A33" s="86" t="str" cm="1">
        <f t="array" ref="A3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3" s="86" t="str">
        <f>UPPER(_xlfn.TEXTBEFORE(TRIM(tblPeople[[#This Row],[PersonName]])," "))</f>
        <v>MOSES</v>
      </c>
      <c r="C33" s="86" t="str">
        <f>UPPER(_xlfn.TEXTAFTER(TRIM(tblPeople[[#This Row],[PersonName]])," ",-1))</f>
        <v>MUSYOKA</v>
      </c>
      <c r="D33" s="86" t="s">
        <v>63</v>
      </c>
      <c r="E33" s="86"/>
      <c r="F33" s="86"/>
      <c r="G33" s="86"/>
      <c r="H33" s="86"/>
      <c r="I33" s="87"/>
      <c r="J33" s="86"/>
      <c r="K33" s="88" t="s">
        <v>279</v>
      </c>
      <c r="L33" s="88" t="s">
        <v>282</v>
      </c>
      <c r="M33" s="86">
        <v>719274127</v>
      </c>
      <c r="N33" s="89" t="s">
        <v>330</v>
      </c>
      <c r="O33" s="86"/>
      <c r="P33" s="86"/>
      <c r="Q33" s="86" t="s">
        <v>357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4" s="86" t="str">
        <f>UPPER(_xlfn.TEXTBEFORE(TRIM(tblPeople[[#This Row],[PersonName]])," "))</f>
        <v>PHILIP</v>
      </c>
      <c r="C34" s="86" t="str">
        <f>UPPER(_xlfn.TEXTAFTER(TRIM(tblPeople[[#This Row],[PersonName]])," ",-1))</f>
        <v>MWANIA</v>
      </c>
      <c r="D34" s="86" t="s">
        <v>73</v>
      </c>
      <c r="E34" s="86">
        <v>7113683</v>
      </c>
      <c r="F34" s="86" t="s">
        <v>492</v>
      </c>
      <c r="G34" s="86"/>
      <c r="H34" s="86" t="s">
        <v>195</v>
      </c>
      <c r="I34" s="87">
        <v>5</v>
      </c>
      <c r="J34" s="92">
        <v>43423</v>
      </c>
      <c r="K34" s="88" t="s">
        <v>578</v>
      </c>
      <c r="L34" s="88" t="s">
        <v>425</v>
      </c>
      <c r="M34" s="86">
        <v>721244191</v>
      </c>
      <c r="N34" s="89" t="s">
        <v>331</v>
      </c>
      <c r="O34" s="91">
        <v>43020</v>
      </c>
      <c r="P34" s="86" t="s">
        <v>397</v>
      </c>
      <c r="Q34" s="86" t="s">
        <v>357</v>
      </c>
      <c r="R34" s="91">
        <v>21313</v>
      </c>
      <c r="S34" s="86" t="s">
        <v>409</v>
      </c>
      <c r="T34" s="90"/>
      <c r="U34" s="90"/>
    </row>
    <row r="35" spans="1:21" hidden="1" x14ac:dyDescent="0.25">
      <c r="A35" t="s">
        <v>113</v>
      </c>
      <c r="B35" t="str">
        <f>UPPER(_xlfn.TEXTBEFORE(TRIM(tblPeople[[#This Row],[PersonName]])," "))</f>
        <v>ANN</v>
      </c>
      <c r="C35" t="str">
        <f>UPPER(_xlfn.TEXTAFTER(TRIM(tblPeople[[#This Row],[PersonName]])," ",-1))</f>
        <v>MWANGI</v>
      </c>
      <c r="D35" t="s">
        <v>214</v>
      </c>
      <c r="E35"/>
      <c r="F35"/>
      <c r="G35"/>
      <c r="H35"/>
      <c r="I35"/>
      <c r="J35"/>
      <c r="K35" s="75"/>
      <c r="L35" s="75"/>
      <c r="M35"/>
      <c r="N35" s="49"/>
      <c r="O35"/>
      <c r="P35"/>
      <c r="Q35" t="s">
        <v>358</v>
      </c>
      <c r="R35"/>
      <c r="S35"/>
      <c r="T35"/>
      <c r="U35"/>
    </row>
    <row r="36" spans="1:21" x14ac:dyDescent="0.25">
      <c r="A36" s="86" t="s">
        <v>112</v>
      </c>
      <c r="B36" s="86" t="str">
        <f>UPPER(_xlfn.TEXTBEFORE(TRIM(tblPeople[[#This Row],[PersonName]])," "))</f>
        <v>PATRICK</v>
      </c>
      <c r="C36" s="86" t="str">
        <f>UPPER(_xlfn.TEXTAFTER(TRIM(tblPeople[[#This Row],[PersonName]])," ",-1))</f>
        <v>MWANGI</v>
      </c>
      <c r="D36" s="86" t="s">
        <v>74</v>
      </c>
      <c r="E36" s="86">
        <v>22230994</v>
      </c>
      <c r="F36" s="86"/>
      <c r="G36" s="86"/>
      <c r="H36" s="86"/>
      <c r="I36" s="87"/>
      <c r="J36" s="86"/>
      <c r="K36" s="88" t="s">
        <v>279</v>
      </c>
      <c r="L36" s="88" t="s">
        <v>282</v>
      </c>
      <c r="M36" s="86">
        <v>725672220</v>
      </c>
      <c r="N36" s="89" t="s">
        <v>332</v>
      </c>
      <c r="O36" s="86"/>
      <c r="P36" s="86"/>
      <c r="Q36" s="86" t="s">
        <v>357</v>
      </c>
      <c r="R36" s="86"/>
      <c r="S36" s="86"/>
      <c r="T36" s="90"/>
      <c r="U36" s="90"/>
    </row>
    <row r="37" spans="1:21" x14ac:dyDescent="0.25">
      <c r="A37" s="86" t="str" cm="1">
        <f t="array" ref="A3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7" s="86" t="str">
        <f>UPPER(_xlfn.TEXTBEFORE(TRIM(tblPeople[[#This Row],[PersonName]])," "))</f>
        <v>GIDEON</v>
      </c>
      <c r="C37" s="86" t="str">
        <f>UPPER(_xlfn.TEXTAFTER(TRIM(tblPeople[[#This Row],[PersonName]])," ",-1))</f>
        <v>MWASIO</v>
      </c>
      <c r="D37" s="86" t="s">
        <v>62</v>
      </c>
      <c r="E37" s="86">
        <v>27992914</v>
      </c>
      <c r="F37" s="86"/>
      <c r="G37" s="86"/>
      <c r="H37" s="86"/>
      <c r="I37" s="87"/>
      <c r="J37" s="86"/>
      <c r="K37" s="88" t="s">
        <v>279</v>
      </c>
      <c r="L37" s="88" t="s">
        <v>282</v>
      </c>
      <c r="M37" s="86">
        <v>728940429</v>
      </c>
      <c r="N37" s="89" t="s">
        <v>320</v>
      </c>
      <c r="O37" s="86"/>
      <c r="P37" s="86"/>
      <c r="Q37" s="86" t="s">
        <v>357</v>
      </c>
      <c r="R37" s="86"/>
      <c r="S37" s="86"/>
      <c r="T37" s="90"/>
      <c r="U37" s="90"/>
    </row>
    <row r="38" spans="1:21" ht="27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8" s="86" t="str">
        <f>UPPER(_xlfn.TEXTBEFORE(TRIM(tblPeople[[#This Row],[PersonName]])," "))</f>
        <v>PAUL</v>
      </c>
      <c r="C38" s="86" t="str">
        <f>UPPER(_xlfn.TEXTAFTER(TRIM(tblPeople[[#This Row],[PersonName]])," ",-1))</f>
        <v>MZERA</v>
      </c>
      <c r="D38" s="86" t="s">
        <v>43</v>
      </c>
      <c r="E38" s="86">
        <v>12546785</v>
      </c>
      <c r="F38" s="93" t="s">
        <v>493</v>
      </c>
      <c r="G38" s="93"/>
      <c r="H38" s="86" t="s">
        <v>201</v>
      </c>
      <c r="I38" s="87">
        <v>17</v>
      </c>
      <c r="J38" s="92">
        <v>44998</v>
      </c>
      <c r="K38" s="88" t="s">
        <v>279</v>
      </c>
      <c r="L38" s="88" t="s">
        <v>425</v>
      </c>
      <c r="M38" s="86">
        <v>726836889</v>
      </c>
      <c r="N38" s="89" t="s">
        <v>333</v>
      </c>
      <c r="O38" s="91">
        <v>44690</v>
      </c>
      <c r="P38" s="86" t="s">
        <v>392</v>
      </c>
      <c r="Q38" s="86" t="s">
        <v>357</v>
      </c>
      <c r="R38" s="91">
        <v>26907</v>
      </c>
      <c r="S38" s="86" t="s">
        <v>412</v>
      </c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39" s="86" t="str">
        <f>UPPER(_xlfn.TEXTBEFORE(TRIM(tblPeople[[#This Row],[PersonName]])," "))</f>
        <v>KENDRA</v>
      </c>
      <c r="C39" s="86" t="str">
        <f>UPPER(_xlfn.TEXTAFTER(TRIM(tblPeople[[#This Row],[PersonName]])," ",-1))</f>
        <v>NAMBISIA</v>
      </c>
      <c r="D39" s="86" t="s">
        <v>56</v>
      </c>
      <c r="E39" s="86">
        <v>34942427</v>
      </c>
      <c r="F39" s="93" t="s">
        <v>493</v>
      </c>
      <c r="G39" s="93"/>
      <c r="H39" s="86" t="s">
        <v>196</v>
      </c>
      <c r="I39" s="87">
        <v>10</v>
      </c>
      <c r="J39" s="92">
        <v>45785</v>
      </c>
      <c r="K39" s="88" t="s">
        <v>279</v>
      </c>
      <c r="L39" s="88" t="s">
        <v>425</v>
      </c>
      <c r="M39" s="86">
        <v>728789598</v>
      </c>
      <c r="N39" s="89" t="s">
        <v>334</v>
      </c>
      <c r="O39" s="91">
        <v>45047</v>
      </c>
      <c r="P39" s="86" t="s">
        <v>392</v>
      </c>
      <c r="Q39" s="86" t="s">
        <v>357</v>
      </c>
      <c r="R39" s="91">
        <v>35758</v>
      </c>
      <c r="S39" s="86" t="s">
        <v>411</v>
      </c>
      <c r="T39" s="90"/>
      <c r="U39" s="90"/>
    </row>
    <row r="40" spans="1:21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0" s="86" t="str">
        <f>UPPER(_xlfn.TEXTBEFORE(TRIM(tblPeople[[#This Row],[PersonName]])," "))</f>
        <v>MICHAEL</v>
      </c>
      <c r="C40" s="86" t="str">
        <f>UPPER(_xlfn.TEXTAFTER(TRIM(tblPeople[[#This Row],[PersonName]])," ",-1))</f>
        <v>NJIHIA</v>
      </c>
      <c r="D40" s="86" t="s">
        <v>71</v>
      </c>
      <c r="E40" s="86"/>
      <c r="F40" s="86"/>
      <c r="G40" s="86"/>
      <c r="H40" s="86"/>
      <c r="I40" s="87"/>
      <c r="J40" s="86"/>
      <c r="K40" s="88" t="s">
        <v>581</v>
      </c>
      <c r="L40" s="88" t="s">
        <v>290</v>
      </c>
      <c r="M40" s="86">
        <v>711932358</v>
      </c>
      <c r="N40" s="89" t="s">
        <v>335</v>
      </c>
      <c r="O40" s="86"/>
      <c r="P40" s="86"/>
      <c r="Q40" s="86" t="s">
        <v>357</v>
      </c>
      <c r="R40" s="86"/>
      <c r="S40" s="86"/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1" s="86" t="str">
        <f>UPPER(_xlfn.TEXTBEFORE(TRIM(tblPeople[[#This Row],[PersonName]])," "))</f>
        <v>ANGELINE</v>
      </c>
      <c r="C41" s="86" t="str">
        <f>UPPER(_xlfn.TEXTAFTER(TRIM(tblPeople[[#This Row],[PersonName]])," ",-1))</f>
        <v>NTHAKYO</v>
      </c>
      <c r="D41" s="86" t="s">
        <v>157</v>
      </c>
      <c r="E41" s="86">
        <v>37892224</v>
      </c>
      <c r="F41" s="86"/>
      <c r="G41" s="86"/>
      <c r="H41" s="86"/>
      <c r="I41" s="87"/>
      <c r="J41" s="86"/>
      <c r="K41" s="88" t="s">
        <v>279</v>
      </c>
      <c r="L41" s="88" t="s">
        <v>396</v>
      </c>
      <c r="M41" s="86">
        <v>796064248</v>
      </c>
      <c r="N41" s="89" t="s">
        <v>336</v>
      </c>
      <c r="O41" s="91">
        <v>45839</v>
      </c>
      <c r="P41" s="86" t="s">
        <v>392</v>
      </c>
      <c r="Q41" s="86" t="s">
        <v>357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2" s="86" t="str">
        <f>UPPER(_xlfn.TEXTBEFORE(TRIM(tblPeople[[#This Row],[PersonName]])," "))</f>
        <v>JULIUS</v>
      </c>
      <c r="C42" s="86" t="str">
        <f>UPPER(_xlfn.TEXTAFTER(TRIM(tblPeople[[#This Row],[PersonName]])," ",-1))</f>
        <v>NYAWIRA</v>
      </c>
      <c r="D42" s="86" t="s">
        <v>45</v>
      </c>
      <c r="E42" s="86"/>
      <c r="F42" s="86"/>
      <c r="G42" s="86"/>
      <c r="H42" s="86"/>
      <c r="I42" s="87"/>
      <c r="J42" s="86"/>
      <c r="K42" s="88" t="s">
        <v>279</v>
      </c>
      <c r="L42" s="88" t="s">
        <v>282</v>
      </c>
      <c r="M42" s="86">
        <v>717711173</v>
      </c>
      <c r="N42" s="89" t="s">
        <v>311</v>
      </c>
      <c r="O42" s="91">
        <v>43017</v>
      </c>
      <c r="P42" s="86" t="s">
        <v>397</v>
      </c>
      <c r="Q42" s="86" t="s">
        <v>357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3" s="86" t="str">
        <f>UPPER(_xlfn.TEXTBEFORE(TRIM(tblPeople[[#This Row],[PersonName]])," "))</f>
        <v>ROMY</v>
      </c>
      <c r="C43" s="86" t="str">
        <f>UPPER(_xlfn.TEXTAFTER(TRIM(tblPeople[[#This Row],[PersonName]])," ",-1))</f>
        <v>OKELLO</v>
      </c>
      <c r="D43" s="86" t="s">
        <v>158</v>
      </c>
      <c r="E43" s="86">
        <v>36941516</v>
      </c>
      <c r="F43" s="86"/>
      <c r="G43" s="86"/>
      <c r="H43" s="86"/>
      <c r="I43" s="87"/>
      <c r="J43" s="86"/>
      <c r="K43" s="88" t="s">
        <v>279</v>
      </c>
      <c r="L43" s="88" t="s">
        <v>396</v>
      </c>
      <c r="M43" s="86">
        <v>792119030</v>
      </c>
      <c r="N43" s="89" t="s">
        <v>337</v>
      </c>
      <c r="O43" s="91">
        <v>45839</v>
      </c>
      <c r="P43" s="86" t="s">
        <v>392</v>
      </c>
      <c r="Q43" s="86" t="s">
        <v>357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4" s="86" t="str">
        <f>UPPER(_xlfn.TEXTBEFORE(TRIM(tblPeople[[#This Row],[PersonName]])," "))</f>
        <v>SAMUEL</v>
      </c>
      <c r="C44" s="86" t="str">
        <f>UPPER(_xlfn.TEXTAFTER(TRIM(tblPeople[[#This Row],[PersonName]])," ",-1))</f>
        <v>OKOTH</v>
      </c>
      <c r="D44" s="86" t="s">
        <v>114</v>
      </c>
      <c r="E44" s="86">
        <v>25338404</v>
      </c>
      <c r="F44" s="86"/>
      <c r="G44" s="86"/>
      <c r="H44" s="86"/>
      <c r="I44" s="87"/>
      <c r="J44" s="86"/>
      <c r="K44" s="88" t="s">
        <v>279</v>
      </c>
      <c r="L44" s="88" t="s">
        <v>282</v>
      </c>
      <c r="M44" s="86">
        <v>723219459</v>
      </c>
      <c r="N44" s="89" t="s">
        <v>338</v>
      </c>
      <c r="O44" s="91">
        <v>44682</v>
      </c>
      <c r="P44" s="86"/>
      <c r="Q44" s="86" t="s">
        <v>357</v>
      </c>
      <c r="R44" s="91">
        <v>31540</v>
      </c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5" s="86" t="str">
        <f>UPPER(_xlfn.TEXTBEFORE(TRIM(tblPeople[[#This Row],[PersonName]])," "))</f>
        <v>MICHAEL</v>
      </c>
      <c r="C45" s="86" t="str">
        <f>UPPER(_xlfn.TEXTAFTER(TRIM(tblPeople[[#This Row],[PersonName]])," ",-1))</f>
        <v>OLUNGA</v>
      </c>
      <c r="D45" s="86" t="s">
        <v>108</v>
      </c>
      <c r="E45" s="86"/>
      <c r="F45" s="86"/>
      <c r="G45" s="86"/>
      <c r="H45" s="86"/>
      <c r="I45" s="87"/>
      <c r="J45" s="86"/>
      <c r="K45" s="88" t="s">
        <v>581</v>
      </c>
      <c r="L45" s="88" t="s">
        <v>290</v>
      </c>
      <c r="M45" s="86">
        <v>728446170</v>
      </c>
      <c r="N45" s="89" t="s">
        <v>339</v>
      </c>
      <c r="O45" s="86"/>
      <c r="P45" s="86"/>
      <c r="Q45" s="86" t="s">
        <v>357</v>
      </c>
      <c r="R45" s="86"/>
      <c r="S45" s="86"/>
      <c r="T45" s="90"/>
      <c r="U45" s="90"/>
    </row>
    <row r="46" spans="1:21" x14ac:dyDescent="0.25">
      <c r="A46" s="86" t="str" cm="1">
        <f t="array" ref="A4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OMON01</v>
      </c>
      <c r="B46" s="86" t="str">
        <f>UPPER(_xlfn.TEXTBEFORE(TRIM(tblPeople[[#This Row],[PersonName]])," "))</f>
        <v>FRANCIS</v>
      </c>
      <c r="C46" s="86" t="str">
        <f>UPPER(_xlfn.TEXTAFTER(TRIM(tblPeople[[#This Row],[PersonName]])," ",-1))</f>
        <v>OMONDI</v>
      </c>
      <c r="D46" s="86" t="s">
        <v>67</v>
      </c>
      <c r="E46" s="86">
        <v>22135396</v>
      </c>
      <c r="F46" s="86"/>
      <c r="G46" s="86"/>
      <c r="H46" s="86"/>
      <c r="I46" s="87"/>
      <c r="J46" s="86"/>
      <c r="K46" s="88" t="s">
        <v>279</v>
      </c>
      <c r="L46" s="88" t="s">
        <v>292</v>
      </c>
      <c r="M46" s="86">
        <v>711878497</v>
      </c>
      <c r="N46" s="89" t="s">
        <v>340</v>
      </c>
      <c r="O46" s="91">
        <v>43482</v>
      </c>
      <c r="P46" s="86" t="s">
        <v>397</v>
      </c>
      <c r="Q46" s="86" t="s">
        <v>357</v>
      </c>
      <c r="R46" s="91">
        <v>29221</v>
      </c>
      <c r="S46" s="86"/>
      <c r="T46" s="90"/>
      <c r="U46" s="90"/>
    </row>
    <row r="47" spans="1:21" ht="27" x14ac:dyDescent="0.25">
      <c r="A47" s="86" t="s">
        <v>204</v>
      </c>
      <c r="B47" s="86" t="str">
        <f>UPPER(_xlfn.TEXTBEFORE(TRIM(tblPeople[[#This Row],[PersonName]])," "))</f>
        <v>ANDREW</v>
      </c>
      <c r="C47" s="86" t="str">
        <f>UPPER(_xlfn.TEXTAFTER(TRIM(tblPeople[[#This Row],[PersonName]])," ",-1))</f>
        <v>ONDIEK</v>
      </c>
      <c r="D47" s="86" t="s">
        <v>160</v>
      </c>
      <c r="E47" s="86">
        <v>27083706</v>
      </c>
      <c r="F47" s="93" t="s">
        <v>493</v>
      </c>
      <c r="G47" s="93"/>
      <c r="H47" s="86" t="s">
        <v>203</v>
      </c>
      <c r="I47" s="87"/>
      <c r="J47" s="86"/>
      <c r="K47" s="88" t="s">
        <v>279</v>
      </c>
      <c r="L47" s="88" t="s">
        <v>283</v>
      </c>
      <c r="M47" s="86">
        <v>711816547</v>
      </c>
      <c r="N47" s="89" t="s">
        <v>341</v>
      </c>
      <c r="O47" s="91">
        <v>45839</v>
      </c>
      <c r="P47" s="86" t="s">
        <v>392</v>
      </c>
      <c r="Q47" s="86" t="s">
        <v>357</v>
      </c>
      <c r="R47" s="91">
        <v>31498</v>
      </c>
      <c r="S47" s="86"/>
      <c r="T47" s="90"/>
      <c r="U47" s="90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48" s="86" t="str">
        <f>UPPER(_xlfn.TEXTBEFORE(TRIM(tblPeople[[#This Row],[PersonName]])," "))</f>
        <v>REUBEN</v>
      </c>
      <c r="C48" s="86" t="str">
        <f>UPPER(_xlfn.TEXTAFTER(TRIM(tblPeople[[#This Row],[PersonName]])," ",-1))</f>
        <v>OTIENO</v>
      </c>
      <c r="D48" s="86" t="s">
        <v>64</v>
      </c>
      <c r="E48" s="86"/>
      <c r="F48" s="86"/>
      <c r="G48" s="86"/>
      <c r="H48" s="86"/>
      <c r="I48" s="87"/>
      <c r="J48" s="86"/>
      <c r="K48" s="88" t="s">
        <v>279</v>
      </c>
      <c r="L48" s="88" t="s">
        <v>282</v>
      </c>
      <c r="M48" s="86">
        <v>713776205</v>
      </c>
      <c r="N48" s="89" t="s">
        <v>342</v>
      </c>
      <c r="O48" s="86"/>
      <c r="P48" s="86"/>
      <c r="Q48" s="86" t="s">
        <v>357</v>
      </c>
      <c r="R48" s="86"/>
      <c r="S48" s="86"/>
      <c r="T48" s="90"/>
      <c r="U48" s="90"/>
    </row>
    <row r="49" spans="1:21" x14ac:dyDescent="0.25">
      <c r="A49" s="86" t="str" cm="1">
        <f t="array" ref="A4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49" s="86" t="str">
        <f>UPPER(_xlfn.TEXTBEFORE(TRIM(tblPeople[[#This Row],[PersonName]])," "))</f>
        <v>ERICK</v>
      </c>
      <c r="C49" s="86" t="str">
        <f>UPPER(_xlfn.TEXTAFTER(TRIM(tblPeople[[#This Row],[PersonName]])," ",-1))</f>
        <v>PETER</v>
      </c>
      <c r="D49" s="86" t="s">
        <v>115</v>
      </c>
      <c r="E49" s="86"/>
      <c r="F49" s="86"/>
      <c r="G49" s="86"/>
      <c r="H49" s="86"/>
      <c r="I49" s="87"/>
      <c r="J49" s="86"/>
      <c r="K49" s="88" t="s">
        <v>293</v>
      </c>
      <c r="L49" s="88" t="s">
        <v>294</v>
      </c>
      <c r="M49" s="86">
        <v>717638106</v>
      </c>
      <c r="N49" s="89" t="s">
        <v>343</v>
      </c>
      <c r="O49" s="86"/>
      <c r="P49" s="86"/>
      <c r="Q49" s="86" t="s">
        <v>357</v>
      </c>
      <c r="R49" s="86"/>
      <c r="S49" s="86"/>
      <c r="T49" s="90"/>
      <c r="U49" s="90"/>
    </row>
    <row r="50" spans="1:21" x14ac:dyDescent="0.25">
      <c r="A50" s="86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0" s="86" t="str">
        <f>UPPER(_xlfn.TEXTBEFORE(TRIM(tblPeople[[#This Row],[PersonName]])," "))</f>
        <v>SYDNEY</v>
      </c>
      <c r="C50" s="86" t="str">
        <f>UPPER(_xlfn.TEXTAFTER(TRIM(tblPeople[[#This Row],[PersonName]])," ",-1))</f>
        <v>SAWE</v>
      </c>
      <c r="D50" s="86" t="s">
        <v>69</v>
      </c>
      <c r="E50" s="86"/>
      <c r="F50" s="86"/>
      <c r="G50" s="86"/>
      <c r="H50" s="86"/>
      <c r="I50" s="87"/>
      <c r="J50" s="86"/>
      <c r="K50" s="88" t="s">
        <v>279</v>
      </c>
      <c r="L50" s="88" t="s">
        <v>282</v>
      </c>
      <c r="M50" s="86">
        <v>716237164</v>
      </c>
      <c r="N50" s="89" t="s">
        <v>344</v>
      </c>
      <c r="O50" s="91">
        <v>44682</v>
      </c>
      <c r="P50" s="86"/>
      <c r="Q50" s="86" t="s">
        <v>357</v>
      </c>
      <c r="R50" s="91">
        <v>35632</v>
      </c>
      <c r="S50" s="86"/>
      <c r="T50" s="90"/>
      <c r="U50" s="90"/>
    </row>
    <row r="51" spans="1:21" ht="54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1" s="86" t="str">
        <f>UPPER(_xlfn.TEXTBEFORE(TRIM(tblPeople[[#This Row],[PersonName]])," "))</f>
        <v>TITUS</v>
      </c>
      <c r="C51" s="86" t="str">
        <f>UPPER(_xlfn.TEXTAFTER(TRIM(tblPeople[[#This Row],[PersonName]])," ",-1))</f>
        <v>SHUNZA</v>
      </c>
      <c r="D51" s="86" t="s">
        <v>65</v>
      </c>
      <c r="E51" s="86">
        <v>14678891</v>
      </c>
      <c r="F51" s="93" t="s">
        <v>494</v>
      </c>
      <c r="G51" s="93"/>
      <c r="H51" s="86" t="s">
        <v>202</v>
      </c>
      <c r="I51" s="87">
        <v>14</v>
      </c>
      <c r="J51" s="92">
        <v>44645</v>
      </c>
      <c r="K51" s="88" t="s">
        <v>279</v>
      </c>
      <c r="L51" s="88" t="s">
        <v>425</v>
      </c>
      <c r="M51" s="86">
        <v>720323580</v>
      </c>
      <c r="N51" s="89" t="s">
        <v>345</v>
      </c>
      <c r="O51" s="91">
        <v>44501</v>
      </c>
      <c r="P51" s="86" t="s">
        <v>392</v>
      </c>
      <c r="Q51" s="86" t="s">
        <v>357</v>
      </c>
      <c r="R51" s="91">
        <v>27796</v>
      </c>
      <c r="S51" s="86" t="s">
        <v>413</v>
      </c>
      <c r="T51" s="90"/>
      <c r="U51" s="90"/>
    </row>
    <row r="52" spans="1:21" hidden="1" x14ac:dyDescent="0.25">
      <c r="A52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2" t="str">
        <f>UPPER(_xlfn.TEXTBEFORE(TRIM(tblPeople[[#This Row],[PersonName]])," "))</f>
        <v>FREDRICK</v>
      </c>
      <c r="C52" t="str">
        <f>UPPER(_xlfn.TEXTAFTER(TRIM(tblPeople[[#This Row],[PersonName]])," ",-1))</f>
        <v>SWAKA</v>
      </c>
      <c r="D52" t="s">
        <v>161</v>
      </c>
      <c r="E52"/>
      <c r="F52"/>
      <c r="G52"/>
      <c r="H52"/>
      <c r="I52"/>
      <c r="J52"/>
      <c r="K52" s="75"/>
      <c r="L52" s="75"/>
      <c r="M52"/>
      <c r="N52"/>
      <c r="O52"/>
      <c r="P52"/>
      <c r="Q52" t="s">
        <v>358</v>
      </c>
      <c r="R52"/>
      <c r="S52"/>
      <c r="T52"/>
      <c r="U52"/>
    </row>
    <row r="53" spans="1:21" x14ac:dyDescent="0.25">
      <c r="A53" s="86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3" s="86" t="str">
        <f>UPPER(_xlfn.TEXTBEFORE(TRIM(tblPeople[[#This Row],[PersonName]])," "))</f>
        <v>STEPHEN</v>
      </c>
      <c r="C53" s="86" t="str">
        <f>UPPER(_xlfn.TEXTAFTER(TRIM(tblPeople[[#This Row],[PersonName]])," ",-1))</f>
        <v>TUNJE</v>
      </c>
      <c r="D53" s="86" t="s">
        <v>60</v>
      </c>
      <c r="E53" s="86"/>
      <c r="F53" s="86"/>
      <c r="G53" s="86"/>
      <c r="H53" s="86"/>
      <c r="I53" s="87"/>
      <c r="J53" s="86"/>
      <c r="K53" s="88" t="s">
        <v>279</v>
      </c>
      <c r="L53" s="88" t="s">
        <v>282</v>
      </c>
      <c r="M53" s="86">
        <v>720433843</v>
      </c>
      <c r="N53" s="89" t="s">
        <v>346</v>
      </c>
      <c r="O53" s="91"/>
      <c r="P53" s="86"/>
      <c r="Q53" s="86" t="s">
        <v>357</v>
      </c>
      <c r="R53" s="91">
        <v>32780</v>
      </c>
      <c r="S53" s="86"/>
      <c r="T53" s="90"/>
      <c r="U53" s="90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4" s="86" t="str">
        <f>UPPER(_xlfn.TEXTBEFORE(TRIM(tblPeople[[#This Row],[PersonName]])," "))</f>
        <v>SAMUEL</v>
      </c>
      <c r="C54" s="86" t="str">
        <f>UPPER(_xlfn.TEXTAFTER(TRIM(tblPeople[[#This Row],[PersonName]])," ",-1))</f>
        <v>WACHO</v>
      </c>
      <c r="D54" s="86" t="s">
        <v>59</v>
      </c>
      <c r="E54" s="86">
        <v>29624859</v>
      </c>
      <c r="F54" s="86"/>
      <c r="G54" s="86"/>
      <c r="H54" s="86"/>
      <c r="I54" s="87" t="s">
        <v>206</v>
      </c>
      <c r="J54" s="86"/>
      <c r="K54" s="88" t="s">
        <v>279</v>
      </c>
      <c r="L54" s="88" t="s">
        <v>426</v>
      </c>
      <c r="M54" s="86">
        <v>715358639</v>
      </c>
      <c r="N54" s="89" t="s">
        <v>347</v>
      </c>
      <c r="O54" s="91">
        <v>45055</v>
      </c>
      <c r="P54" s="86" t="s">
        <v>392</v>
      </c>
      <c r="Q54" s="86" t="s">
        <v>357</v>
      </c>
      <c r="R54" s="86"/>
      <c r="S54" s="86"/>
      <c r="T54" s="90"/>
      <c r="U54" s="90"/>
    </row>
    <row r="55" spans="1:21" x14ac:dyDescent="0.25">
      <c r="A55" s="86" t="s">
        <v>97</v>
      </c>
      <c r="B55" s="86" t="str">
        <f>UPPER(_xlfn.TEXTBEFORE(TRIM(tblPeople[[#This Row],[PersonName]])," "))</f>
        <v>THOMAS</v>
      </c>
      <c r="C55" s="86" t="str">
        <f>UPPER(_xlfn.TEXTAFTER(TRIM(tblPeople[[#This Row],[PersonName]])," ",-1))</f>
        <v>WAMBUNYA</v>
      </c>
      <c r="D55" s="86" t="s">
        <v>47</v>
      </c>
      <c r="E55" s="86">
        <v>27294321</v>
      </c>
      <c r="F55" s="86"/>
      <c r="G55" s="86"/>
      <c r="H55" s="86"/>
      <c r="I55" s="87"/>
      <c r="J55" s="86"/>
      <c r="K55" s="88" t="s">
        <v>279</v>
      </c>
      <c r="L55" s="88" t="s">
        <v>282</v>
      </c>
      <c r="M55" s="86">
        <v>721997384</v>
      </c>
      <c r="N55" s="96" t="s">
        <v>348</v>
      </c>
      <c r="O55" s="91"/>
      <c r="P55" s="86"/>
      <c r="Q55" s="86" t="s">
        <v>357</v>
      </c>
      <c r="R55" s="91">
        <v>31392</v>
      </c>
      <c r="S55" s="86"/>
      <c r="T55" s="90"/>
      <c r="U55" s="90"/>
    </row>
    <row r="56" spans="1:21" x14ac:dyDescent="0.25">
      <c r="A56" s="86" t="s">
        <v>162</v>
      </c>
      <c r="B56" s="86" t="str">
        <f>UPPER(_xlfn.TEXTBEFORE(TRIM(tblPeople[[#This Row],[PersonName]])," "))</f>
        <v>HANNAH</v>
      </c>
      <c r="C56" s="86" t="str">
        <f>UPPER(_xlfn.TEXTAFTER(TRIM(tblPeople[[#This Row],[PersonName]])," ",-1))</f>
        <v>WAMBUI</v>
      </c>
      <c r="D56" s="86" t="s">
        <v>11</v>
      </c>
      <c r="E56" s="86">
        <v>31506337</v>
      </c>
      <c r="F56" s="86"/>
      <c r="G56" s="86"/>
      <c r="H56" s="86"/>
      <c r="I56" s="87"/>
      <c r="J56" s="86"/>
      <c r="K56" s="88" t="s">
        <v>280</v>
      </c>
      <c r="L56" s="88" t="s">
        <v>502</v>
      </c>
      <c r="M56" s="86">
        <v>799477813</v>
      </c>
      <c r="N56" s="89" t="s">
        <v>349</v>
      </c>
      <c r="O56" s="91">
        <v>45761</v>
      </c>
      <c r="P56" s="86" t="s">
        <v>397</v>
      </c>
      <c r="Q56" s="86" t="s">
        <v>357</v>
      </c>
      <c r="R56" s="91">
        <v>34392</v>
      </c>
      <c r="S56" s="86"/>
      <c r="T56" s="90"/>
      <c r="U56" s="90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57" s="86" t="str">
        <f>UPPER(_xlfn.TEXTBEFORE(TRIM(tblPeople[[#This Row],[PersonName]])," "))</f>
        <v>JUDITH</v>
      </c>
      <c r="C57" s="86" t="str">
        <f>UPPER(_xlfn.TEXTAFTER(TRIM(tblPeople[[#This Row],[PersonName]])," ",-1))</f>
        <v>WANDERA</v>
      </c>
      <c r="D57" s="86" t="s">
        <v>146</v>
      </c>
      <c r="E57" s="86"/>
      <c r="F57" s="86"/>
      <c r="G57" s="86"/>
      <c r="H57" s="86"/>
      <c r="I57" s="87"/>
      <c r="J57" s="86"/>
      <c r="K57" s="88" t="s">
        <v>278</v>
      </c>
      <c r="L57" s="88" t="s">
        <v>291</v>
      </c>
      <c r="M57" s="86">
        <v>728384042</v>
      </c>
      <c r="N57" s="89" t="s">
        <v>350</v>
      </c>
      <c r="O57" s="91"/>
      <c r="P57" s="86"/>
      <c r="Q57" s="86" t="s">
        <v>357</v>
      </c>
      <c r="R57" s="91">
        <v>33636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58" s="86" t="str">
        <f>UPPER(_xlfn.TEXTBEFORE(TRIM(tblPeople[[#This Row],[PersonName]])," "))</f>
        <v>BRUCE</v>
      </c>
      <c r="C58" s="86" t="str">
        <f>UPPER(_xlfn.TEXTAFTER(TRIM(tblPeople[[#This Row],[PersonName]])," ",-1))</f>
        <v>MUKABI</v>
      </c>
      <c r="D58" s="86" t="s">
        <v>384</v>
      </c>
      <c r="E58" s="86"/>
      <c r="F58" s="86"/>
      <c r="G58" s="86"/>
      <c r="H58" s="86"/>
      <c r="I58" s="87"/>
      <c r="J58" s="86"/>
      <c r="K58" s="88" t="s">
        <v>287</v>
      </c>
      <c r="L58" s="88" t="s">
        <v>589</v>
      </c>
      <c r="M58" s="86">
        <v>722636968</v>
      </c>
      <c r="N58" s="89" t="s">
        <v>385</v>
      </c>
      <c r="O58" s="91">
        <v>43781</v>
      </c>
      <c r="P58" s="86" t="s">
        <v>397</v>
      </c>
      <c r="Q58" s="86" t="s">
        <v>357</v>
      </c>
      <c r="R58" s="86"/>
      <c r="S58" s="86"/>
      <c r="T58" s="90"/>
      <c r="U58" s="90"/>
    </row>
    <row r="59" spans="1:21" ht="54" x14ac:dyDescent="0.25">
      <c r="A59" s="86" t="str" cm="1">
        <f t="array" ref="A5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59" s="86" t="str">
        <f>UPPER(_xlfn.TEXTBEFORE(TRIM(tblPeople[[#This Row],[PersonName]])," "))</f>
        <v>MARY</v>
      </c>
      <c r="C59" s="86" t="str">
        <f>UPPER(_xlfn.TEXTAFTER(TRIM(tblPeople[[#This Row],[PersonName]])," ",-1))</f>
        <v>CHELAGAT</v>
      </c>
      <c r="D59" s="86" t="s">
        <v>429</v>
      </c>
      <c r="E59" s="86">
        <v>25222940</v>
      </c>
      <c r="F59" s="93" t="s">
        <v>494</v>
      </c>
      <c r="G59" s="93"/>
      <c r="H59" s="86" t="s">
        <v>446</v>
      </c>
      <c r="I59" s="87">
        <v>8</v>
      </c>
      <c r="J59" s="91">
        <v>43591</v>
      </c>
      <c r="K59" s="88" t="s">
        <v>279</v>
      </c>
      <c r="L59" s="88" t="s">
        <v>425</v>
      </c>
      <c r="M59" s="86">
        <v>723098266</v>
      </c>
      <c r="N59" s="89" t="s">
        <v>430</v>
      </c>
      <c r="O59" s="91">
        <v>43497</v>
      </c>
      <c r="P59" s="86" t="s">
        <v>392</v>
      </c>
      <c r="Q59" s="86" t="s">
        <v>357</v>
      </c>
      <c r="R59" s="91">
        <v>32183</v>
      </c>
      <c r="S59" s="86" t="s">
        <v>483</v>
      </c>
      <c r="T59" s="90"/>
      <c r="U59" s="90"/>
    </row>
    <row r="60" spans="1:21" x14ac:dyDescent="0.25">
      <c r="A60" s="86" t="str" cm="1">
        <f t="array" ref="A6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0" s="86" t="str">
        <f>UPPER(_xlfn.TEXTBEFORE(TRIM(tblPeople[[#This Row],[PersonName]])," "))</f>
        <v>ALFRED</v>
      </c>
      <c r="C60" s="86" t="str">
        <f>UPPER(_xlfn.TEXTAFTER(TRIM(tblPeople[[#This Row],[PersonName]])," ",-1))</f>
        <v>OKUDO</v>
      </c>
      <c r="D60" s="86" t="s">
        <v>431</v>
      </c>
      <c r="E60" s="86"/>
      <c r="F60" s="86" t="s">
        <v>495</v>
      </c>
      <c r="G60" s="93"/>
      <c r="H60" s="86" t="s">
        <v>447</v>
      </c>
      <c r="I60" s="87"/>
      <c r="J60" s="86"/>
      <c r="K60" s="88" t="s">
        <v>279</v>
      </c>
      <c r="L60" s="88" t="s">
        <v>425</v>
      </c>
      <c r="M60" s="86">
        <v>720109712</v>
      </c>
      <c r="N60" s="89" t="s">
        <v>448</v>
      </c>
      <c r="O60" s="91">
        <v>46132</v>
      </c>
      <c r="P60" s="86" t="s">
        <v>392</v>
      </c>
      <c r="Q60" s="86" t="s">
        <v>357</v>
      </c>
      <c r="R60" s="91">
        <v>30135</v>
      </c>
      <c r="S60" s="86"/>
      <c r="T60" s="90" t="s">
        <v>481</v>
      </c>
      <c r="U60" s="90" t="s">
        <v>482</v>
      </c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1" s="86" t="str">
        <f>UPPER(_xlfn.TEXTBEFORE(TRIM(tblPeople[[#This Row],[PersonName]])," "))</f>
        <v>MARTIN</v>
      </c>
      <c r="C61" s="86" t="str">
        <f>UPPER(_xlfn.TEXTAFTER(TRIM(tblPeople[[#This Row],[PersonName]])," ",-1))</f>
        <v>CHEGE</v>
      </c>
      <c r="D61" s="86" t="s">
        <v>432</v>
      </c>
      <c r="E61" s="86"/>
      <c r="F61" s="86"/>
      <c r="G61" s="86"/>
      <c r="H61" s="86"/>
      <c r="I61" s="87"/>
      <c r="J61" s="86"/>
      <c r="K61" s="88" t="s">
        <v>278</v>
      </c>
      <c r="L61" s="88" t="s">
        <v>291</v>
      </c>
      <c r="M61" s="86">
        <v>768932974</v>
      </c>
      <c r="N61" s="89" t="s">
        <v>451</v>
      </c>
      <c r="O61" s="91">
        <v>46132</v>
      </c>
      <c r="P61" s="86" t="s">
        <v>392</v>
      </c>
      <c r="Q61" s="86" t="s">
        <v>357</v>
      </c>
      <c r="R61" s="86"/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2" s="86" t="str">
        <f>UPPER(_xlfn.TEXTBEFORE(TRIM(tblPeople[[#This Row],[PersonName]])," "))</f>
        <v>BRIAN</v>
      </c>
      <c r="C62" s="86" t="str">
        <f>UPPER(_xlfn.TEXTAFTER(TRIM(tblPeople[[#This Row],[PersonName]])," ",-1))</f>
        <v>KINAMA</v>
      </c>
      <c r="D62" s="86" t="s">
        <v>455</v>
      </c>
      <c r="E62" s="86"/>
      <c r="F62" s="86"/>
      <c r="G62" s="86"/>
      <c r="H62" s="86"/>
      <c r="I62" s="87"/>
      <c r="J62" s="86"/>
      <c r="K62" s="88" t="s">
        <v>279</v>
      </c>
      <c r="L62" s="88" t="s">
        <v>282</v>
      </c>
      <c r="M62" s="86">
        <v>704683295</v>
      </c>
      <c r="N62" s="89" t="s">
        <v>456</v>
      </c>
      <c r="O62" s="91"/>
      <c r="P62" s="86"/>
      <c r="Q62" s="86" t="s">
        <v>357</v>
      </c>
      <c r="R62" s="86"/>
      <c r="S62" s="86"/>
      <c r="T62" s="90"/>
      <c r="U62" s="90"/>
    </row>
    <row r="63" spans="1:21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3" s="86" t="str">
        <f>UPPER(_xlfn.TEXTBEFORE(TRIM(tblPeople[[#This Row],[PersonName]])," "))</f>
        <v>BRIAN</v>
      </c>
      <c r="C63" s="86" t="str">
        <f>UPPER(_xlfn.TEXTAFTER(TRIM(tblPeople[[#This Row],[PersonName]])," ",-1))</f>
        <v>MUGA</v>
      </c>
      <c r="D63" s="86" t="s">
        <v>433</v>
      </c>
      <c r="E63" s="86"/>
      <c r="F63" s="86" t="s">
        <v>496</v>
      </c>
      <c r="G63" s="93"/>
      <c r="H63" s="86" t="s">
        <v>471</v>
      </c>
      <c r="I63" s="87"/>
      <c r="J63" s="86"/>
      <c r="K63" s="88" t="s">
        <v>279</v>
      </c>
      <c r="L63" s="88" t="s">
        <v>283</v>
      </c>
      <c r="M63" s="86">
        <v>702707277</v>
      </c>
      <c r="N63" s="89" t="s">
        <v>458</v>
      </c>
      <c r="O63" s="91">
        <v>46132</v>
      </c>
      <c r="P63" s="86" t="s">
        <v>392</v>
      </c>
      <c r="Q63" s="86" t="s">
        <v>357</v>
      </c>
      <c r="R63" s="86"/>
      <c r="S63" s="86"/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4" s="86" t="str">
        <f>UPPER(_xlfn.TEXTBEFORE(TRIM(tblPeople[[#This Row],[PersonName]])," "))</f>
        <v>EVANS</v>
      </c>
      <c r="C64" s="86" t="str">
        <f>UPPER(_xlfn.TEXTAFTER(TRIM(tblPeople[[#This Row],[PersonName]])," ",-1))</f>
        <v>MAINGI</v>
      </c>
      <c r="D64" s="86" t="s">
        <v>434</v>
      </c>
      <c r="E64" s="86"/>
      <c r="F64" s="86"/>
      <c r="G64" s="86"/>
      <c r="H64" s="86"/>
      <c r="I64" s="87"/>
      <c r="J64" s="86"/>
      <c r="K64" s="88" t="s">
        <v>278</v>
      </c>
      <c r="L64" s="88" t="s">
        <v>291</v>
      </c>
      <c r="M64" s="86">
        <v>706637310</v>
      </c>
      <c r="N64" s="89" t="s">
        <v>450</v>
      </c>
      <c r="O64" s="91"/>
      <c r="P64" s="86"/>
      <c r="Q64" s="86" t="s">
        <v>357</v>
      </c>
      <c r="R64" s="86"/>
      <c r="S64" s="86"/>
      <c r="T64" s="90"/>
      <c r="U64" s="90"/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5" s="86" t="str">
        <f>UPPER(_xlfn.TEXTBEFORE(TRIM(tblPeople[[#This Row],[PersonName]])," "))</f>
        <v>FRANCIS</v>
      </c>
      <c r="C65" s="86" t="str">
        <f>UPPER(_xlfn.TEXTAFTER(TRIM(tblPeople[[#This Row],[PersonName]])," ",-1))</f>
        <v>MUTONGA</v>
      </c>
      <c r="D65" s="86" t="s">
        <v>439</v>
      </c>
      <c r="E65" s="86"/>
      <c r="F65" s="86"/>
      <c r="G65" s="86"/>
      <c r="H65" s="86"/>
      <c r="I65" s="87"/>
      <c r="J65" s="86"/>
      <c r="K65" s="88" t="s">
        <v>279</v>
      </c>
      <c r="L65" s="88" t="s">
        <v>282</v>
      </c>
      <c r="M65" s="86">
        <v>718158373</v>
      </c>
      <c r="N65" s="89" t="s">
        <v>457</v>
      </c>
      <c r="O65" s="91">
        <v>46023</v>
      </c>
      <c r="P65" s="86" t="s">
        <v>392</v>
      </c>
      <c r="Q65" s="86" t="s">
        <v>357</v>
      </c>
      <c r="R65" s="91"/>
      <c r="S65" s="86"/>
      <c r="T65" s="90"/>
      <c r="U65" s="90"/>
    </row>
    <row r="66" spans="1:21" x14ac:dyDescent="0.25">
      <c r="A66" s="86" t="s">
        <v>465</v>
      </c>
      <c r="B66" s="86" t="str">
        <f>UPPER(_xlfn.TEXTBEFORE(TRIM(tblPeople[[#This Row],[PersonName]])," "))</f>
        <v>ERICK</v>
      </c>
      <c r="C66" s="86" t="str">
        <f>UPPER(_xlfn.TEXTAFTER(TRIM(tblPeople[[#This Row],[PersonName]])," ",-1))</f>
        <v>MWANJE</v>
      </c>
      <c r="D66" s="86" t="s">
        <v>441</v>
      </c>
      <c r="E66" s="86"/>
      <c r="F66" s="86"/>
      <c r="G66" s="86"/>
      <c r="H66" s="86"/>
      <c r="I66" s="87"/>
      <c r="J66" s="86"/>
      <c r="K66" s="88" t="s">
        <v>295</v>
      </c>
      <c r="L66" s="88" t="s">
        <v>442</v>
      </c>
      <c r="M66" s="86">
        <v>706953109</v>
      </c>
      <c r="N66" s="89" t="s">
        <v>449</v>
      </c>
      <c r="O66" s="91">
        <v>46023</v>
      </c>
      <c r="P66" s="86" t="s">
        <v>392</v>
      </c>
      <c r="Q66" s="86" t="s">
        <v>357</v>
      </c>
      <c r="R66" s="86"/>
      <c r="S66" s="86"/>
      <c r="T66" s="90"/>
      <c r="U66" s="90"/>
    </row>
    <row r="67" spans="1:21" ht="27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67" s="86" t="str">
        <f>UPPER(_xlfn.TEXTBEFORE(TRIM(tblPeople[[#This Row],[PersonName]])," "))</f>
        <v>BENARD</v>
      </c>
      <c r="C67" s="86" t="str">
        <f>UPPER(_xlfn.TEXTAFTER(TRIM(tblPeople[[#This Row],[PersonName]])," ",-1))</f>
        <v>KIMITI</v>
      </c>
      <c r="D67" s="86" t="s">
        <v>453</v>
      </c>
      <c r="E67" s="86">
        <v>1461726</v>
      </c>
      <c r="F67" s="93" t="s">
        <v>493</v>
      </c>
      <c r="G67" s="93"/>
      <c r="H67" s="86" t="s">
        <v>484</v>
      </c>
      <c r="I67" s="87"/>
      <c r="J67" s="86"/>
      <c r="K67" s="88" t="s">
        <v>279</v>
      </c>
      <c r="L67" s="88" t="s">
        <v>283</v>
      </c>
      <c r="M67" s="86">
        <v>722863919</v>
      </c>
      <c r="N67" s="89" t="s">
        <v>452</v>
      </c>
      <c r="O67" s="91">
        <v>46113</v>
      </c>
      <c r="P67" s="86" t="s">
        <v>392</v>
      </c>
      <c r="Q67" s="86" t="s">
        <v>357</v>
      </c>
      <c r="R67" s="91">
        <v>22700</v>
      </c>
      <c r="S67" s="86" t="s">
        <v>416</v>
      </c>
      <c r="T67" s="90"/>
      <c r="U67" s="90"/>
    </row>
    <row r="68" spans="1:21" ht="27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68" s="86" t="str">
        <f>UPPER(_xlfn.TEXTBEFORE(TRIM(tblPeople[[#This Row],[PersonName]])," "))</f>
        <v>DICKSON</v>
      </c>
      <c r="C68" s="86" t="str">
        <f>UPPER(_xlfn.TEXTAFTER(TRIM(tblPeople[[#This Row],[PersonName]])," ",-1))</f>
        <v>MZUNGU</v>
      </c>
      <c r="D68" s="86" t="s">
        <v>454</v>
      </c>
      <c r="E68" s="86">
        <v>5006467</v>
      </c>
      <c r="F68" s="93" t="s">
        <v>493</v>
      </c>
      <c r="G68" s="93"/>
      <c r="H68" s="86" t="s">
        <v>472</v>
      </c>
      <c r="I68" s="87"/>
      <c r="J68" s="86"/>
      <c r="K68" s="88" t="s">
        <v>279</v>
      </c>
      <c r="L68" s="88" t="s">
        <v>283</v>
      </c>
      <c r="M68" s="86">
        <v>715241856</v>
      </c>
      <c r="N68" s="96" t="s">
        <v>512</v>
      </c>
      <c r="O68" s="91">
        <v>46113</v>
      </c>
      <c r="P68" s="86" t="s">
        <v>392</v>
      </c>
      <c r="Q68" s="86" t="s">
        <v>357</v>
      </c>
      <c r="R68" s="91">
        <v>22832</v>
      </c>
      <c r="S68" s="86" t="s">
        <v>473</v>
      </c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69" s="86" t="str">
        <f>UPPER(_xlfn.TEXTBEFORE(TRIM(tblPeople[[#This Row],[PersonName]])," "))</f>
        <v>ROBERT</v>
      </c>
      <c r="C69" s="86" t="str">
        <f>UPPER(_xlfn.TEXTAFTER(TRIM(tblPeople[[#This Row],[PersonName]])," ",-1))</f>
        <v>MUIGAI</v>
      </c>
      <c r="D69" s="86" t="s">
        <v>469</v>
      </c>
      <c r="E69" s="86">
        <v>23200771</v>
      </c>
      <c r="F69" s="86"/>
      <c r="G69" s="86"/>
      <c r="H69" s="86"/>
      <c r="I69" s="87"/>
      <c r="J69" s="86"/>
      <c r="K69" s="88" t="s">
        <v>279</v>
      </c>
      <c r="L69" s="88" t="s">
        <v>282</v>
      </c>
      <c r="M69" s="86">
        <v>721953521</v>
      </c>
      <c r="N69" s="89" t="s">
        <v>470</v>
      </c>
      <c r="O69" s="91">
        <v>46013</v>
      </c>
      <c r="P69" s="86" t="s">
        <v>392</v>
      </c>
      <c r="Q69" s="86" t="s">
        <v>357</v>
      </c>
      <c r="R69" s="91">
        <v>29345</v>
      </c>
      <c r="S69" s="86"/>
      <c r="T69" s="90"/>
      <c r="U69" s="90"/>
    </row>
    <row r="70" spans="1:21" x14ac:dyDescent="0.25">
      <c r="A70" s="4" t="s">
        <v>298</v>
      </c>
      <c r="J70" s="4"/>
      <c r="K70" s="85">
        <f>SUBTOTAL(103,tblPeople[Department])</f>
        <v>66</v>
      </c>
      <c r="L70" s="85"/>
      <c r="Q70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001542BC-48E5-4B5D-B8EE-AB2371C477D4}"/>
    <hyperlink ref="N14" r:id="rId11" xr:uid="{1B933D78-A452-4F58-B1B5-58CF55301274}"/>
    <hyperlink ref="N15" r:id="rId12" xr:uid="{9DC4B3B3-580C-4007-A587-3DCC2EE11D38}"/>
    <hyperlink ref="N16" r:id="rId13" xr:uid="{8ECE5E7B-6DB6-4DA4-A22D-1BE5B57F2A4A}"/>
    <hyperlink ref="N17" r:id="rId14" xr:uid="{66C690A1-726D-49C1-BB1B-D79284E6AFC5}"/>
    <hyperlink ref="N18" r:id="rId15" xr:uid="{71118896-C27D-49A6-85A8-868C53CAA5DF}"/>
    <hyperlink ref="N19" r:id="rId16" xr:uid="{E7E83DBD-08B3-47A3-92DD-776A5DE5B980}"/>
    <hyperlink ref="N20" r:id="rId17" xr:uid="{03327023-D04D-4229-92DF-3EC21D4A01CB}"/>
    <hyperlink ref="N21" r:id="rId18" xr:uid="{D96F1148-6E63-4BDF-9CB0-0213F5F3CCF0}"/>
    <hyperlink ref="N26" r:id="rId19" xr:uid="{7E1B7FCA-E07F-4850-B5B0-5826BC48FB21}"/>
    <hyperlink ref="N22" r:id="rId20" xr:uid="{96A94BFE-6C71-4128-93C5-0C7FBE3CCB5B}"/>
    <hyperlink ref="N23" r:id="rId21" xr:uid="{1F7123B6-0D87-4E02-8BD7-17221A0F143B}"/>
    <hyperlink ref="N24" r:id="rId22" xr:uid="{2ABA9126-AF65-49AA-92E7-82E9379DF6F7}"/>
    <hyperlink ref="N25" r:id="rId23" xr:uid="{C4AE40BF-BF61-4CFE-93A1-A6090BEA4DC9}"/>
    <hyperlink ref="N29" r:id="rId24" xr:uid="{A4C4A09A-DA15-4103-9D6E-7F36869FDEAA}"/>
    <hyperlink ref="N30" r:id="rId25" xr:uid="{89A63638-7BDA-4FD6-B7E5-CBBCE47F7DD4}"/>
    <hyperlink ref="N31" r:id="rId26" xr:uid="{C01832CB-7CB3-48F2-9BFB-D7070C22D9AF}"/>
    <hyperlink ref="N32" r:id="rId27" xr:uid="{82345567-5F0A-4271-81AF-694A2FC60587}"/>
    <hyperlink ref="N33" r:id="rId28" xr:uid="{67DB2CFA-5BE8-45E6-B259-44C6C1C547BD}"/>
    <hyperlink ref="N34" r:id="rId29" xr:uid="{549C8211-DAB9-4AAA-9F24-BD22CE2C9B25}"/>
    <hyperlink ref="N36" r:id="rId30" xr:uid="{F3775DF9-754F-4EDF-AD3F-D6898A73BADB}"/>
    <hyperlink ref="N37" r:id="rId31" xr:uid="{9E5AC4F4-67EA-45D9-8FAE-190F7C98C434}"/>
    <hyperlink ref="N38" r:id="rId32" xr:uid="{F1B10D8A-3FF4-49B1-8913-2549CC184AEF}"/>
    <hyperlink ref="N39" r:id="rId33" xr:uid="{C093C8FA-FA11-4603-B295-6ED2ACF0787E}"/>
    <hyperlink ref="N40" r:id="rId34" xr:uid="{A108FB0E-C816-4392-B2F9-6CD1F7EE79E9}"/>
    <hyperlink ref="N41" r:id="rId35" xr:uid="{B87B84BA-AE03-4460-AE23-04763C6B452E}"/>
    <hyperlink ref="N42" r:id="rId36" xr:uid="{720FF657-F8E2-4C91-9B01-D08D1E8D3F88}"/>
    <hyperlink ref="N43" r:id="rId37" xr:uid="{838F8E7B-A522-471A-9864-7E5C91E43DF3}"/>
    <hyperlink ref="N44" r:id="rId38" xr:uid="{D92C3DB9-45B2-4AB6-8F17-C800CA333DD2}"/>
    <hyperlink ref="N45" r:id="rId39" xr:uid="{0297C5FF-D778-47BC-8C76-0D7B4EBBAC13}"/>
    <hyperlink ref="N46" r:id="rId40" xr:uid="{ED89EB26-3381-4082-A628-87144DC619C8}"/>
    <hyperlink ref="N47" r:id="rId41" xr:uid="{0F9F1757-A2E1-4D30-B5F4-83ADDA62EEE5}"/>
    <hyperlink ref="N48" r:id="rId42" xr:uid="{8BDDEA29-8062-45A6-BE2D-8B11B218FE53}"/>
    <hyperlink ref="N49" r:id="rId43" xr:uid="{CBC0BC4D-38B5-49F2-BB5A-8F6BD321BB1C}"/>
    <hyperlink ref="N50" r:id="rId44" xr:uid="{79058D24-AB09-41AB-9E64-6ED68EFFF085}"/>
    <hyperlink ref="N51" r:id="rId45" xr:uid="{7BCED9E2-81BD-454B-87C2-E473DF6D25A2}"/>
    <hyperlink ref="N53" r:id="rId46" xr:uid="{15824A73-8200-49F8-BFFD-22CD3AC2047E}"/>
    <hyperlink ref="N54" r:id="rId47" xr:uid="{CC9209E2-7BA8-4923-8808-77DA591D675D}"/>
    <hyperlink ref="N55" r:id="rId48" xr:uid="{49DF5D11-5E76-435B-88A8-A044356EB35E}"/>
    <hyperlink ref="N56" r:id="rId49" xr:uid="{9429F107-62FB-4147-9315-CA4A10A07755}"/>
    <hyperlink ref="N57" r:id="rId50" xr:uid="{5000E328-4379-4571-8D73-4D9BC624404F}"/>
    <hyperlink ref="N4" r:id="rId51" xr:uid="{AF6A41CF-AB43-4E39-AA07-B59BFA70A85D}"/>
    <hyperlink ref="N28" r:id="rId52" xr:uid="{183A41C5-24B0-49BC-BA7A-FF8D952161A8}"/>
    <hyperlink ref="N58" r:id="rId53" xr:uid="{F7882940-F546-400B-839B-CE4F12FE12B6}"/>
    <hyperlink ref="N11" r:id="rId54" xr:uid="{9B262CC9-C13C-455F-8DD8-0429B37DC99E}"/>
    <hyperlink ref="N27" r:id="rId55" xr:uid="{6807A2BD-C7D4-4AA1-A6A0-5B4F85D16500}"/>
    <hyperlink ref="N59" r:id="rId56" xr:uid="{B3159789-8378-48B2-B0F8-E9FF472A8B69}"/>
    <hyperlink ref="N60" r:id="rId57" xr:uid="{1BA3597A-5E2E-4B75-B489-1681371BD4A5}"/>
    <hyperlink ref="N66" r:id="rId58" xr:uid="{387EA397-26DD-4896-83A7-0AA0F6BB17B9}"/>
    <hyperlink ref="N64" r:id="rId59" xr:uid="{2C6B1179-B5C5-48E8-B2C7-41F531E41101}"/>
    <hyperlink ref="N61" r:id="rId60" xr:uid="{107D169E-F398-42B5-9E7F-2504745528E9}"/>
    <hyperlink ref="N67" r:id="rId61" xr:uid="{1AE0E961-8345-4C49-A9E6-3B8CE55B1D16}"/>
    <hyperlink ref="N68" r:id="rId62" xr:uid="{DAEB0178-1D6E-4414-979D-971A1E06A7E4}"/>
    <hyperlink ref="N62" r:id="rId63" xr:uid="{D8126CD1-AEEE-4BE7-B5EA-5D4DB49CB39F}"/>
    <hyperlink ref="N65" r:id="rId64" xr:uid="{2642FBB4-E416-42F9-A173-7D72D531083E}"/>
    <hyperlink ref="N63" r:id="rId65" xr:uid="{F76A8A98-EF50-4631-A479-ABB623AA840B}"/>
    <hyperlink ref="N69" r:id="rId66" xr:uid="{AC444D75-7E7A-4E83-8449-00530C12CB48}"/>
  </hyperlinks>
  <pageMargins left="0.7" right="0.7" top="0.75" bottom="0.75" header="0.3" footer="0.3"/>
  <pageSetup paperSize="9" scale="21" fitToHeight="0" orientation="portrait" r:id="rId67"/>
  <tableParts count="1">
    <tablePart r:id="rId6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2026-09-17T09:30:04Z</cp:lastPrinted>
  <dcterms:created xsi:type="dcterms:W3CDTF">2025-09-08T09:04:01Z</dcterms:created>
  <dcterms:modified xsi:type="dcterms:W3CDTF">2026-09-21T08:08:37Z</dcterms:modified>
</cp:coreProperties>
</file>